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tap\OneDrive\Documents\Lecturing\2025\Chapter 9\"/>
    </mc:Choice>
  </mc:AlternateContent>
  <xr:revisionPtr revIDLastSave="0" documentId="13_ncr:1_{CCEB9C46-31F6-4686-A95B-E2AD6B2ADC77}" xr6:coauthVersionLast="47" xr6:coauthVersionMax="47" xr10:uidLastSave="{00000000-0000-0000-0000-000000000000}"/>
  <bookViews>
    <workbookView xWindow="-108" yWindow="-108" windowWidth="23256" windowHeight="12576" xr2:uid="{D694F9AA-13CA-4974-AD69-EB5DF24914AD}"/>
  </bookViews>
  <sheets>
    <sheet name="Q10" sheetId="1" r:id="rId1"/>
    <sheet name="Q11" sheetId="2" r:id="rId2"/>
    <sheet name="Q12" sheetId="3" r:id="rId3"/>
    <sheet name="Q13" sheetId="4" r:id="rId4"/>
    <sheet name="Q14" sheetId="5" r:id="rId5"/>
    <sheet name="Q18" sheetId="6" r:id="rId6"/>
    <sheet name="Q21" sheetId="7" r:id="rId7"/>
    <sheet name="Q22" sheetId="8" r:id="rId8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5" l="1"/>
  <c r="B11" i="8"/>
  <c r="B10" i="8"/>
  <c r="B12" i="8"/>
  <c r="B14" i="8"/>
  <c r="B15" i="8"/>
  <c r="B16" i="8"/>
  <c r="B16" i="7"/>
  <c r="B15" i="7"/>
  <c r="B14" i="7"/>
  <c r="B12" i="7"/>
  <c r="B11" i="7"/>
  <c r="B10" i="7"/>
  <c r="B9" i="6"/>
  <c r="B10" i="6"/>
  <c r="B11" i="6"/>
  <c r="B13" i="6"/>
  <c r="B12" i="6"/>
  <c r="E14" i="5"/>
  <c r="E12" i="5"/>
  <c r="E10" i="5"/>
  <c r="E9" i="5"/>
  <c r="E8" i="5"/>
  <c r="E7" i="5"/>
  <c r="E11" i="5"/>
  <c r="E9" i="4"/>
  <c r="E7" i="4"/>
  <c r="E8" i="4"/>
  <c r="E10" i="4"/>
  <c r="E11" i="4"/>
  <c r="E13" i="4"/>
  <c r="E12" i="4"/>
  <c r="B13" i="3"/>
  <c r="B12" i="3"/>
  <c r="B10" i="3"/>
  <c r="B11" i="3"/>
  <c r="B13" i="2"/>
  <c r="B12" i="2"/>
  <c r="B10" i="2"/>
  <c r="B11" i="2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<sst xmlns="http://schemas.openxmlformats.org/spreadsheetml/2006/main" count="106" uniqueCount="50">
  <si>
    <t>alpha</t>
  </si>
  <si>
    <t>sigma</t>
  </si>
  <si>
    <t xml:space="preserve">n  </t>
  </si>
  <si>
    <t xml:space="preserve">xbar </t>
  </si>
  <si>
    <t xml:space="preserve">null hypothesis mean = </t>
  </si>
  <si>
    <t>Calculations</t>
  </si>
  <si>
    <t>standard error</t>
  </si>
  <si>
    <t>Z test statistic</t>
  </si>
  <si>
    <t>p-value</t>
  </si>
  <si>
    <t>Z(alpha/2) = Z(0.005)</t>
  </si>
  <si>
    <t>Z(1 - alpha/2) = Z(0.995)</t>
  </si>
  <si>
    <t>Lower Zcrit</t>
  </si>
  <si>
    <t>Upper Zcrit</t>
  </si>
  <si>
    <t>Z Two Tail Test of Hypothesis for the Mean (sigma known)</t>
  </si>
  <si>
    <t>Z Upper Tail Test of Hypothesis for the Mean (sigma known)</t>
  </si>
  <si>
    <t>Z(1 - alpha) = Z(0.95)</t>
  </si>
  <si>
    <t>2*P(Z &lt; -1,7678)</t>
  </si>
  <si>
    <t>P(Z&gt;2.5) = 1-P(Z&lt;2.5)</t>
  </si>
  <si>
    <t>t Upper Tail Test of Hypothesis for the Mean (sigma unknown)</t>
  </si>
  <si>
    <t>s</t>
  </si>
  <si>
    <t>t(df, 1-alpha) = t(24, 0.9)</t>
  </si>
  <si>
    <t>P(t &gt; 1.7824)</t>
  </si>
  <si>
    <t>t test statistic</t>
  </si>
  <si>
    <t>Upper tcrit</t>
  </si>
  <si>
    <t>Battery lifetime (hours)</t>
  </si>
  <si>
    <t>t Lower Tail Test of Hypothesis for the Mean (sigma unknown)</t>
  </si>
  <si>
    <t>tstat</t>
  </si>
  <si>
    <t>t(alpha) = t(0.05), df=12</t>
  </si>
  <si>
    <t>P(t &lt; -0.4540)</t>
  </si>
  <si>
    <t>Amount of soft drink</t>
  </si>
  <si>
    <t>t Two Tail Test of Hypothesis for the Mean (sigma unknown)</t>
  </si>
  <si>
    <t>t(alpha/2) = t(0.025), df=49</t>
  </si>
  <si>
    <t>t(1 - alpha/2) = t(0.975), df=49</t>
  </si>
  <si>
    <t>2*P(t &lt; -0.1142)</t>
  </si>
  <si>
    <t>Upper tail Z Test of Hypothesis for the proportion</t>
  </si>
  <si>
    <t xml:space="preserve">null hypothesis proportion = </t>
  </si>
  <si>
    <t>X</t>
  </si>
  <si>
    <t xml:space="preserve">n </t>
  </si>
  <si>
    <t>p</t>
  </si>
  <si>
    <t>Zstat</t>
  </si>
  <si>
    <t>Power of the test</t>
  </si>
  <si>
    <t>Null hypothesis mean=</t>
  </si>
  <si>
    <t>Actual mean</t>
  </si>
  <si>
    <t>lower Zcrit</t>
  </si>
  <si>
    <t>XbarCrit</t>
  </si>
  <si>
    <t>Test statistic</t>
  </si>
  <si>
    <t>Beta</t>
  </si>
  <si>
    <t>Power</t>
  </si>
  <si>
    <t>lower tcrit</t>
  </si>
  <si>
    <t>upper tcrit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</si>
</sst>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8" formatCode="0.0000E+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0" fillId="0" borderId="0" xfId="0" quotePrefix="1"/>
    <xf numFmtId="0" fontId="4" fillId="0" borderId="3" xfId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0" fillId="0" borderId="0" xfId="0" applyBorder="1"/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/>
    <xf numFmtId="168" fontId="0" fillId="0" borderId="0" xfId="0" applyNumberFormat="1"/>
  </cellXfs>
  <cellStyles count="2">
    <cellStyle name="Normal" xfId="0" builtinId="0"/>
    <cellStyle name="Normal 2" xfId="1" xr:uid="{9ACD2A95-9EFE-4966-8B2D-385623499B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15</xdr:row>
      <xdr:rowOff>45720</xdr:rowOff>
    </xdr:from>
    <xdr:to>
      <xdr:col>1</xdr:col>
      <xdr:colOff>190500</xdr:colOff>
      <xdr:row>24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F4742B-402B-8D31-225C-1EDFBF5101A4}"/>
            </a:ext>
          </a:extLst>
        </xdr:cNvPr>
        <xdr:cNvSpPr txBox="1"/>
      </xdr:nvSpPr>
      <xdr:spPr>
        <a:xfrm>
          <a:off x="45720" y="2788920"/>
          <a:ext cx="3093720" cy="1668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Since</a:t>
          </a:r>
          <a:r>
            <a:rPr lang="en-ZA" sz="1100" baseline="0"/>
            <a:t> Zstat &gt; Lower zcrit, Do not reject H0 at alpha=0.01</a:t>
          </a:r>
        </a:p>
        <a:p>
          <a:endParaRPr lang="en-ZA" sz="1100" baseline="0"/>
        </a:p>
        <a:p>
          <a:r>
            <a:rPr lang="en-ZA" sz="1100" baseline="0"/>
            <a:t>OR since p-value = 0.0771 &gt; alpha=0.01, Do not reject H0. </a:t>
          </a:r>
        </a:p>
        <a:p>
          <a:endParaRPr lang="en-ZA" sz="1100" baseline="0"/>
        </a:p>
        <a:p>
          <a:r>
            <a:rPr lang="en-ZA" sz="1100" baseline="0"/>
            <a:t>There is insufficient evidence that mu is not equal to 3.75</a:t>
          </a:r>
          <a:endParaRPr lang="en-Z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14</xdr:row>
      <xdr:rowOff>45720</xdr:rowOff>
    </xdr:from>
    <xdr:to>
      <xdr:col>1</xdr:col>
      <xdr:colOff>190500</xdr:colOff>
      <xdr:row>23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2130D1-D412-47E6-B69C-0902D873C71D}"/>
            </a:ext>
          </a:extLst>
        </xdr:cNvPr>
        <xdr:cNvSpPr txBox="1"/>
      </xdr:nvSpPr>
      <xdr:spPr>
        <a:xfrm>
          <a:off x="45720" y="2788920"/>
          <a:ext cx="3093720" cy="1668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Since</a:t>
          </a:r>
          <a:r>
            <a:rPr lang="en-ZA" sz="1100" baseline="0"/>
            <a:t> Zstat &gt; Upper zcrit,   reject H0 at alpha=0.05</a:t>
          </a:r>
        </a:p>
        <a:p>
          <a:endParaRPr lang="en-ZA" sz="1100" baseline="0"/>
        </a:p>
        <a:p>
          <a:r>
            <a:rPr lang="en-ZA" sz="1100" baseline="0"/>
            <a:t>OR since p-value = 0.00621 &lt; alpha=0.05, reject H0. </a:t>
          </a:r>
        </a:p>
        <a:p>
          <a:endParaRPr lang="en-ZA" sz="1100" baseline="0"/>
        </a:p>
        <a:p>
          <a:r>
            <a:rPr lang="en-ZA" sz="1100" baseline="0"/>
            <a:t>There is sufficient evidence that mu is greater than 500</a:t>
          </a:r>
          <a:endParaRPr lang="en-ZA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14</xdr:row>
      <xdr:rowOff>45720</xdr:rowOff>
    </xdr:from>
    <xdr:to>
      <xdr:col>1</xdr:col>
      <xdr:colOff>190500</xdr:colOff>
      <xdr:row>23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98FB4F-E90E-4805-B4DC-ABE8872A0A26}"/>
            </a:ext>
          </a:extLst>
        </xdr:cNvPr>
        <xdr:cNvSpPr txBox="1"/>
      </xdr:nvSpPr>
      <xdr:spPr>
        <a:xfrm>
          <a:off x="45720" y="2606040"/>
          <a:ext cx="3093720" cy="1668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Since</a:t>
          </a:r>
          <a:r>
            <a:rPr lang="en-ZA" sz="1100" baseline="0"/>
            <a:t> tstat &gt; Upper tcrit,   reject H0 at alpha=0.1</a:t>
          </a:r>
        </a:p>
        <a:p>
          <a:endParaRPr lang="en-ZA" sz="1100" baseline="0"/>
        </a:p>
        <a:p>
          <a:r>
            <a:rPr lang="en-ZA" sz="1100" baseline="0"/>
            <a:t>OR since p-value = 0.04367 &lt; alpha=0.1, reject H0. </a:t>
          </a:r>
        </a:p>
        <a:p>
          <a:endParaRPr lang="en-ZA" sz="1100" baseline="0"/>
        </a:p>
        <a:p>
          <a:r>
            <a:rPr lang="en-ZA" sz="1100" baseline="0"/>
            <a:t>There is sufficient evidence that mu is greater than 1500</a:t>
          </a:r>
          <a:endParaRPr lang="en-ZA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18</xdr:row>
      <xdr:rowOff>0</xdr:rowOff>
    </xdr:from>
    <xdr:to>
      <xdr:col>3</xdr:col>
      <xdr:colOff>3093720</xdr:colOff>
      <xdr:row>27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DA272A-7575-4A5B-BBF2-C4DA937D47B8}"/>
            </a:ext>
          </a:extLst>
        </xdr:cNvPr>
        <xdr:cNvSpPr txBox="1"/>
      </xdr:nvSpPr>
      <xdr:spPr>
        <a:xfrm>
          <a:off x="2590800" y="3291840"/>
          <a:ext cx="3093720" cy="1668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Since</a:t>
          </a:r>
          <a:r>
            <a:rPr lang="en-ZA" sz="1100" baseline="0"/>
            <a:t> tstat &gt; lower tcrit,   do not reject H0 at alpha=0.05</a:t>
          </a:r>
        </a:p>
        <a:p>
          <a:endParaRPr lang="en-ZA" sz="1100" baseline="0"/>
        </a:p>
        <a:p>
          <a:r>
            <a:rPr lang="en-ZA" sz="1100" baseline="0"/>
            <a:t>OR since p-value = 0.3290 &gt; alpha=0.05,do not  reject H0. </a:t>
          </a:r>
        </a:p>
        <a:p>
          <a:endParaRPr lang="en-ZA" sz="1100" baseline="0"/>
        </a:p>
        <a:p>
          <a:r>
            <a:rPr lang="en-ZA" sz="1100" baseline="0"/>
            <a:t>There is insufficient evidence that mu is less than 500</a:t>
          </a:r>
          <a:endParaRPr lang="en-ZA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14</xdr:row>
      <xdr:rowOff>60960</xdr:rowOff>
    </xdr:from>
    <xdr:to>
      <xdr:col>3</xdr:col>
      <xdr:colOff>3162300</xdr:colOff>
      <xdr:row>23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E79E22-0624-44B6-8C59-362190C098FD}"/>
            </a:ext>
          </a:extLst>
        </xdr:cNvPr>
        <xdr:cNvSpPr txBox="1"/>
      </xdr:nvSpPr>
      <xdr:spPr>
        <a:xfrm>
          <a:off x="2499360" y="2621280"/>
          <a:ext cx="3093720" cy="1668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Since</a:t>
          </a:r>
          <a:r>
            <a:rPr lang="en-ZA" sz="1100" baseline="0"/>
            <a:t> tstat &lt; upper tcrit,   do not reject H0 at alpha=0.05</a:t>
          </a:r>
        </a:p>
        <a:p>
          <a:endParaRPr lang="en-ZA" sz="1100" baseline="0"/>
        </a:p>
        <a:p>
          <a:r>
            <a:rPr lang="en-ZA" sz="1100" baseline="0"/>
            <a:t>OR since p-value = 0.9095 &gt; alpha=0.05, do not reject H0. </a:t>
          </a:r>
        </a:p>
        <a:p>
          <a:endParaRPr lang="en-ZA" sz="1100" baseline="0"/>
        </a:p>
        <a:p>
          <a:r>
            <a:rPr lang="en-ZA" sz="1100" baseline="0"/>
            <a:t>There is insufficient evidence that mu is not 2</a:t>
          </a:r>
          <a:endParaRPr lang="en-ZA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5</xdr:row>
      <xdr:rowOff>106680</xdr:rowOff>
    </xdr:from>
    <xdr:to>
      <xdr:col>9</xdr:col>
      <xdr:colOff>205740</xdr:colOff>
      <xdr:row>14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97243-6EA4-4D65-87FC-035782CC6A25}"/>
            </a:ext>
          </a:extLst>
        </xdr:cNvPr>
        <xdr:cNvSpPr txBox="1"/>
      </xdr:nvSpPr>
      <xdr:spPr>
        <a:xfrm>
          <a:off x="5151120" y="1021080"/>
          <a:ext cx="3093720" cy="1668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1100"/>
            <a:t>Since</a:t>
          </a:r>
          <a:r>
            <a:rPr lang="en-ZA" sz="1100" baseline="0"/>
            <a:t> Zstat &gt; Upper zcrit,   reject H0 at alpha=0.05</a:t>
          </a:r>
        </a:p>
        <a:p>
          <a:endParaRPr lang="en-ZA" sz="1100" baseline="0"/>
        </a:p>
        <a:p>
          <a:r>
            <a:rPr lang="en-ZA" sz="1100" baseline="0"/>
            <a:t>OR since p-value is extremely small  &lt; alpha=0.05, reject H0. </a:t>
          </a:r>
        </a:p>
        <a:p>
          <a:endParaRPr lang="en-ZA" sz="1100" baseline="0"/>
        </a:p>
        <a:p>
          <a:r>
            <a:rPr lang="en-ZA" sz="1100" baseline="0"/>
            <a:t>There is sufficient evidence that mu is greater than 0.5</a:t>
          </a:r>
          <a:endParaRPr lang="en-Z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FA7DE-72D4-484C-A6C8-8FA969D2B064}">
  <dimension ref="A1:E14"/>
  <sheetViews>
    <sheetView tabSelected="1" workbookViewId="0">
      <selection activeCell="E17" sqref="E17"/>
    </sheetView>
  </sheetViews>
  <sheetFormatPr defaultRowHeight="14.4" x14ac:dyDescent="0.3"/>
  <cols>
    <col min="1" max="1" width="43" bestFit="1" customWidth="1"/>
    <col min="4" max="4" width="11.5546875" customWidth="1"/>
  </cols>
  <sheetData>
    <row r="1" spans="1:5" x14ac:dyDescent="0.3">
      <c r="A1" s="1" t="s">
        <v>13</v>
      </c>
    </row>
    <row r="3" spans="1:5" x14ac:dyDescent="0.3">
      <c r="A3" t="s">
        <v>4</v>
      </c>
      <c r="B3">
        <v>3.75</v>
      </c>
    </row>
    <row r="4" spans="1:5" x14ac:dyDescent="0.3">
      <c r="A4" t="s">
        <v>0</v>
      </c>
      <c r="B4">
        <v>0.01</v>
      </c>
    </row>
    <row r="5" spans="1:5" x14ac:dyDescent="0.3">
      <c r="A5" t="s">
        <v>1</v>
      </c>
      <c r="B5">
        <v>0.08</v>
      </c>
    </row>
    <row r="6" spans="1:5" x14ac:dyDescent="0.3">
      <c r="A6" t="s">
        <v>2</v>
      </c>
      <c r="B6">
        <v>50</v>
      </c>
    </row>
    <row r="7" spans="1:5" x14ac:dyDescent="0.3">
      <c r="A7" t="s">
        <v>3</v>
      </c>
      <c r="B7">
        <v>3.73</v>
      </c>
    </row>
    <row r="9" spans="1:5" x14ac:dyDescent="0.3">
      <c r="A9" s="4" t="s">
        <v>5</v>
      </c>
    </row>
    <row r="10" spans="1:5" x14ac:dyDescent="0.3">
      <c r="A10" t="s">
        <v>6</v>
      </c>
      <c r="B10">
        <f>B5/SQRT(B6)</f>
        <v>1.131370849898476E-2</v>
      </c>
    </row>
    <row r="11" spans="1:5" x14ac:dyDescent="0.3">
      <c r="A11" t="s">
        <v>7</v>
      </c>
      <c r="B11">
        <f>(B7-B3)/B10</f>
        <v>-1.7677669529663704</v>
      </c>
    </row>
    <row r="12" spans="1:5" x14ac:dyDescent="0.3">
      <c r="A12" t="s">
        <v>11</v>
      </c>
      <c r="B12">
        <f>_xlfn.NORM.S.INV(B4/2)</f>
        <v>-2.5758293035488999</v>
      </c>
      <c r="D12" s="2" t="s">
        <v>9</v>
      </c>
      <c r="E12" s="3"/>
    </row>
    <row r="13" spans="1:5" x14ac:dyDescent="0.3">
      <c r="A13" t="s">
        <v>12</v>
      </c>
      <c r="B13">
        <f>_xlfn.NORM.S.INV(1-B4/2)</f>
        <v>2.5758293035488999</v>
      </c>
      <c r="D13" s="2" t="s">
        <v>10</v>
      </c>
      <c r="E13" s="3"/>
    </row>
    <row r="14" spans="1:5" x14ac:dyDescent="0.3">
      <c r="A14" t="s">
        <v>8</v>
      </c>
      <c r="B14">
        <f>2*_xlfn.NORM.S.DIST(B11,TRUE)</f>
        <v>7.7099871743541451E-2</v>
      </c>
      <c r="D14" s="2" t="s">
        <v>16</v>
      </c>
      <c r="E14" s="3"/>
    </row>
  </sheetData>
  <mergeCells count="3">
    <mergeCell ref="D12:E12"/>
    <mergeCell ref="D13:E13"/>
    <mergeCell ref="D14:E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FB9F-8364-4114-B746-8F2ECD85297E}">
  <dimension ref="A1:E13"/>
  <sheetViews>
    <sheetView workbookViewId="0">
      <selection sqref="A1:XFD1048576"/>
    </sheetView>
  </sheetViews>
  <sheetFormatPr defaultRowHeight="14.4" x14ac:dyDescent="0.3"/>
  <cols>
    <col min="1" max="1" width="43" bestFit="1" customWidth="1"/>
    <col min="4" max="4" width="11.5546875" customWidth="1"/>
  </cols>
  <sheetData>
    <row r="1" spans="1:5" x14ac:dyDescent="0.3">
      <c r="A1" s="1" t="s">
        <v>14</v>
      </c>
    </row>
    <row r="3" spans="1:5" x14ac:dyDescent="0.3">
      <c r="A3" t="s">
        <v>4</v>
      </c>
      <c r="B3">
        <v>500</v>
      </c>
    </row>
    <row r="4" spans="1:5" x14ac:dyDescent="0.3">
      <c r="A4" t="s">
        <v>0</v>
      </c>
      <c r="B4">
        <v>0.05</v>
      </c>
    </row>
    <row r="5" spans="1:5" x14ac:dyDescent="0.3">
      <c r="A5" t="s">
        <v>1</v>
      </c>
      <c r="B5" s="5">
        <v>120</v>
      </c>
    </row>
    <row r="6" spans="1:5" x14ac:dyDescent="0.3">
      <c r="A6" t="s">
        <v>2</v>
      </c>
      <c r="B6">
        <v>36</v>
      </c>
    </row>
    <row r="7" spans="1:5" x14ac:dyDescent="0.3">
      <c r="A7" t="s">
        <v>3</v>
      </c>
      <c r="B7">
        <v>550</v>
      </c>
    </row>
    <row r="9" spans="1:5" x14ac:dyDescent="0.3">
      <c r="A9" s="4" t="s">
        <v>5</v>
      </c>
    </row>
    <row r="10" spans="1:5" x14ac:dyDescent="0.3">
      <c r="A10" t="s">
        <v>6</v>
      </c>
      <c r="B10">
        <f>B5/SQRT(B6)</f>
        <v>20</v>
      </c>
    </row>
    <row r="11" spans="1:5" x14ac:dyDescent="0.3">
      <c r="A11" t="s">
        <v>7</v>
      </c>
      <c r="B11">
        <f>(B7-B3)/B10</f>
        <v>2.5</v>
      </c>
    </row>
    <row r="12" spans="1:5" x14ac:dyDescent="0.3">
      <c r="A12" t="s">
        <v>12</v>
      </c>
      <c r="B12">
        <f>_xlfn.NORM.S.INV(1-B4)</f>
        <v>1.6448536269514715</v>
      </c>
      <c r="D12" s="2" t="s">
        <v>15</v>
      </c>
      <c r="E12" s="3"/>
    </row>
    <row r="13" spans="1:5" x14ac:dyDescent="0.3">
      <c r="A13" t="s">
        <v>8</v>
      </c>
      <c r="B13">
        <f>1-_xlfn.NORM.S.DIST(B11,TRUE)</f>
        <v>6.2096653257761592E-3</v>
      </c>
      <c r="D13" s="2" t="s">
        <v>17</v>
      </c>
      <c r="E13" s="3"/>
    </row>
  </sheetData>
  <mergeCells count="2">
    <mergeCell ref="D12:E12"/>
    <mergeCell ref="D13:E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5856-7F3C-4B9E-AB71-F20976A9ED70}">
  <dimension ref="A1:E17"/>
  <sheetViews>
    <sheetView workbookViewId="0">
      <selection activeCell="D19" sqref="D19"/>
    </sheetView>
  </sheetViews>
  <sheetFormatPr defaultRowHeight="14.4" x14ac:dyDescent="0.3"/>
  <cols>
    <col min="1" max="1" width="43" bestFit="1" customWidth="1"/>
    <col min="4" max="4" width="23.5546875" customWidth="1"/>
  </cols>
  <sheetData>
    <row r="1" spans="1:5" x14ac:dyDescent="0.3">
      <c r="A1" s="1" t="s">
        <v>18</v>
      </c>
    </row>
    <row r="3" spans="1:5" x14ac:dyDescent="0.3">
      <c r="A3" t="s">
        <v>4</v>
      </c>
      <c r="B3">
        <v>1500</v>
      </c>
    </row>
    <row r="4" spans="1:5" x14ac:dyDescent="0.3">
      <c r="A4" t="s">
        <v>0</v>
      </c>
      <c r="B4">
        <v>0.1</v>
      </c>
    </row>
    <row r="5" spans="1:5" x14ac:dyDescent="0.3">
      <c r="A5" t="s">
        <v>19</v>
      </c>
      <c r="B5" s="5">
        <v>216</v>
      </c>
    </row>
    <row r="6" spans="1:5" x14ac:dyDescent="0.3">
      <c r="A6" t="s">
        <v>2</v>
      </c>
      <c r="B6">
        <v>25</v>
      </c>
    </row>
    <row r="7" spans="1:5" x14ac:dyDescent="0.3">
      <c r="A7" t="s">
        <v>3</v>
      </c>
      <c r="B7">
        <v>1577</v>
      </c>
    </row>
    <row r="9" spans="1:5" x14ac:dyDescent="0.3">
      <c r="A9" s="4" t="s">
        <v>5</v>
      </c>
    </row>
    <row r="10" spans="1:5" x14ac:dyDescent="0.3">
      <c r="A10" t="s">
        <v>6</v>
      </c>
      <c r="B10">
        <f>B5/SQRT(B6)</f>
        <v>43.2</v>
      </c>
    </row>
    <row r="11" spans="1:5" x14ac:dyDescent="0.3">
      <c r="A11" t="s">
        <v>22</v>
      </c>
      <c r="B11">
        <f>(B7-B3)/B10</f>
        <v>1.7824074074074072</v>
      </c>
    </row>
    <row r="12" spans="1:5" x14ac:dyDescent="0.3">
      <c r="A12" t="s">
        <v>23</v>
      </c>
      <c r="B12">
        <f>_xlfn.T.INV(1-B4,B6-1)</f>
        <v>1.3178359336731498</v>
      </c>
      <c r="D12" s="6" t="s">
        <v>20</v>
      </c>
      <c r="E12" s="7"/>
    </row>
    <row r="13" spans="1:5" x14ac:dyDescent="0.3">
      <c r="A13" t="s">
        <v>8</v>
      </c>
      <c r="B13">
        <f>1-_xlfn.T.DIST(B11,B6-1,TRUE)</f>
        <v>4.3669794883815616E-2</v>
      </c>
      <c r="D13" s="6" t="s">
        <v>21</v>
      </c>
      <c r="E13" s="7"/>
    </row>
    <row r="14" spans="1:5" x14ac:dyDescent="0.3">
      <c r="E14" s="8"/>
    </row>
    <row r="15" spans="1:5" x14ac:dyDescent="0.3">
      <c r="E15" s="8"/>
    </row>
    <row r="16" spans="1:5" x14ac:dyDescent="0.3">
      <c r="E16" s="8"/>
    </row>
    <row r="17" spans="5:5" x14ac:dyDescent="0.3">
      <c r="E17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8AB94-6895-4B9C-B461-CC7B1452D8A7}">
  <dimension ref="A1:H14"/>
  <sheetViews>
    <sheetView topLeftCell="A3" workbookViewId="0">
      <selection activeCell="H4" sqref="H4"/>
    </sheetView>
  </sheetViews>
  <sheetFormatPr defaultRowHeight="14.4" x14ac:dyDescent="0.3"/>
  <cols>
    <col min="1" max="1" width="20" bestFit="1" customWidth="1"/>
    <col min="4" max="4" width="54" bestFit="1" customWidth="1"/>
    <col min="5" max="5" width="9.5546875" bestFit="1" customWidth="1"/>
    <col min="7" max="7" width="17.33203125" customWidth="1"/>
  </cols>
  <sheetData>
    <row r="1" spans="1:8" x14ac:dyDescent="0.3">
      <c r="A1" s="4" t="s">
        <v>24</v>
      </c>
      <c r="D1" s="1" t="s">
        <v>25</v>
      </c>
    </row>
    <row r="2" spans="1:8" x14ac:dyDescent="0.3">
      <c r="A2">
        <v>342</v>
      </c>
    </row>
    <row r="3" spans="1:8" x14ac:dyDescent="0.3">
      <c r="A3">
        <v>426</v>
      </c>
      <c r="D3" t="s">
        <v>4</v>
      </c>
      <c r="E3">
        <v>500</v>
      </c>
    </row>
    <row r="4" spans="1:8" x14ac:dyDescent="0.3">
      <c r="A4">
        <v>317</v>
      </c>
      <c r="D4" t="s">
        <v>0</v>
      </c>
      <c r="E4">
        <v>0.05</v>
      </c>
    </row>
    <row r="5" spans="1:8" x14ac:dyDescent="0.3">
      <c r="A5">
        <v>545</v>
      </c>
    </row>
    <row r="6" spans="1:8" x14ac:dyDescent="0.3">
      <c r="A6">
        <v>264</v>
      </c>
      <c r="D6" s="4" t="s">
        <v>5</v>
      </c>
    </row>
    <row r="7" spans="1:8" x14ac:dyDescent="0.3">
      <c r="A7">
        <v>451</v>
      </c>
      <c r="D7" t="s">
        <v>19</v>
      </c>
      <c r="E7">
        <f>_xlfn.STDEV.S(A2:A14)</f>
        <v>210.76630636189435</v>
      </c>
    </row>
    <row r="8" spans="1:8" x14ac:dyDescent="0.3">
      <c r="A8">
        <v>1049</v>
      </c>
      <c r="D8" t="s">
        <v>2</v>
      </c>
      <c r="E8">
        <f>COUNT(A2:A14)</f>
        <v>13</v>
      </c>
    </row>
    <row r="9" spans="1:8" x14ac:dyDescent="0.3">
      <c r="A9">
        <v>631</v>
      </c>
      <c r="D9" t="s">
        <v>3</v>
      </c>
      <c r="E9">
        <f>AVERAGE(A2:A14)</f>
        <v>473.46153846153845</v>
      </c>
    </row>
    <row r="10" spans="1:8" x14ac:dyDescent="0.3">
      <c r="A10">
        <v>512</v>
      </c>
      <c r="D10" t="s">
        <v>6</v>
      </c>
      <c r="E10" s="12">
        <f>E7/SQRT(E8)</f>
        <v>58.456055748304777</v>
      </c>
    </row>
    <row r="11" spans="1:8" x14ac:dyDescent="0.3">
      <c r="A11">
        <v>266</v>
      </c>
      <c r="D11" t="s">
        <v>26</v>
      </c>
      <c r="E11" s="12">
        <f>(E9-E3)/E10</f>
        <v>-0.45398994507478657</v>
      </c>
    </row>
    <row r="12" spans="1:8" x14ac:dyDescent="0.3">
      <c r="A12">
        <v>492</v>
      </c>
      <c r="D12" t="s">
        <v>48</v>
      </c>
      <c r="E12" s="12">
        <f>_xlfn.T.INV(E4,E8-1)</f>
        <v>-1.7822875556493194</v>
      </c>
      <c r="G12" s="9" t="s">
        <v>27</v>
      </c>
      <c r="H12" s="9"/>
    </row>
    <row r="13" spans="1:8" x14ac:dyDescent="0.3">
      <c r="A13">
        <v>562</v>
      </c>
      <c r="D13" t="s">
        <v>8</v>
      </c>
      <c r="E13" s="12">
        <f>_xlfn.T.DIST(E11,E8-1,TRUE)</f>
        <v>0.32896886671483616</v>
      </c>
      <c r="G13" s="2" t="s">
        <v>28</v>
      </c>
      <c r="H13" s="3"/>
    </row>
    <row r="14" spans="1:8" x14ac:dyDescent="0.3">
      <c r="A14">
        <v>298</v>
      </c>
    </row>
  </sheetData>
  <mergeCells count="2">
    <mergeCell ref="G12:H12"/>
    <mergeCell ref="G13:H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B5C56-41F4-4586-9EA4-1A6997041DD8}">
  <dimension ref="A1:H51"/>
  <sheetViews>
    <sheetView workbookViewId="0">
      <selection activeCell="E12" sqref="E12"/>
    </sheetView>
  </sheetViews>
  <sheetFormatPr defaultRowHeight="14.4" x14ac:dyDescent="0.3"/>
  <cols>
    <col min="1" max="1" width="17.6640625" bestFit="1" customWidth="1"/>
    <col min="4" max="4" width="52.44140625" bestFit="1" customWidth="1"/>
    <col min="8" max="8" width="17.5546875" customWidth="1"/>
  </cols>
  <sheetData>
    <row r="1" spans="1:8" x14ac:dyDescent="0.3">
      <c r="A1" s="10" t="s">
        <v>29</v>
      </c>
      <c r="D1" s="1" t="s">
        <v>30</v>
      </c>
    </row>
    <row r="2" spans="1:8" x14ac:dyDescent="0.3">
      <c r="A2" s="11">
        <v>2.109</v>
      </c>
    </row>
    <row r="3" spans="1:8" x14ac:dyDescent="0.3">
      <c r="A3" s="11">
        <v>2.0859999999999999</v>
      </c>
      <c r="D3" t="s">
        <v>4</v>
      </c>
      <c r="E3">
        <v>2</v>
      </c>
    </row>
    <row r="4" spans="1:8" x14ac:dyDescent="0.3">
      <c r="A4" s="11">
        <v>2.0659999999999998</v>
      </c>
      <c r="D4" t="s">
        <v>0</v>
      </c>
      <c r="E4">
        <v>0.05</v>
      </c>
    </row>
    <row r="5" spans="1:8" x14ac:dyDescent="0.3">
      <c r="A5" s="11">
        <v>2.0750000000000002</v>
      </c>
    </row>
    <row r="6" spans="1:8" x14ac:dyDescent="0.3">
      <c r="A6" s="11">
        <v>2.0649999999999999</v>
      </c>
      <c r="D6" s="4" t="s">
        <v>5</v>
      </c>
    </row>
    <row r="7" spans="1:8" x14ac:dyDescent="0.3">
      <c r="A7" s="11">
        <v>2.0569999999999999</v>
      </c>
      <c r="D7" t="s">
        <v>19</v>
      </c>
      <c r="E7">
        <f>_xlfn.STDEV.S(A2:A51)</f>
        <v>4.4563662327057434E-2</v>
      </c>
    </row>
    <row r="8" spans="1:8" x14ac:dyDescent="0.3">
      <c r="A8" s="11">
        <v>2.052</v>
      </c>
      <c r="D8" t="s">
        <v>2</v>
      </c>
      <c r="E8">
        <f>COUNT(A2:A51)</f>
        <v>50</v>
      </c>
    </row>
    <row r="9" spans="1:8" x14ac:dyDescent="0.3">
      <c r="A9" s="11">
        <v>2.044</v>
      </c>
      <c r="D9" t="s">
        <v>3</v>
      </c>
      <c r="E9">
        <f>AVERAGE(A2:A51)</f>
        <v>2.0007199999999994</v>
      </c>
    </row>
    <row r="10" spans="1:8" x14ac:dyDescent="0.3">
      <c r="A10" s="11">
        <v>2.036</v>
      </c>
      <c r="D10" t="s">
        <v>6</v>
      </c>
      <c r="E10">
        <f>E7/SQRT(E8)</f>
        <v>6.3022535651939583E-3</v>
      </c>
    </row>
    <row r="11" spans="1:8" x14ac:dyDescent="0.3">
      <c r="A11" s="11">
        <v>2.0379999999999998</v>
      </c>
      <c r="D11" t="s">
        <v>26</v>
      </c>
      <c r="E11">
        <f>(E9-E3)/E10</f>
        <v>0.11424484790262943</v>
      </c>
      <c r="G11" s="9" t="s">
        <v>31</v>
      </c>
      <c r="H11" s="9"/>
    </row>
    <row r="12" spans="1:8" x14ac:dyDescent="0.3">
      <c r="A12" s="11">
        <v>2.0310000000000001</v>
      </c>
      <c r="D12" t="s">
        <v>48</v>
      </c>
      <c r="E12" s="12">
        <f>_xlfn.T.INV(E4/2,E8-1)</f>
        <v>-2.0095752371292388</v>
      </c>
      <c r="G12" s="9" t="s">
        <v>32</v>
      </c>
      <c r="H12" s="9"/>
    </row>
    <row r="13" spans="1:8" x14ac:dyDescent="0.3">
      <c r="A13" s="11">
        <v>2.0289999999999999</v>
      </c>
      <c r="D13" t="s">
        <v>49</v>
      </c>
      <c r="E13" s="12">
        <f>_xlfn.T.INV(1-E4/2,E8-1)</f>
        <v>2.0095752371292388</v>
      </c>
      <c r="G13" s="2" t="s">
        <v>33</v>
      </c>
      <c r="H13" s="3"/>
    </row>
    <row r="14" spans="1:8" x14ac:dyDescent="0.3">
      <c r="A14" s="11">
        <v>2.0249999999999999</v>
      </c>
      <c r="D14" t="s">
        <v>8</v>
      </c>
      <c r="E14">
        <f>2*_xlfn.T.DIST(-E11,E8-1,TRUE)</f>
        <v>0.90951054424994759</v>
      </c>
    </row>
    <row r="15" spans="1:8" x14ac:dyDescent="0.3">
      <c r="A15" s="11">
        <v>2.0289999999999999</v>
      </c>
    </row>
    <row r="16" spans="1:8" x14ac:dyDescent="0.3">
      <c r="A16" s="11">
        <v>2.0230000000000001</v>
      </c>
    </row>
    <row r="17" spans="1:1" x14ac:dyDescent="0.3">
      <c r="A17" s="11">
        <v>2.02</v>
      </c>
    </row>
    <row r="18" spans="1:1" x14ac:dyDescent="0.3">
      <c r="A18" s="11">
        <v>2.0150000000000001</v>
      </c>
    </row>
    <row r="19" spans="1:1" x14ac:dyDescent="0.3">
      <c r="A19" s="11">
        <v>2.0139999999999998</v>
      </c>
    </row>
    <row r="20" spans="1:1" x14ac:dyDescent="0.3">
      <c r="A20" s="11">
        <v>2.0129999999999999</v>
      </c>
    </row>
    <row r="21" spans="1:1" x14ac:dyDescent="0.3">
      <c r="A21" s="11">
        <v>2.0139999999999998</v>
      </c>
    </row>
    <row r="22" spans="1:1" x14ac:dyDescent="0.3">
      <c r="A22" s="11">
        <v>2.012</v>
      </c>
    </row>
    <row r="23" spans="1:1" x14ac:dyDescent="0.3">
      <c r="A23" s="11">
        <v>2.012</v>
      </c>
    </row>
    <row r="24" spans="1:1" x14ac:dyDescent="0.3">
      <c r="A24" s="11">
        <v>2.012</v>
      </c>
    </row>
    <row r="25" spans="1:1" x14ac:dyDescent="0.3">
      <c r="A25" s="11">
        <v>2.0099999999999998</v>
      </c>
    </row>
    <row r="26" spans="1:1" x14ac:dyDescent="0.3">
      <c r="A26" s="11">
        <v>2.0049999999999999</v>
      </c>
    </row>
    <row r="27" spans="1:1" x14ac:dyDescent="0.3">
      <c r="A27" s="11">
        <v>2.0030000000000001</v>
      </c>
    </row>
    <row r="28" spans="1:1" x14ac:dyDescent="0.3">
      <c r="A28" s="11">
        <v>1.9990000000000001</v>
      </c>
    </row>
    <row r="29" spans="1:1" x14ac:dyDescent="0.3">
      <c r="A29" s="11">
        <v>1.996</v>
      </c>
    </row>
    <row r="30" spans="1:1" x14ac:dyDescent="0.3">
      <c r="A30" s="11">
        <v>1.9970000000000001</v>
      </c>
    </row>
    <row r="31" spans="1:1" x14ac:dyDescent="0.3">
      <c r="A31" s="11">
        <v>1.992</v>
      </c>
    </row>
    <row r="32" spans="1:1" x14ac:dyDescent="0.3">
      <c r="A32" s="11">
        <v>1.994</v>
      </c>
    </row>
    <row r="33" spans="1:1" x14ac:dyDescent="0.3">
      <c r="A33" s="11">
        <v>1.986</v>
      </c>
    </row>
    <row r="34" spans="1:1" x14ac:dyDescent="0.3">
      <c r="A34" s="11">
        <v>1.984</v>
      </c>
    </row>
    <row r="35" spans="1:1" x14ac:dyDescent="0.3">
      <c r="A35" s="11">
        <v>1.9810000000000001</v>
      </c>
    </row>
    <row r="36" spans="1:1" x14ac:dyDescent="0.3">
      <c r="A36" s="11">
        <v>1.9730000000000001</v>
      </c>
    </row>
    <row r="37" spans="1:1" x14ac:dyDescent="0.3">
      <c r="A37" s="11">
        <v>1.9750000000000001</v>
      </c>
    </row>
    <row r="38" spans="1:1" x14ac:dyDescent="0.3">
      <c r="A38" s="11">
        <v>1.9710000000000001</v>
      </c>
    </row>
    <row r="39" spans="1:1" x14ac:dyDescent="0.3">
      <c r="A39" s="11">
        <v>1.9690000000000001</v>
      </c>
    </row>
    <row r="40" spans="1:1" x14ac:dyDescent="0.3">
      <c r="A40" s="11">
        <v>1.966</v>
      </c>
    </row>
    <row r="41" spans="1:1" x14ac:dyDescent="0.3">
      <c r="A41" s="11">
        <v>1.9670000000000001</v>
      </c>
    </row>
    <row r="42" spans="1:1" x14ac:dyDescent="0.3">
      <c r="A42" s="11">
        <v>1.9630000000000001</v>
      </c>
    </row>
    <row r="43" spans="1:1" x14ac:dyDescent="0.3">
      <c r="A43" s="11">
        <v>1.9570000000000001</v>
      </c>
    </row>
    <row r="44" spans="1:1" x14ac:dyDescent="0.3">
      <c r="A44" s="11">
        <v>1.9510000000000001</v>
      </c>
    </row>
    <row r="45" spans="1:1" x14ac:dyDescent="0.3">
      <c r="A45" s="11">
        <v>1.9510000000000001</v>
      </c>
    </row>
    <row r="46" spans="1:1" x14ac:dyDescent="0.3">
      <c r="A46" s="11">
        <v>1.9470000000000001</v>
      </c>
    </row>
    <row r="47" spans="1:1" x14ac:dyDescent="0.3">
      <c r="A47" s="11">
        <v>1.9410000000000001</v>
      </c>
    </row>
    <row r="48" spans="1:1" x14ac:dyDescent="0.3">
      <c r="A48" s="11">
        <v>1.9410000000000001</v>
      </c>
    </row>
    <row r="49" spans="1:1" x14ac:dyDescent="0.3">
      <c r="A49" s="11">
        <v>1.9379999999999999</v>
      </c>
    </row>
    <row r="50" spans="1:1" x14ac:dyDescent="0.3">
      <c r="A50" s="11">
        <v>1.9079999999999999</v>
      </c>
    </row>
    <row r="51" spans="1:1" x14ac:dyDescent="0.3">
      <c r="A51" s="11">
        <v>1.8939999999999999</v>
      </c>
    </row>
  </sheetData>
  <mergeCells count="3">
    <mergeCell ref="G11:H11"/>
    <mergeCell ref="G12:H12"/>
    <mergeCell ref="G13:H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A163-3A2B-420A-A6DA-5C583D96F80A}">
  <dimension ref="A1:B13"/>
  <sheetViews>
    <sheetView workbookViewId="0">
      <selection activeCell="F19" sqref="F19"/>
    </sheetView>
  </sheetViews>
  <sheetFormatPr defaultRowHeight="14.4" x14ac:dyDescent="0.3"/>
  <cols>
    <col min="1" max="1" width="43" bestFit="1" customWidth="1"/>
    <col min="2" max="2" width="12" bestFit="1" customWidth="1"/>
  </cols>
  <sheetData>
    <row r="1" spans="1:2" x14ac:dyDescent="0.3">
      <c r="A1" s="1" t="s">
        <v>34</v>
      </c>
    </row>
    <row r="3" spans="1:2" x14ac:dyDescent="0.3">
      <c r="A3" t="s">
        <v>35</v>
      </c>
      <c r="B3">
        <v>0.5</v>
      </c>
    </row>
    <row r="4" spans="1:2" x14ac:dyDescent="0.3">
      <c r="A4" t="s">
        <v>0</v>
      </c>
      <c r="B4">
        <v>0.05</v>
      </c>
    </row>
    <row r="5" spans="1:2" x14ac:dyDescent="0.3">
      <c r="A5" t="s">
        <v>36</v>
      </c>
      <c r="B5">
        <v>593</v>
      </c>
    </row>
    <row r="6" spans="1:2" x14ac:dyDescent="0.3">
      <c r="A6" t="s">
        <v>37</v>
      </c>
      <c r="B6">
        <v>1040</v>
      </c>
    </row>
    <row r="8" spans="1:2" x14ac:dyDescent="0.3">
      <c r="A8" s="4" t="s">
        <v>5</v>
      </c>
    </row>
    <row r="9" spans="1:2" x14ac:dyDescent="0.3">
      <c r="A9" t="s">
        <v>38</v>
      </c>
      <c r="B9">
        <f>B5/B6</f>
        <v>0.57019230769230766</v>
      </c>
    </row>
    <row r="10" spans="1:2" x14ac:dyDescent="0.3">
      <c r="A10" t="s">
        <v>6</v>
      </c>
      <c r="B10">
        <f>SQRT(B3*(1-B3)/B6)</f>
        <v>1.5504341823651057E-2</v>
      </c>
    </row>
    <row r="11" spans="1:2" x14ac:dyDescent="0.3">
      <c r="A11" t="s">
        <v>39</v>
      </c>
      <c r="B11">
        <f>(B9-B3)/B10</f>
        <v>4.527267812506107</v>
      </c>
    </row>
    <row r="12" spans="1:2" x14ac:dyDescent="0.3">
      <c r="A12" t="s">
        <v>12</v>
      </c>
      <c r="B12">
        <f>_xlfn.NORM.S.INV(1-B4)</f>
        <v>1.6448536269514715</v>
      </c>
    </row>
    <row r="13" spans="1:2" x14ac:dyDescent="0.3">
      <c r="A13" t="s">
        <v>8</v>
      </c>
      <c r="B13" s="13">
        <f>1-_xlfn.NORM.S.DIST(B11,TRUE)</f>
        <v>2.9875597805650855E-6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838D1-D792-477C-BD6E-3EF93AB2F4BC}">
  <dimension ref="A1:B16"/>
  <sheetViews>
    <sheetView workbookViewId="0">
      <selection activeCell="F18" sqref="F18"/>
    </sheetView>
  </sheetViews>
  <sheetFormatPr defaultRowHeight="14.4" x14ac:dyDescent="0.3"/>
  <cols>
    <col min="1" max="1" width="19.21875" bestFit="1" customWidth="1"/>
  </cols>
  <sheetData>
    <row r="1" spans="1:2" x14ac:dyDescent="0.3">
      <c r="A1" s="4" t="s">
        <v>40</v>
      </c>
    </row>
    <row r="3" spans="1:2" x14ac:dyDescent="0.3">
      <c r="A3" t="s">
        <v>41</v>
      </c>
      <c r="B3">
        <v>200</v>
      </c>
    </row>
    <row r="4" spans="1:2" x14ac:dyDescent="0.3">
      <c r="A4" t="s">
        <v>42</v>
      </c>
      <c r="B4">
        <v>197</v>
      </c>
    </row>
    <row r="5" spans="1:2" x14ac:dyDescent="0.3">
      <c r="A5" t="s">
        <v>37</v>
      </c>
      <c r="B5">
        <v>16</v>
      </c>
    </row>
    <row r="6" spans="1:2" x14ac:dyDescent="0.3">
      <c r="A6" t="s">
        <v>0</v>
      </c>
      <c r="B6">
        <v>0.05</v>
      </c>
    </row>
    <row r="7" spans="1:2" x14ac:dyDescent="0.3">
      <c r="A7" t="s">
        <v>1</v>
      </c>
      <c r="B7">
        <v>5.71</v>
      </c>
    </row>
    <row r="10" spans="1:2" x14ac:dyDescent="0.3">
      <c r="A10" t="s">
        <v>6</v>
      </c>
      <c r="B10">
        <f>B7/SQRT(B5)</f>
        <v>1.4275</v>
      </c>
    </row>
    <row r="11" spans="1:2" x14ac:dyDescent="0.3">
      <c r="A11" t="s">
        <v>43</v>
      </c>
      <c r="B11">
        <f>_xlfn.NORM.S.INV(B6)</f>
        <v>-1.6448536269514726</v>
      </c>
    </row>
    <row r="12" spans="1:2" x14ac:dyDescent="0.3">
      <c r="A12" t="s">
        <v>44</v>
      </c>
      <c r="B12">
        <f>B11*B10+B3</f>
        <v>197.65197144752676</v>
      </c>
    </row>
    <row r="14" spans="1:2" x14ac:dyDescent="0.3">
      <c r="A14" t="s">
        <v>45</v>
      </c>
      <c r="B14">
        <f>(B12-B4)/B10</f>
        <v>0.45672255518512223</v>
      </c>
    </row>
    <row r="15" spans="1:2" x14ac:dyDescent="0.3">
      <c r="A15" t="s">
        <v>46</v>
      </c>
      <c r="B15">
        <f>1-_xlfn.NORM.S.DIST(B14,TRUE)</f>
        <v>0.32393523837792659</v>
      </c>
    </row>
    <row r="16" spans="1:2" x14ac:dyDescent="0.3">
      <c r="A16" t="s">
        <v>47</v>
      </c>
      <c r="B16">
        <f>1-B15</f>
        <v>0.67606476162207341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C5A7-636E-42E7-B4EE-427E3AE48A98}">
  <dimension ref="A1:B16"/>
  <sheetViews>
    <sheetView workbookViewId="0">
      <selection activeCell="B8" sqref="B8"/>
    </sheetView>
  </sheetViews>
  <sheetFormatPr defaultRowHeight="14.4" x14ac:dyDescent="0.3"/>
  <cols>
    <col min="1" max="1" width="19.21875" bestFit="1" customWidth="1"/>
  </cols>
  <sheetData>
    <row r="1" spans="1:2" x14ac:dyDescent="0.3">
      <c r="A1" s="4" t="s">
        <v>40</v>
      </c>
    </row>
    <row r="3" spans="1:2" x14ac:dyDescent="0.3">
      <c r="A3" t="s">
        <v>41</v>
      </c>
      <c r="B3">
        <v>25000</v>
      </c>
    </row>
    <row r="4" spans="1:2" x14ac:dyDescent="0.3">
      <c r="A4" t="s">
        <v>42</v>
      </c>
      <c r="B4">
        <v>24000</v>
      </c>
    </row>
    <row r="5" spans="1:2" x14ac:dyDescent="0.3">
      <c r="A5" t="s">
        <v>37</v>
      </c>
      <c r="B5">
        <v>100</v>
      </c>
    </row>
    <row r="6" spans="1:2" x14ac:dyDescent="0.3">
      <c r="A6" t="s">
        <v>0</v>
      </c>
      <c r="B6">
        <v>0.05</v>
      </c>
    </row>
    <row r="7" spans="1:2" x14ac:dyDescent="0.3">
      <c r="A7" t="s">
        <v>1</v>
      </c>
      <c r="B7">
        <v>3500</v>
      </c>
    </row>
    <row r="10" spans="1:2" x14ac:dyDescent="0.3">
      <c r="A10" t="s">
        <v>6</v>
      </c>
      <c r="B10">
        <f>B7/SQRT(B5)</f>
        <v>350</v>
      </c>
    </row>
    <row r="11" spans="1:2" x14ac:dyDescent="0.3">
      <c r="A11" t="s">
        <v>43</v>
      </c>
      <c r="B11">
        <f>_xlfn.NORM.S.INV(B6)</f>
        <v>-1.6448536269514726</v>
      </c>
    </row>
    <row r="12" spans="1:2" x14ac:dyDescent="0.3">
      <c r="A12" t="s">
        <v>44</v>
      </c>
      <c r="B12">
        <f>B11*B10+B3</f>
        <v>24424.301230566984</v>
      </c>
    </row>
    <row r="14" spans="1:2" x14ac:dyDescent="0.3">
      <c r="A14" t="s">
        <v>45</v>
      </c>
      <c r="B14">
        <f>(B12-B4)/B10</f>
        <v>1.2122892301913817</v>
      </c>
    </row>
    <row r="15" spans="1:2" x14ac:dyDescent="0.3">
      <c r="A15" t="s">
        <v>46</v>
      </c>
      <c r="B15">
        <f>1-_xlfn.NORM.S.DIST(B14,TRUE)</f>
        <v>0.11270084250862844</v>
      </c>
    </row>
    <row r="16" spans="1:2" x14ac:dyDescent="0.3">
      <c r="A16" t="s">
        <v>47</v>
      </c>
      <c r="B16">
        <f>1-B15</f>
        <v>0.88729915749137156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Q10</vt:lpstr>
      <vt:lpstr>Q11</vt:lpstr>
      <vt:lpstr>Q12</vt:lpstr>
      <vt:lpstr>Q13</vt:lpstr>
      <vt:lpstr>Q14</vt:lpstr>
      <vt:lpstr>Q18</vt:lpstr>
      <vt:lpstr>Q21</vt:lpstr>
      <vt:lpstr>Q22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Keara-Linn Stapelberg</dc:creator>
  <cp:lastModifiedBy>Keara-Linn Stapelberg</cp:lastModifiedBy>
  <dcterms:created xsi:type="dcterms:W3CDTF">2026-08-22T18:49:22Z</dcterms:created>
  <dcterms:modified xsi:type="dcterms:W3CDTF">2026-08-25T12:40:49Z</dcterms:modified>
</cp:coreProperties>
</file>