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Statistiek en Datawetenskap 188\Lesings\2025\"/>
    </mc:Choice>
  </mc:AlternateContent>
  <xr:revisionPtr revIDLastSave="0" documentId="13_ncr:1_{D8171D96-0F18-4C8B-88D4-6CE457A2564E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Acerno_Cache_XXXXX" sheetId="3" state="veryHidden" r:id="rId1"/>
    <sheet name="Normal Probabilities" sheetId="2" r:id="rId2"/>
    <sheet name="Normal plot" sheetId="1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3" i="1"/>
  <c r="K13" i="2"/>
  <c r="K11" i="2"/>
  <c r="K9" i="2"/>
  <c r="K7" i="2"/>
  <c r="D17" i="2"/>
  <c r="D15" i="2"/>
  <c r="D14" i="2"/>
  <c r="D13" i="2"/>
  <c r="D9" i="2"/>
  <c r="D7" i="2"/>
</calcChain>
</file>

<file path=xl/sharedStrings.xml><?xml version="1.0" encoding="utf-8"?>
<sst xmlns="http://schemas.openxmlformats.org/spreadsheetml/2006/main" count="28" uniqueCount="22">
  <si>
    <t>P(X&gt;9)</t>
  </si>
  <si>
    <t>P(5&lt;X&lt;9)</t>
  </si>
  <si>
    <t>(a)</t>
  </si>
  <si>
    <t>(b)</t>
  </si>
  <si>
    <t>(c)</t>
  </si>
  <si>
    <t>(d)</t>
  </si>
  <si>
    <t>X</t>
  </si>
  <si>
    <t>j</t>
  </si>
  <si>
    <t>alpha</t>
  </si>
  <si>
    <t>Z</t>
  </si>
  <si>
    <r>
      <t>Mean (</t>
    </r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)</t>
    </r>
  </si>
  <si>
    <t>Calculate the probabilities: P(X&lt;x)=?</t>
  </si>
  <si>
    <r>
      <t>Standard deviation (</t>
    </r>
    <r>
      <rPr>
        <sz val="11"/>
        <color theme="1"/>
        <rFont val="Calibri"/>
        <family val="2"/>
      </rPr>
      <t>σ</t>
    </r>
    <r>
      <rPr>
        <sz val="11"/>
        <color theme="1"/>
        <rFont val="Calibri"/>
        <family val="2"/>
        <scheme val="minor"/>
      </rPr>
      <t>)</t>
    </r>
  </si>
  <si>
    <r>
      <t>Obtain the percentiles (X values): P(X&lt;?)=</t>
    </r>
    <r>
      <rPr>
        <b/>
        <sz val="11"/>
        <color rgb="FFFF0000"/>
        <rFont val="Calibri"/>
        <family val="2"/>
      </rPr>
      <t>α</t>
    </r>
  </si>
  <si>
    <t>20th percentile</t>
  </si>
  <si>
    <t>90th Percentile</t>
  </si>
  <si>
    <t>50th percentile (median,Q2)</t>
  </si>
  <si>
    <t>75th percentile (Q3)</t>
  </si>
  <si>
    <t>Commuting time</t>
  </si>
  <si>
    <t>P(X&lt;9)</t>
  </si>
  <si>
    <t>P(X&lt;5)</t>
  </si>
  <si>
    <t>P(Z&lt;-0.12)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</si>
</sst>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'Normal plot'!$C$2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'Normal plot'!$E$3:$E$17</c:f>
              <c:numCache>
                <c:formatCode>General</c:formatCode>
                <c:ptCount val="15"/>
                <c:pt idx="0">
                  <c:v>-1.5341205443525459</c:v>
                </c:pt>
                <c:pt idx="1">
                  <c:v>-1.1503493803760083</c:v>
                </c:pt>
                <c:pt idx="2">
                  <c:v>-0.88714655901887607</c:v>
                </c:pt>
                <c:pt idx="3">
                  <c:v>-0.67448975019608193</c:v>
                </c:pt>
                <c:pt idx="4">
                  <c:v>-0.48877641111466941</c:v>
                </c:pt>
                <c:pt idx="5">
                  <c:v>-0.3186393639643752</c:v>
                </c:pt>
                <c:pt idx="6">
                  <c:v>-0.1573106846101707</c:v>
                </c:pt>
                <c:pt idx="7">
                  <c:v>0</c:v>
                </c:pt>
                <c:pt idx="8">
                  <c:v>0.1573106846101707</c:v>
                </c:pt>
                <c:pt idx="9">
                  <c:v>0.3186393639643752</c:v>
                </c:pt>
                <c:pt idx="10">
                  <c:v>0.48877641111466941</c:v>
                </c:pt>
                <c:pt idx="11">
                  <c:v>0.67448975019608193</c:v>
                </c:pt>
                <c:pt idx="12">
                  <c:v>0.88714655901887607</c:v>
                </c:pt>
                <c:pt idx="13">
                  <c:v>1.1503493803760083</c:v>
                </c:pt>
                <c:pt idx="14">
                  <c:v>1.5341205443525465</c:v>
                </c:pt>
              </c:numCache>
            </c:numRef>
          </c:xVal>
          <c:yVal>
            <c:numRef>
              <c:f>'Normal plot'!$C$3:$C$17</c:f>
              <c:numCache>
                <c:formatCode>General</c:formatCode>
                <c:ptCount val="15"/>
                <c:pt idx="0">
                  <c:v>24.6</c:v>
                </c:pt>
                <c:pt idx="1">
                  <c:v>27.43</c:v>
                </c:pt>
                <c:pt idx="2">
                  <c:v>27.93</c:v>
                </c:pt>
                <c:pt idx="3">
                  <c:v>28.08</c:v>
                </c:pt>
                <c:pt idx="4">
                  <c:v>29.24</c:v>
                </c:pt>
                <c:pt idx="5">
                  <c:v>30.49</c:v>
                </c:pt>
                <c:pt idx="6">
                  <c:v>30.72</c:v>
                </c:pt>
                <c:pt idx="7">
                  <c:v>31.93</c:v>
                </c:pt>
                <c:pt idx="8">
                  <c:v>32.11</c:v>
                </c:pt>
                <c:pt idx="9">
                  <c:v>33.51</c:v>
                </c:pt>
                <c:pt idx="10">
                  <c:v>34.19</c:v>
                </c:pt>
                <c:pt idx="11">
                  <c:v>34.79</c:v>
                </c:pt>
                <c:pt idx="12">
                  <c:v>34.909999999999997</c:v>
                </c:pt>
                <c:pt idx="13">
                  <c:v>37.26</c:v>
                </c:pt>
                <c:pt idx="14">
                  <c:v>39.47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5D-4520-8A3A-BCF409587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7686911"/>
        <c:axId val="1497688575"/>
      </c:scatterChart>
      <c:valAx>
        <c:axId val="149768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688575"/>
        <c:crosses val="autoZero"/>
        <c:crossBetween val="midCat"/>
      </c:valAx>
      <c:valAx>
        <c:axId val="1497688575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68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495956</xdr:colOff>
      <xdr:row>1</xdr:row>
      <xdr:rowOff>162253</xdr:rowOff>
    </xdr:from>
    <xdr:to>
      <xdr:col>14</xdr:col>
      <xdr:colOff>180646</xdr:colOff>
      <xdr:row>16</xdr:row>
      <xdr:rowOff>47953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90E90B-F791-4512-A7E6-5A86BF404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2C5A-A858-48A8-953D-6214A1584166}">
  <dimension ref="A1"/>
  <sheetViews>
    <sheetView workbookViewId="0"/>
  </sheetViews>
  <sheetFormatPr defaultRowHeight="15" x14ac:dyDescent="0.25"/>
  <cols>
    <col min="1" max="16384" width="9.140625" style="4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7"/>
  <sheetViews>
    <sheetView tabSelected="1" zoomScale="160" zoomScaleNormal="160" workbookViewId="0">
      <selection activeCell="H15" sqref="H15"/>
    </sheetView>
  </sheetViews>
  <sheetFormatPr defaultRowHeight="15" x14ac:dyDescent="0.25"/>
  <cols>
    <col min="3" max="3" width="19.7109375" bestFit="1" customWidth="1"/>
    <col min="10" max="10" width="31.7109375" customWidth="1"/>
  </cols>
  <sheetData>
    <row r="2" spans="2:11" x14ac:dyDescent="0.25">
      <c r="C2" s="3" t="s">
        <v>11</v>
      </c>
      <c r="J2" s="3" t="s">
        <v>13</v>
      </c>
    </row>
    <row r="4" spans="2:11" x14ac:dyDescent="0.25">
      <c r="C4" t="s">
        <v>10</v>
      </c>
      <c r="D4">
        <v>7</v>
      </c>
      <c r="J4" t="s">
        <v>10</v>
      </c>
      <c r="K4">
        <v>7</v>
      </c>
    </row>
    <row r="5" spans="2:11" x14ac:dyDescent="0.25">
      <c r="C5" t="s">
        <v>12</v>
      </c>
      <c r="D5">
        <v>2</v>
      </c>
      <c r="J5" t="s">
        <v>12</v>
      </c>
      <c r="K5">
        <v>2</v>
      </c>
    </row>
    <row r="7" spans="2:11" x14ac:dyDescent="0.25">
      <c r="B7" t="s">
        <v>2</v>
      </c>
      <c r="C7" s="2" t="s">
        <v>19</v>
      </c>
      <c r="D7">
        <f>_xlfn.NORM.DIST(9,7,2,TRUE)</f>
        <v>0.84134474606854304</v>
      </c>
      <c r="I7" t="s">
        <v>2</v>
      </c>
      <c r="J7" t="s">
        <v>15</v>
      </c>
      <c r="K7">
        <f>_xlfn.NORM.INV(0.9,7,2)</f>
        <v>9.5631031310892016</v>
      </c>
    </row>
    <row r="8" spans="2:11" x14ac:dyDescent="0.25">
      <c r="C8" s="2"/>
    </row>
    <row r="9" spans="2:11" x14ac:dyDescent="0.25">
      <c r="B9" t="s">
        <v>3</v>
      </c>
      <c r="C9" s="2" t="s">
        <v>0</v>
      </c>
      <c r="D9">
        <f>1-_xlfn.NORM.DIST(9,7,2,TRUE)</f>
        <v>0.15865525393145696</v>
      </c>
      <c r="I9" t="s">
        <v>3</v>
      </c>
      <c r="J9" t="s">
        <v>14</v>
      </c>
      <c r="K9">
        <f>_xlfn.NORM.INV(0.2,7,2)</f>
        <v>5.3167575328541705</v>
      </c>
    </row>
    <row r="10" spans="2:11" x14ac:dyDescent="0.25">
      <c r="C10" s="2"/>
    </row>
    <row r="11" spans="2:11" x14ac:dyDescent="0.25">
      <c r="B11" t="s">
        <v>4</v>
      </c>
      <c r="C11" s="2" t="s">
        <v>1</v>
      </c>
      <c r="I11" t="s">
        <v>4</v>
      </c>
      <c r="J11" t="s">
        <v>16</v>
      </c>
      <c r="K11">
        <f>_xlfn.NORM.INV(0.5,7,2)</f>
        <v>7</v>
      </c>
    </row>
    <row r="12" spans="2:11" x14ac:dyDescent="0.25">
      <c r="C12" s="2"/>
    </row>
    <row r="13" spans="2:11" x14ac:dyDescent="0.25">
      <c r="C13" s="2" t="s">
        <v>19</v>
      </c>
      <c r="D13">
        <f>_xlfn.NORM.DIST(9,7,2,TRUE)</f>
        <v>0.84134474606854304</v>
      </c>
      <c r="I13" t="s">
        <v>5</v>
      </c>
      <c r="J13" t="s">
        <v>17</v>
      </c>
      <c r="K13">
        <f>_xlfn.NORM.INV(0.75,7,2)</f>
        <v>8.3489795003921632</v>
      </c>
    </row>
    <row r="14" spans="2:11" x14ac:dyDescent="0.25">
      <c r="C14" s="2" t="s">
        <v>20</v>
      </c>
      <c r="D14">
        <f>_xlfn.NORM.DIST(5,7,2,TRUE)</f>
        <v>0.15865525393145699</v>
      </c>
    </row>
    <row r="15" spans="2:11" x14ac:dyDescent="0.25">
      <c r="D15">
        <f>D13-D14</f>
        <v>0.68268949213708607</v>
      </c>
    </row>
    <row r="17" spans="3:4" x14ac:dyDescent="0.25">
      <c r="C17" t="s">
        <v>21</v>
      </c>
      <c r="D17">
        <f>_xlfn.NORM.S.DIST(-0.12,TRUE)</f>
        <v>0.45224157397941611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7"/>
  <sheetViews>
    <sheetView zoomScale="145" zoomScaleNormal="145" workbookViewId="0">
      <selection activeCell="D11" sqref="D11"/>
    </sheetView>
  </sheetViews>
  <sheetFormatPr defaultRowHeight="15" x14ac:dyDescent="0.25"/>
  <cols>
    <col min="2" max="2" width="9.140625" style="1"/>
    <col min="3" max="3" width="9.5703125" customWidth="1"/>
  </cols>
  <sheetData>
    <row r="1" spans="2:5" x14ac:dyDescent="0.25">
      <c r="C1" s="1" t="s">
        <v>18</v>
      </c>
    </row>
    <row r="2" spans="2:5" x14ac:dyDescent="0.25">
      <c r="B2" s="1" t="s">
        <v>7</v>
      </c>
      <c r="C2" s="1" t="s">
        <v>6</v>
      </c>
      <c r="D2" t="s">
        <v>8</v>
      </c>
      <c r="E2" t="s">
        <v>9</v>
      </c>
    </row>
    <row r="3" spans="2:5" x14ac:dyDescent="0.25">
      <c r="B3" s="1">
        <v>1</v>
      </c>
      <c r="C3" s="1">
        <v>24.6</v>
      </c>
      <c r="D3">
        <f>B3/16</f>
        <v>6.25E-2</v>
      </c>
      <c r="E3">
        <f>_xlfn.NORM.S.INV(D3)</f>
        <v>-1.5341205443525459</v>
      </c>
    </row>
    <row r="4" spans="2:5" x14ac:dyDescent="0.25">
      <c r="B4" s="1">
        <v>2</v>
      </c>
      <c r="C4" s="1">
        <v>27.43</v>
      </c>
      <c r="D4">
        <f>B4/16</f>
        <v>0.125</v>
      </c>
      <c r="E4">
        <f t="shared" ref="E4:E17" si="0">_xlfn.NORM.S.INV(D4)</f>
        <v>-1.1503493803760083</v>
      </c>
    </row>
    <row r="5" spans="2:5" x14ac:dyDescent="0.25">
      <c r="B5" s="1">
        <v>3</v>
      </c>
      <c r="C5" s="1">
        <v>27.93</v>
      </c>
      <c r="D5">
        <f t="shared" ref="D5:D17" si="1">B5/16</f>
        <v>0.1875</v>
      </c>
      <c r="E5">
        <f t="shared" si="0"/>
        <v>-0.88714655901887607</v>
      </c>
    </row>
    <row r="6" spans="2:5" x14ac:dyDescent="0.25">
      <c r="B6" s="1">
        <v>4</v>
      </c>
      <c r="C6" s="1">
        <v>28.08</v>
      </c>
      <c r="D6">
        <f t="shared" si="1"/>
        <v>0.25</v>
      </c>
      <c r="E6">
        <f t="shared" si="0"/>
        <v>-0.67448975019608193</v>
      </c>
    </row>
    <row r="7" spans="2:5" x14ac:dyDescent="0.25">
      <c r="B7" s="1">
        <v>5</v>
      </c>
      <c r="C7" s="1">
        <v>29.24</v>
      </c>
      <c r="D7">
        <f t="shared" si="1"/>
        <v>0.3125</v>
      </c>
      <c r="E7">
        <f t="shared" si="0"/>
        <v>-0.48877641111466941</v>
      </c>
    </row>
    <row r="8" spans="2:5" x14ac:dyDescent="0.25">
      <c r="B8" s="1">
        <v>6</v>
      </c>
      <c r="C8" s="1">
        <v>30.49</v>
      </c>
      <c r="D8">
        <f t="shared" si="1"/>
        <v>0.375</v>
      </c>
      <c r="E8">
        <f t="shared" si="0"/>
        <v>-0.3186393639643752</v>
      </c>
    </row>
    <row r="9" spans="2:5" x14ac:dyDescent="0.25">
      <c r="B9" s="1">
        <v>7</v>
      </c>
      <c r="C9" s="1">
        <v>30.72</v>
      </c>
      <c r="D9">
        <f t="shared" si="1"/>
        <v>0.4375</v>
      </c>
      <c r="E9">
        <f t="shared" si="0"/>
        <v>-0.1573106846101707</v>
      </c>
    </row>
    <row r="10" spans="2:5" x14ac:dyDescent="0.25">
      <c r="B10" s="1">
        <v>8</v>
      </c>
      <c r="C10" s="1">
        <v>31.93</v>
      </c>
      <c r="D10">
        <f t="shared" si="1"/>
        <v>0.5</v>
      </c>
      <c r="E10">
        <f t="shared" si="0"/>
        <v>0</v>
      </c>
    </row>
    <row r="11" spans="2:5" x14ac:dyDescent="0.25">
      <c r="B11" s="1">
        <v>9</v>
      </c>
      <c r="C11" s="1">
        <v>32.11</v>
      </c>
      <c r="D11">
        <f t="shared" si="1"/>
        <v>0.5625</v>
      </c>
      <c r="E11">
        <f t="shared" si="0"/>
        <v>0.1573106846101707</v>
      </c>
    </row>
    <row r="12" spans="2:5" x14ac:dyDescent="0.25">
      <c r="B12" s="1">
        <v>10</v>
      </c>
      <c r="C12" s="1">
        <v>33.51</v>
      </c>
      <c r="D12">
        <f t="shared" si="1"/>
        <v>0.625</v>
      </c>
      <c r="E12">
        <f t="shared" si="0"/>
        <v>0.3186393639643752</v>
      </c>
    </row>
    <row r="13" spans="2:5" x14ac:dyDescent="0.25">
      <c r="B13" s="1">
        <v>11</v>
      </c>
      <c r="C13" s="1">
        <v>34.19</v>
      </c>
      <c r="D13">
        <f t="shared" si="1"/>
        <v>0.6875</v>
      </c>
      <c r="E13">
        <f t="shared" si="0"/>
        <v>0.48877641111466941</v>
      </c>
    </row>
    <row r="14" spans="2:5" x14ac:dyDescent="0.25">
      <c r="B14" s="1">
        <v>12</v>
      </c>
      <c r="C14" s="1">
        <v>34.79</v>
      </c>
      <c r="D14">
        <f t="shared" si="1"/>
        <v>0.75</v>
      </c>
      <c r="E14">
        <f t="shared" si="0"/>
        <v>0.67448975019608193</v>
      </c>
    </row>
    <row r="15" spans="2:5" x14ac:dyDescent="0.25">
      <c r="B15" s="1">
        <v>13</v>
      </c>
      <c r="C15" s="1">
        <v>34.909999999999997</v>
      </c>
      <c r="D15">
        <f t="shared" si="1"/>
        <v>0.8125</v>
      </c>
      <c r="E15">
        <f t="shared" si="0"/>
        <v>0.88714655901887607</v>
      </c>
    </row>
    <row r="16" spans="2:5" x14ac:dyDescent="0.25">
      <c r="B16" s="1">
        <v>14</v>
      </c>
      <c r="C16" s="1">
        <v>37.26</v>
      </c>
      <c r="D16">
        <f t="shared" si="1"/>
        <v>0.875</v>
      </c>
      <c r="E16">
        <f t="shared" si="0"/>
        <v>1.1503493803760083</v>
      </c>
    </row>
    <row r="17" spans="2:5" x14ac:dyDescent="0.25">
      <c r="B17" s="1">
        <v>15</v>
      </c>
      <c r="C17" s="1">
        <v>39.47</v>
      </c>
      <c r="D17">
        <f t="shared" si="1"/>
        <v>0.9375</v>
      </c>
      <c r="E17">
        <f t="shared" si="0"/>
        <v>1.5341205443525465</v>
      </c>
    </row>
  </sheetData>
  <sortState xmlns:xlrd2="http://schemas.microsoft.com/office/spreadsheetml/2017/richdata2" ref="C3:C17">
    <sortCondition ref="C3:C1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Probabilities</vt:lpstr>
      <vt:lpstr>Normal plot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Lamont, Morne, Dr &lt;mmcl@sun.ac.za&gt;</dc:creator>
  <cp:lastModifiedBy>Lamont, MMC [mmcl@sun.ac.za]</cp:lastModifiedBy>
  <dcterms:created xsi:type="dcterms:W3CDTF">2021-06-08T06:02:45Z</dcterms:created>
  <dcterms:modified xsi:type="dcterms:W3CDTF">2025-05-06T08:07:12Z</dcterms:modified>
</cp:coreProperties>
</file>