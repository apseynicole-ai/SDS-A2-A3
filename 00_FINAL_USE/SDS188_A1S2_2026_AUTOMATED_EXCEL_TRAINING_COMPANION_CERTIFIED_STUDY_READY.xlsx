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5c7c9c6aa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75d6a95c9a24d4b"/>
    <x:sheet xmlns:r="http://schemas.openxmlformats.org/officeDocument/2006/relationships" name="EXAM_TRACKER" sheetId="2" r:id="R4e968eba29724ba2"/>
    <x:sheet xmlns:r="http://schemas.openxmlformats.org/officeDocument/2006/relationships" name="CH6_DISTRIBUTIONS" sheetId="3" r:id="Re2132cd5f6b7415c"/>
    <x:sheet xmlns:r="http://schemas.openxmlformats.org/officeDocument/2006/relationships" name="CH7_SAMPLING" sheetId="4" r:id="R49ea384240ac4f12"/>
    <x:sheet xmlns:r="http://schemas.openxmlformats.org/officeDocument/2006/relationships" name="CH8_CI_SAMPLE_SIZE" sheetId="5" r:id="R66b57c5c168f4415"/>
    <x:sheet xmlns:r="http://schemas.openxmlformats.org/officeDocument/2006/relationships" name="CH9_HYPOTHESIS" sheetId="6" r:id="R3fd7328d24314dea"/>
    <x:sheet xmlns:r="http://schemas.openxmlformats.org/officeDocument/2006/relationships" name="BOOTSTRAP_AUTO" sheetId="7" r:id="R8f0bce24f4c64c3f"/>
    <x:sheet xmlns:r="http://schemas.openxmlformats.org/officeDocument/2006/relationships" name="T9_PRIORITY" sheetId="8" r:id="Rbab37d2e4aee4b5a"/>
    <x:sheet xmlns:r="http://schemas.openxmlformats.org/officeDocument/2006/relationships" name="T9_Q14_RAW" sheetId="9" r:id="R70f55db11a7a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"/>
    <x:numFmt numFmtId="202" formatCode="@"/>
    <x:numFmt numFmtId="203" formatCode="0"/>
    <x:numFmt numFmtId="204" formatCode="0.000"/>
    <x:numFmt numFmtId="205" formatCode="0.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22222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F5F5F5"/>
      </x:patternFill>
    </x:fill>
    <x:fill>
      <x:patternFill patternType="solid">
        <x:fgColor rgb="FF666666"/>
      </x:patternFill>
    </x:fill>
    <x:fill>
      <x:patternFill patternType="solid">
        <x:fgColor rgb="FFFFFFFF"/>
      </x:patternFill>
    </x:fill>
    <x:fill>
      <x:patternFill patternType="solid">
        <x:fgColor rgb="FFE7E7E7"/>
      </x:patternFill>
    </x:fill>
    <x:fill>
      <x:patternFill patternType="solid">
        <x:fgColor rgb="FFE7E7E7"/>
      </x:patternFill>
    </x:fill>
    <x:fill>
      <x:patternFill patternType="solid">
        <x:fgColor rgb="FF222222"/>
      </x:patternFill>
    </x:fill>
    <x:fill>
      <x:patternFill patternType="solid">
        <x:fgColor rgb="FFF5F5F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left"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/>
    </x:xf>
    <x:xf numFmtId="200" fontId="4" fillId="5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200" fontId="5" fillId="6" borderId="1" xfId="0" applyNumberFormat="1" applyFont="1" applyFill="1" applyBorder="1" applyAlignment="1">
      <x:alignment vertical="top"/>
    </x:xf>
    <x:xf numFmtId="200" fontId="4" fillId="5" borderId="1" xfId="0" applyNumberFormat="1" applyFont="1" applyFill="1" applyBorder="1" applyAlignment="1">
      <x:alignment vertical="top"/>
    </x:xf>
    <x:xf numFmtId="0" fontId="5" fillId="6" borderId="1" xfId="0" applyNumberFormat="1" applyFont="1" applyFill="1" applyBorder="1" applyAlignment="1">
      <x:alignment vertical="top"/>
    </x:xf>
    <x:xf numFmtId="201" fontId="4" fillId="5" borderId="0" xfId="0" applyNumberFormat="1" applyFont="1" applyFill="1" applyBorder="1" applyAlignment="1">
      <x:alignment vertical="top"/>
    </x:xf>
    <x:xf numFmtId="202" fontId="4" fillId="5" borderId="0" xfId="0" applyNumberFormat="1" applyFont="1" applyFill="1" applyBorder="1" applyAlignment="1">
      <x:alignment vertical="top"/>
    </x:xf>
    <x:xf numFmtId="201" fontId="4" fillId="5" borderId="1" xfId="0" applyNumberFormat="1" applyFont="1" applyFill="1" applyBorder="1" applyAlignment="1">
      <x:alignment vertical="top"/>
    </x:xf>
    <x:xf numFmtId="202" fontId="4" fillId="5" borderId="1" xfId="0" applyNumberFormat="1" applyFont="1" applyFill="1" applyBorder="1" applyAlignment="1">
      <x:alignment vertical="top"/>
    </x:xf>
    <x:xf numFmtId="203" fontId="4" fillId="5" borderId="0" xfId="0" applyNumberFormat="1" applyFont="1" applyFill="1" applyBorder="1" applyAlignment="1">
      <x:alignment vertical="top"/>
    </x:xf>
    <x:xf numFmtId="203" fontId="4" fillId="5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200" fontId="4" fillId="6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200" fontId="4" fillId="6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5" fontId="4" fillId="5" borderId="0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5" fontId="4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left" vertical="top"/>
    </x:xf>
    <x:xf numFmtId="0" fontId="3" fillId="8" borderId="0" xfId="0" applyNumberFormat="1" applyFont="1" applyFill="1" applyBorder="1" applyAlignment="1">
      <x:alignment horizontal="left" vertical="top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horizontal="left" vertical="top"/>
    </x:xf>
    <x:xf numFmtId="0" fontId="5" fillId="7" borderId="0" xfId="0" applyNumberFormat="1" applyFont="1" applyFill="1" applyBorder="1" applyAlignment="1">
      <x:alignment vertical="top"/>
    </x:xf>
    <x:xf numFmtId="200" fontId="4" fillId="7" borderId="0" xfId="0" applyNumberFormat="1" applyFont="1" applyFill="1" applyBorder="1" applyAlignment="1">
      <x:alignment vertical="top"/>
    </x:xf>
    <x:xf numFmtId="201" fontId="4" fillId="7" borderId="0" xfId="0" applyNumberFormat="1" applyFont="1" applyFill="1" applyBorder="1" applyAlignment="1">
      <x:alignment vertical="top"/>
    </x:xf>
    <x:xf numFmtId="202" fontId="4" fillId="7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horizontal="left" vertical="top"/>
    </x:xf>
    <x:xf numFmtId="0" fontId="4" fillId="7" borderId="0" xfId="0" applyNumberFormat="1" applyFont="1" applyFill="1" applyBorder="1" applyAlignment="1">
      <x:alignment horizontal="left"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1" fontId="4" fillId="7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left" vertical="center" wrapText="1"/>
    </x:xf>
    <x:xf numFmtId="200" fontId="4" fillId="7" borderId="0" xfId="0" applyNumberFormat="1" applyFont="1" applyFill="1" applyBorder="1" applyAlignment="1">
      <x:alignment vertical="center" wrapText="1"/>
    </x:xf>
    <x:xf numFmtId="201" fontId="4" fillId="7" borderId="0" xfId="0" applyNumberFormat="1" applyFont="1" applyFill="1" applyBorder="1" applyAlignment="1">
      <x:alignment vertical="center" wrapText="1"/>
    </x:xf>
    <x:xf numFmtId="202" fontId="4" fillId="7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left" vertical="top"/>
    </x:xf>
    <x:xf numFmtId="0" fontId="0" fillId="9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horizontal="left" vertical="top"/>
    </x:xf>
    <x:xf numFmtId="0" fontId="7" fillId="9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horizontal="left"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200" fontId="4" fillId="10" borderId="0" xfId="0" applyNumberFormat="1" applyFont="1" applyFill="1" applyBorder="1" applyAlignment="1">
      <x:alignment vertical="top"/>
    </x:xf>
    <x:xf numFmtId="203" fontId="4" fillId="1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167042f5a41d2" /><Relationship Type="http://schemas.openxmlformats.org/officeDocument/2006/relationships/theme" Target="/xl/theme/theme1.xml" Id="R6ac4ed5b13db4a03" /><Relationship Type="http://schemas.openxmlformats.org/officeDocument/2006/relationships/sharedStrings" Target="/xl/sharedStrings.xml" Id="Rb69d6b9636cb4d23" /><Relationship Type="http://schemas.openxmlformats.org/officeDocument/2006/relationships/worksheet" Target="/xl/worksheets/sheet1.xml" Id="Re75d6a95c9a24d4b" /><Relationship Type="http://schemas.openxmlformats.org/officeDocument/2006/relationships/worksheet" Target="/xl/worksheets/sheet2.xml" Id="R4e968eba29724ba2" /><Relationship Type="http://schemas.openxmlformats.org/officeDocument/2006/relationships/worksheet" Target="/xl/worksheets/sheet3.xml" Id="Re2132cd5f6b7415c" /><Relationship Type="http://schemas.openxmlformats.org/officeDocument/2006/relationships/worksheet" Target="/xl/worksheets/sheet4.xml" Id="R49ea384240ac4f12" /><Relationship Type="http://schemas.openxmlformats.org/officeDocument/2006/relationships/worksheet" Target="/xl/worksheets/sheet5.xml" Id="R66b57c5c168f4415" /><Relationship Type="http://schemas.openxmlformats.org/officeDocument/2006/relationships/worksheet" Target="/xl/worksheets/sheet6.xml" Id="R3fd7328d24314dea" /><Relationship Type="http://schemas.openxmlformats.org/officeDocument/2006/relationships/worksheet" Target="/xl/worksheets/sheet7.xml" Id="R8f0bce24f4c64c3f" /><Relationship Type="http://schemas.openxmlformats.org/officeDocument/2006/relationships/worksheet" Target="/xl/worksheets/sheet8.xml" Id="Rbab37d2e4aee4b5a" /><Relationship Type="http://schemas.openxmlformats.org/officeDocument/2006/relationships/worksheet" Target="/xl/worksheets/sheet9.xml" Id="R70f55db11a7a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24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SDS188 A1S2 · Automated Excel Training Companion · CERTIFIED STUDY-READY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Training calculator for Chapters 6–8 and the formal Chapter 9 scope through Slide 51 / Lesson 9.7. Use the blank paper for route/logic/control. Keep full precision in Excel. A single numerical power calculation is retained only as the official Practice Test Q4 bridge.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22" customHeight="1">
      <x:c r="A4" s="77" t="str">
        <x:v>EXAM-DAY WORKFLOW</x:v>
      </x:c>
      <x:c r="B4" s="77"/>
      <x:c r="C4" s="77"/>
      <x:c r="D4" s="77"/>
      <x:c r="E4" s="77"/>
      <x:c r="F4" s="77"/>
      <x:c r="G4" s="77"/>
      <x:c r="H4" s="77"/>
      <x:c r="I4" s="77"/>
      <x:c r="J4" s="77"/>
    </x:row>
    <x:row r="5">
      <x:c r="A5" s="78" t="str">
        <x:v>1</x:v>
      </x:c>
      <x:c r="B5" s="79" t="str">
        <x:v>READ</x:v>
      </x:c>
      <x:c r="C5" s="80" t="str">
        <x:v>Identify exactly what the question asks.</x:v>
      </x:c>
      <x:c r="D5" s="76"/>
      <x:c r="E5" s="76"/>
      <x:c r="F5" s="76"/>
      <x:c r="G5" s="76"/>
      <x:c r="H5" s="76"/>
      <x:c r="I5" s="76"/>
      <x:c r="J5" s="76"/>
    </x:row>
    <x:row r="6">
      <x:c r="A6" s="78" t="str">
        <x:v>2</x:v>
      </x:c>
      <x:c r="B6" s="79" t="str">
        <x:v>CLASSIFY</x:v>
      </x:c>
      <x:c r="C6" s="80" t="str">
        <x:v>On paper: object/parameter, route/distribution, tail, required output.</x:v>
      </x:c>
      <x:c r="D6" s="76"/>
      <x:c r="E6" s="76"/>
      <x:c r="F6" s="76"/>
      <x:c r="G6" s="76"/>
      <x:c r="H6" s="76"/>
      <x:c r="I6" s="76"/>
      <x:c r="J6" s="76"/>
    </x:row>
    <x:row r="7">
      <x:c r="A7" s="78" t="str">
        <x:v>3</x:v>
      </x:c>
      <x:c r="B7" s="79" t="str">
        <x:v>EXCEL</x:v>
      </x:c>
      <x:c r="C7" s="80" t="str">
        <x:v>Use the correct calculator tab; do not round intermediate cells.</x:v>
      </x:c>
      <x:c r="D7" s="76"/>
      <x:c r="E7" s="76"/>
      <x:c r="F7" s="76"/>
      <x:c r="G7" s="76"/>
      <x:c r="H7" s="76"/>
      <x:c r="I7" s="76"/>
      <x:c r="J7" s="76"/>
    </x:row>
    <x:row r="8">
      <x:c r="A8" s="78" t="str">
        <x:v>4</x:v>
      </x:c>
      <x:c r="B8" s="79" t="str">
        <x:v>SENSE-CHECK</x:v>
      </x:c>
      <x:c r="C8" s="80" t="str">
        <x:v>Check sign, tail, scale, df, σ versus s, π0 versus p.</x:v>
      </x:c>
      <x:c r="D8" s="76"/>
      <x:c r="E8" s="76"/>
      <x:c r="F8" s="76"/>
      <x:c r="G8" s="76"/>
      <x:c r="H8" s="76"/>
      <x:c r="I8" s="76"/>
      <x:c r="J8" s="76"/>
    </x:row>
    <x:row r="9">
      <x:c r="A9" s="78" t="str">
        <x:v>5</x:v>
      </x:c>
      <x:c r="B9" s="79" t="str">
        <x:v>ENTER</x:v>
      </x:c>
      <x:c r="C9" s="80" t="str">
        <x:v>Transfer only the requested result to EMSLearn.</x:v>
      </x:c>
      <x:c r="D9" s="76"/>
      <x:c r="E9" s="76"/>
      <x:c r="F9" s="76"/>
      <x:c r="G9" s="76"/>
      <x:c r="H9" s="76"/>
      <x:c r="I9" s="76"/>
      <x:c r="J9" s="76"/>
    </x:row>
    <x:row r="10">
      <x:c r="A10" s="78" t="str">
        <x:v>6</x:v>
      </x:c>
      <x:c r="B10" s="79" t="str">
        <x:v>TRACK</x:v>
      </x:c>
      <x:c r="C10" s="80" t="str">
        <x:v>Mark the question as entered; park flagged questions for a return pass.</x:v>
      </x:c>
      <x:c r="D10" s="76"/>
      <x:c r="E10" s="76"/>
      <x:c r="F10" s="76"/>
      <x:c r="G10" s="76"/>
      <x:c r="H10" s="76"/>
      <x:c r="I10" s="76"/>
      <x:c r="J10" s="76"/>
    </x:row>
    <x:row r="1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</x:row>
    <x:row r="12" ht="22" customHeight="1">
      <x:c r="A12" s="77" t="str">
        <x:v>WHICH TAB?</x:v>
      </x:c>
      <x:c r="B12" s="77"/>
      <x:c r="C12" s="77"/>
      <x:c r="D12" s="77"/>
      <x:c r="E12" s="77"/>
      <x:c r="F12" s="77"/>
      <x:c r="G12" s="77"/>
      <x:c r="H12" s="77"/>
      <x:c r="I12" s="77"/>
      <x:c r="J12" s="77"/>
    </x:row>
    <x:row r="13">
      <x:c r="A13" s="78" t="str">
        <x:v>Chapter 6</x:v>
      </x:c>
      <x:c r="B13" s="78" t="str">
        <x:v>CH6_DISTRIBUTIONS</x:v>
      </x:c>
      <x:c r="C13" s="78" t="str">
        <x:v>Normal, inverse normal, uniform, exponential.</x:v>
      </x:c>
      <x:c r="D13" s="76"/>
      <x:c r="E13" s="76"/>
      <x:c r="F13" s="76"/>
      <x:c r="G13" s="76"/>
      <x:c r="H13" s="76"/>
      <x:c r="I13" s="76"/>
      <x:c r="J13" s="76"/>
    </x:row>
    <x:row r="14">
      <x:c r="A14" s="80" t="str">
        <x:v>Chapter 7</x:v>
      </x:c>
      <x:c r="B14" s="80" t="str">
        <x:v>CH7_SAMPLING</x:v>
      </x:c>
      <x:c r="C14" s="80" t="str">
        <x:v>Sample means, proportions, two means, FPC, exponential sample mean.</x:v>
      </x:c>
      <x:c r="D14" s="76"/>
      <x:c r="E14" s="76"/>
      <x:c r="F14" s="76"/>
      <x:c r="G14" s="76"/>
      <x:c r="H14" s="76"/>
      <x:c r="I14" s="76"/>
      <x:c r="J14" s="76"/>
    </x:row>
    <x:row r="15">
      <x:c r="A15" s="80" t="str">
        <x:v>Chapter 8</x:v>
      </x:c>
      <x:c r="B15" s="80" t="str">
        <x:v>CH8_CI_SAMPLE_SIZE</x:v>
      </x:c>
      <x:c r="C15" s="80" t="str">
        <x:v>Confidence intervals, sample size, FPC, population totals.</x:v>
      </x:c>
      <x:c r="D15" s="76"/>
      <x:c r="E15" s="76"/>
      <x:c r="F15" s="76"/>
      <x:c r="G15" s="76"/>
      <x:c r="H15" s="76"/>
      <x:c r="I15" s="76"/>
      <x:c r="J15" s="76"/>
    </x:row>
    <x:row r="16">
      <x:c r="A16" s="80" t="str">
        <x:v>Chapter 8</x:v>
      </x:c>
      <x:c r="B16" s="80" t="str">
        <x:v>BOOTSTRAP_AUTO</x:v>
      </x:c>
      <x:c r="C16" s="80" t="str">
        <x:v>Practice bootstrap resampling template; use supplied assessment resamples if provided.</x:v>
      </x:c>
      <x:c r="D16" s="76"/>
      <x:c r="E16" s="76"/>
      <x:c r="F16" s="76"/>
      <x:c r="G16" s="76"/>
      <x:c r="H16" s="76"/>
      <x:c r="I16" s="76"/>
      <x:c r="J16" s="76"/>
    </x:row>
    <x:row r="17">
      <x:c r="A17" s="80" t="str">
        <x:v>Chapter 9</x:v>
      </x:c>
      <x:c r="B17" s="80" t="str">
        <x:v>CH9_HYPOTHESIS</x:v>
      </x:c>
      <x:c r="C17" s="80" t="str">
        <x:v>FORMAL A1S2: Slides 1–51 / Lessons 9.1–9.7 — H0/H1, Type I/II, α/β/basic power meaning, two-tail Z/t tests, p-values and same-level CI connection.</x:v>
      </x:c>
      <x:c r="D17" s="76"/>
      <x:c r="E17" s="76"/>
      <x:c r="F17" s="76"/>
      <x:c r="G17" s="76"/>
      <x:c r="H17" s="76"/>
      <x:c r="I17" s="76"/>
      <x:c r="J17" s="76"/>
    </x:row>
    <x:row r="18">
      <x:c r="A18" s="80" t="str">
        <x:v>Tutorial 9</x:v>
      </x:c>
      <x:c r="B18" s="80" t="str">
        <x:v>T9_PRIORITY</x:v>
      </x:c>
      <x:c r="C18" s="80" t="str">
        <x:v>Lecturer-confirmed questions 1,2,3,4,7,8,10,14,15.</x:v>
      </x:c>
      <x:c r="D18" s="76"/>
      <x:c r="E18" s="76"/>
      <x:c r="F18" s="76"/>
      <x:c r="G18" s="76"/>
      <x:c r="H18" s="76"/>
      <x:c r="I18" s="76"/>
      <x:c r="J18" s="76"/>
    </x:row>
    <x:row r="19">
      <x:c r="A19" s="80" t="str">
        <x:v>Tutorial 9 Q14</x:v>
      </x:c>
      <x:c r="B19" s="80" t="str">
        <x:v>T9_Q14_RAW</x:v>
      </x:c>
      <x:c r="C19" s="80" t="str">
        <x:v>Raw-data Student-t worked Excel route.</x:v>
      </x:c>
      <x:c r="D19" s="76"/>
      <x:c r="E19" s="76"/>
      <x:c r="F19" s="76"/>
      <x:c r="G19" s="76"/>
      <x:c r="H19" s="76"/>
      <x:c r="I19" s="76"/>
      <x:c r="J19" s="76"/>
    </x:row>
    <x:row r="20">
      <x:c r="A20" s="80" t="str">
        <x:v>All questions</x:v>
      </x:c>
      <x:c r="B20" s="80" t="str">
        <x:v>EXAM_TRACKER</x:v>
      </x:c>
      <x:c r="C20" s="80" t="str">
        <x:v>Question tracker + revisit/entered control.</x:v>
      </x:c>
      <x:c r="D20" s="76"/>
      <x:c r="E20" s="76"/>
      <x:c r="F20" s="76"/>
      <x:c r="G20" s="76"/>
      <x:c r="H20" s="76"/>
      <x:c r="I20" s="76"/>
      <x:c r="J20" s="76"/>
    </x:row>
    <x:row r="2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</x:row>
    <x:row r="22" ht="22" customHeight="1">
      <x:c r="A22" s="77" t="str">
        <x:v>NON-NEGOTIABLE CHECKS</x:v>
      </x:c>
      <x:c r="B22" s="77"/>
      <x:c r="C22" s="77"/>
      <x:c r="D22" s="77"/>
      <x:c r="E22" s="77"/>
      <x:c r="F22" s="77"/>
      <x:c r="G22" s="77"/>
      <x:c r="H22" s="77"/>
      <x:c r="I22" s="77"/>
      <x:c r="J22" s="77"/>
    </x:row>
    <x:row r="23">
      <x:c r="A23" s="79" t="str">
        <x:v>σ known?</x:v>
      </x:c>
      <x:c r="B23" s="80" t="str">
        <x:v>Mean test/CI uses Z. If σ unknown and s is supplied, use Student t.</x:v>
      </x:c>
      <x:c r="C23" s="76"/>
      <x:c r="D23" s="76"/>
      <x:c r="E23" s="76"/>
      <x:c r="F23" s="76"/>
      <x:c r="G23" s="76"/>
      <x:c r="H23" s="76"/>
      <x:c r="I23" s="76"/>
      <x:c r="J23" s="76"/>
    </x:row>
    <x:row r="24">
      <x:c r="A24" s="79" t="str">
        <x:v>Tail?</x:v>
      </x:c>
      <x:c r="B24" s="80" t="str">
        <x:v>H1 chooses lower / upper / two-tail. Do not let the sign of the statistic change the tail.</x:v>
      </x:c>
      <x:c r="C24" s="76"/>
      <x:c r="D24" s="76"/>
      <x:c r="E24" s="76"/>
      <x:c r="F24" s="76"/>
      <x:c r="G24" s="76"/>
      <x:c r="H24" s="76"/>
      <x:c r="I24" s="76"/>
      <x:c r="J24" s="76"/>
    </x:row>
    <x:row r="25">
      <x:c r="A25" s="79" t="str">
        <x:v>Sample mean?</x:v>
      </x:c>
      <x:c r="B25" s="80" t="str">
        <x:v>Use SE = σ/√n (or s/√n for t), not σ.</x:v>
      </x:c>
      <x:c r="C25" s="76"/>
      <x:c r="D25" s="76"/>
      <x:c r="E25" s="76"/>
      <x:c r="F25" s="76"/>
      <x:c r="G25" s="76"/>
      <x:c r="H25" s="76"/>
      <x:c r="I25" s="76"/>
      <x:c r="J25" s="76"/>
    </x:row>
    <x:row r="26">
      <x:c r="A26" s="79" t="str">
        <x:v>Proportion test?</x:v>
      </x:c>
      <x:c r="B26" s="80" t="str">
        <x:v>Test SE uses π0 under H0; CI SE uses observed p.</x:v>
      </x:c>
      <x:c r="C26" s="76"/>
      <x:c r="D26" s="76"/>
      <x:c r="E26" s="76"/>
      <x:c r="F26" s="76"/>
      <x:c r="G26" s="76"/>
      <x:c r="H26" s="76"/>
      <x:c r="I26" s="76"/>
      <x:c r="J26" s="76"/>
    </x:row>
    <x:row r="27">
      <x:c r="A27" s="79" t="str">
        <x:v>Finite population?</x:v>
      </x:c>
      <x:c r="B27" s="80" t="str">
        <x:v>Only apply FPC for sampling without replacement when n/N &gt; 0.05.</x:v>
      </x:c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9" t="str">
        <x:v>Rounding?</x:v>
      </x:c>
      <x:c r="B28" s="80" t="str">
        <x:v>Keep full precision in formulas. The practice test used 4 decimals; follow the real A1S2 instruction shown on screen.</x:v>
      </x:c>
      <x:c r="C28" s="76"/>
      <x:c r="D28" s="76"/>
      <x:c r="E28" s="76"/>
      <x:c r="F28" s="76"/>
      <x:c r="G28" s="76"/>
      <x:c r="H28" s="76"/>
      <x:c r="I28" s="76"/>
      <x:c r="J28" s="76"/>
    </x:row>
    <x:row r="29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</x:row>
    <x:row r="30" ht="30" customHeight="1">
      <x:c r="A30" s="115" t="str">
        <x:v>ASSESSMENT PERMISSION NOTE: This workbook is a rehearsal/training tool. The latest clarification says Excel is encouraged for calculations, but it does not by itself confirm that a pre-built personal workbook may be opened in A1S2. In the real assessment, use only the Excel files/resources permitted or provided by the instructions. Train here until you can reproduce the routes quickly in a blank workbook.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 ht="30" customHeight="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 ht="30" customHeight="1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</x:row>
    <x:row r="34" ht="27" customHeight="1">
      <x:c r="A34" s="124" t="str">
        <x:v>CHAPTER 9 SCOPE GATE — A1S2: Formal study stops at Slide 51 / Lesson 9.7. Do NOT make post-Slide-51 one-tail worked procedures, one-proportion hypothesis tests, broad power/planning/practical-significance or later ethics material a study priority. Exception: retain only the bounded official Practice Test Q4 numerical power bridge.</x:v>
      </x:c>
      <x:c r="B34" s="124"/>
      <x:c r="C34" s="124"/>
      <x:c r="D34" s="124"/>
      <x:c r="E34" s="124"/>
      <x:c r="F34" s="124"/>
      <x:c r="G34" s="124"/>
      <x:c r="H34" s="124"/>
      <x:c r="I34" s="124"/>
      <x:c r="J34" s="124"/>
    </x:row>
    <x:row r="35" ht="27" customHeight="1">
      <x:c r="A35" s="124"/>
      <x:c r="B35" s="124"/>
      <x:c r="C35" s="124"/>
      <x:c r="D35" s="124"/>
      <x:c r="E35" s="124"/>
      <x:c r="F35" s="124"/>
      <x:c r="G35" s="124"/>
      <x:c r="H35" s="124"/>
      <x:c r="I35" s="124"/>
      <x:c r="J35" s="124"/>
    </x:row>
    <x:row r="36" ht="27" customHeight="1">
      <x:c r="A36" s="124"/>
      <x:c r="B36" s="124"/>
      <x:c r="C36" s="124"/>
      <x:c r="D36" s="124"/>
      <x:c r="E36" s="124"/>
      <x:c r="F36" s="124"/>
      <x:c r="G36" s="124"/>
      <x:c r="H36" s="124"/>
      <x:c r="I36" s="124"/>
      <x:c r="J36" s="124"/>
    </x:row>
    <x:row r="37" ht="27" customHeight="1">
      <x:c r="A37" s="124"/>
      <x:c r="B37" s="124"/>
      <x:c r="C37" s="124"/>
      <x:c r="D37" s="124"/>
      <x:c r="E37" s="124"/>
      <x:c r="F37" s="124"/>
      <x:c r="G37" s="124"/>
      <x:c r="H37" s="124"/>
      <x:c r="I37" s="124"/>
      <x:c r="J37" s="124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4:J4"/>
    <x:mergeCell ref="A12:J12"/>
    <x:mergeCell ref="A22:J22"/>
    <x:mergeCell ref="A30:J32"/>
    <x:mergeCell ref="A34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14" hidden="0" customWidth="1"/>
    <x:col min="5" max="5" width="28" hidden="0" customWidth="1"/>
    <x:col min="6" max="6" width="18" hidden="0" customWidth="1"/>
    <x:col min="7" max="7" width="13" hidden="0" customWidth="1"/>
    <x:col min="8" max="8" width="13" hidden="0" customWidth="1"/>
    <x:col min="9" max="9" width="30" hidden="0" customWidth="1"/>
    <x:col min="10" max="10" width="12" hidden="0" customWidth="1"/>
  </x:cols>
  <x:sheetData>
    <x:row r="1" ht="28" customHeight="1">
      <x:c r="A1" s="74" t="str">
        <x:v>A1S2 Question Control Sheet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Mirror the blank-paper tracker here if useful. 'Entered?' is the control that the answer has actually been transferred to EMSLearn.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78" t="str">
        <x:v>Q</x:v>
      </x:c>
      <x:c r="B4" s="78" t="str">
        <x:v>Chapter</x:v>
      </x:c>
      <x:c r="C4" s="78" t="str">
        <x:v>Method / route</x:v>
      </x:c>
      <x:c r="D4" s="78" t="str">
        <x:v>Tail</x:v>
      </x:c>
      <x:c r="E4" s="78" t="str">
        <x:v>Key inputs / warning</x:v>
      </x:c>
      <x:c r="F4" s="78" t="str">
        <x:v>Final answer</x:v>
      </x:c>
      <x:c r="G4" s="78" t="str">
        <x:v>Entered?</x:v>
      </x:c>
      <x:c r="H4" s="78" t="str">
        <x:v>Revisit?</x:v>
      </x:c>
      <x:c r="I4" s="78" t="str">
        <x:v>Reason / check</x:v>
      </x:c>
      <x:c r="J4" s="78" t="str">
        <x:v>Done</x:v>
      </x:c>
      <x:c r="L4" s="27" t="str">
        <x:v>CONTROL</x:v>
      </x:c>
      <x:c r="M4" s="27" t="str">
        <x:v>COUNT</x:v>
      </x:c>
    </x:row>
    <x:row r="5">
      <x:c r="A5" s="80" t="n">
        <x:v>1</x:v>
      </x:c>
      <x:c r="B5" s="80" t="str"/>
      <x:c r="C5" s="80" t="str"/>
      <x:c r="D5" s="80" t="str"/>
      <x:c r="E5" s="80" t="str"/>
      <x:c r="F5" s="80" t="str"/>
      <x:c r="G5" s="80" t="str">
        <x:v>No</x:v>
      </x:c>
      <x:c r="H5" s="80" t="str">
        <x:v>No</x:v>
      </x:c>
      <x:c r="I5" s="80" t="str"/>
      <x:c r="J5" s="88" t="str">
        <x:f>IF(G5="Yes","✓","")</x:f>
      </x:c>
      <x:c r="L5" s="33" t="str">
        <x:v>Entered</x:v>
      </x:c>
      <x:c r="M5" s="47" t="n">
        <x:f>COUNTIF(G5:G34,"Yes")</x:f>
        <x:v>0</x:v>
      </x:c>
    </x:row>
    <x:row r="6">
      <x:c r="A6" s="80" t="n">
        <x:v>2</x:v>
      </x:c>
      <x:c r="B6" s="80" t="str"/>
      <x:c r="C6" s="80" t="str"/>
      <x:c r="D6" s="80" t="str"/>
      <x:c r="E6" s="80" t="str"/>
      <x:c r="F6" s="80" t="str"/>
      <x:c r="G6" s="80" t="str">
        <x:v>No</x:v>
      </x:c>
      <x:c r="H6" s="80" t="str">
        <x:v>No</x:v>
      </x:c>
      <x:c r="I6" s="80" t="str"/>
      <x:c r="J6" s="88" t="str">
        <x:f>IF(G6="Yes","✓","")</x:f>
      </x:c>
      <x:c r="L6" s="33" t="str">
        <x:v>Revisit</x:v>
      </x:c>
      <x:c r="M6" s="47" t="n">
        <x:f>COUNTIF(H5:H34,"Yes")</x:f>
        <x:v>0</x:v>
      </x:c>
    </x:row>
    <x:row r="7">
      <x:c r="A7" s="80" t="n">
        <x:v>3</x:v>
      </x:c>
      <x:c r="B7" s="80" t="str"/>
      <x:c r="C7" s="80" t="str"/>
      <x:c r="D7" s="80" t="str"/>
      <x:c r="E7" s="80" t="str"/>
      <x:c r="F7" s="80" t="str"/>
      <x:c r="G7" s="80" t="str">
        <x:v>No</x:v>
      </x:c>
      <x:c r="H7" s="80" t="str">
        <x:v>No</x:v>
      </x:c>
      <x:c r="I7" s="80" t="str"/>
      <x:c r="J7" s="88" t="str">
        <x:f>IF(G7="Yes","✓","")</x:f>
      </x:c>
      <x:c r="L7" s="33" t="str">
        <x:v>Remaining</x:v>
      </x:c>
      <x:c r="M7" s="47" t="n">
        <x:f>COUNTIF(G5:G34,"No")</x:f>
        <x:v>30</x:v>
      </x:c>
    </x:row>
    <x:row r="8">
      <x:c r="A8" s="80" t="n">
        <x:v>4</x:v>
      </x:c>
      <x:c r="B8" s="80" t="str"/>
      <x:c r="C8" s="80" t="str"/>
      <x:c r="D8" s="80" t="str"/>
      <x:c r="E8" s="80" t="str"/>
      <x:c r="F8" s="80" t="str"/>
      <x:c r="G8" s="80" t="str">
        <x:v>No</x:v>
      </x:c>
      <x:c r="H8" s="80" t="str">
        <x:v>No</x:v>
      </x:c>
      <x:c r="I8" s="80" t="str"/>
      <x:c r="J8" s="88" t="str">
        <x:f>IF(G8="Yes","✓","")</x:f>
      </x:c>
    </x:row>
    <x:row r="9">
      <x:c r="A9" s="80" t="n">
        <x:v>5</x:v>
      </x:c>
      <x:c r="B9" s="80" t="str"/>
      <x:c r="C9" s="80" t="str"/>
      <x:c r="D9" s="80" t="str"/>
      <x:c r="E9" s="80" t="str"/>
      <x:c r="F9" s="80" t="str"/>
      <x:c r="G9" s="80" t="str">
        <x:v>No</x:v>
      </x:c>
      <x:c r="H9" s="80" t="str">
        <x:v>No</x:v>
      </x:c>
      <x:c r="I9" s="80" t="str"/>
      <x:c r="J9" s="88" t="str">
        <x:f>IF(G9="Yes","✓","")</x:f>
      </x:c>
    </x:row>
    <x:row r="10">
      <x:c r="A10" s="80" t="n">
        <x:v>6</x:v>
      </x:c>
      <x:c r="B10" s="80" t="str"/>
      <x:c r="C10" s="80" t="str"/>
      <x:c r="D10" s="80" t="str"/>
      <x:c r="E10" s="80" t="str"/>
      <x:c r="F10" s="80" t="str"/>
      <x:c r="G10" s="80" t="str">
        <x:v>No</x:v>
      </x:c>
      <x:c r="H10" s="80" t="str">
        <x:v>No</x:v>
      </x:c>
      <x:c r="I10" s="80" t="str"/>
      <x:c r="J10" s="88" t="str">
        <x:f>IF(G10="Yes","✓","")</x:f>
      </x:c>
    </x:row>
    <x:row r="11">
      <x:c r="A11" s="80" t="n">
        <x:v>7</x:v>
      </x:c>
      <x:c r="B11" s="80" t="str"/>
      <x:c r="C11" s="80" t="str"/>
      <x:c r="D11" s="80" t="str"/>
      <x:c r="E11" s="80" t="str"/>
      <x:c r="F11" s="80" t="str"/>
      <x:c r="G11" s="80" t="str">
        <x:v>No</x:v>
      </x:c>
      <x:c r="H11" s="80" t="str">
        <x:v>No</x:v>
      </x:c>
      <x:c r="I11" s="80" t="str"/>
      <x:c r="J11" s="88" t="str">
        <x:f>IF(G11="Yes","✓","")</x:f>
      </x:c>
    </x:row>
    <x:row r="12">
      <x:c r="A12" s="80" t="n">
        <x:v>8</x:v>
      </x:c>
      <x:c r="B12" s="80" t="str"/>
      <x:c r="C12" s="80" t="str"/>
      <x:c r="D12" s="80" t="str"/>
      <x:c r="E12" s="80" t="str"/>
      <x:c r="F12" s="80" t="str"/>
      <x:c r="G12" s="80" t="str">
        <x:v>No</x:v>
      </x:c>
      <x:c r="H12" s="80" t="str">
        <x:v>No</x:v>
      </x:c>
      <x:c r="I12" s="80" t="str"/>
      <x:c r="J12" s="88" t="str">
        <x:f>IF(G12="Yes","✓","")</x:f>
      </x:c>
    </x:row>
    <x:row r="13">
      <x:c r="A13" s="80" t="n">
        <x:v>9</x:v>
      </x:c>
      <x:c r="B13" s="80" t="str"/>
      <x:c r="C13" s="80" t="str"/>
      <x:c r="D13" s="80" t="str"/>
      <x:c r="E13" s="80" t="str"/>
      <x:c r="F13" s="80" t="str"/>
      <x:c r="G13" s="80" t="str">
        <x:v>No</x:v>
      </x:c>
      <x:c r="H13" s="80" t="str">
        <x:v>No</x:v>
      </x:c>
      <x:c r="I13" s="80" t="str"/>
      <x:c r="J13" s="88" t="str">
        <x:f>IF(G13="Yes","✓","")</x:f>
      </x:c>
    </x:row>
    <x:row r="14">
      <x:c r="A14" s="80" t="n">
        <x:v>10</x:v>
      </x:c>
      <x:c r="B14" s="80" t="str"/>
      <x:c r="C14" s="80" t="str"/>
      <x:c r="D14" s="80" t="str"/>
      <x:c r="E14" s="80" t="str"/>
      <x:c r="F14" s="80" t="str"/>
      <x:c r="G14" s="80" t="str">
        <x:v>No</x:v>
      </x:c>
      <x:c r="H14" s="80" t="str">
        <x:v>No</x:v>
      </x:c>
      <x:c r="I14" s="80" t="str"/>
      <x:c r="J14" s="88" t="str">
        <x:f>IF(G14="Yes","✓","")</x:f>
      </x:c>
    </x:row>
    <x:row r="15">
      <x:c r="A15" s="80" t="n">
        <x:v>11</x:v>
      </x:c>
      <x:c r="B15" s="80" t="str"/>
      <x:c r="C15" s="80" t="str"/>
      <x:c r="D15" s="80" t="str"/>
      <x:c r="E15" s="80" t="str"/>
      <x:c r="F15" s="80" t="str"/>
      <x:c r="G15" s="80" t="str">
        <x:v>No</x:v>
      </x:c>
      <x:c r="H15" s="80" t="str">
        <x:v>No</x:v>
      </x:c>
      <x:c r="I15" s="80" t="str"/>
      <x:c r="J15" s="88" t="str">
        <x:f>IF(G15="Yes","✓","")</x:f>
      </x:c>
    </x:row>
    <x:row r="16">
      <x:c r="A16" s="80" t="n">
        <x:v>12</x:v>
      </x:c>
      <x:c r="B16" s="80" t="str"/>
      <x:c r="C16" s="80" t="str"/>
      <x:c r="D16" s="80" t="str"/>
      <x:c r="E16" s="80" t="str"/>
      <x:c r="F16" s="80" t="str"/>
      <x:c r="G16" s="80" t="str">
        <x:v>No</x:v>
      </x:c>
      <x:c r="H16" s="80" t="str">
        <x:v>No</x:v>
      </x:c>
      <x:c r="I16" s="80" t="str"/>
      <x:c r="J16" s="88" t="str">
        <x:f>IF(G16="Yes","✓","")</x:f>
      </x:c>
    </x:row>
    <x:row r="17">
      <x:c r="A17" s="80" t="n">
        <x:v>13</x:v>
      </x:c>
      <x:c r="B17" s="80" t="str"/>
      <x:c r="C17" s="80" t="str"/>
      <x:c r="D17" s="80" t="str"/>
      <x:c r="E17" s="80" t="str"/>
      <x:c r="F17" s="80" t="str"/>
      <x:c r="G17" s="80" t="str">
        <x:v>No</x:v>
      </x:c>
      <x:c r="H17" s="80" t="str">
        <x:v>No</x:v>
      </x:c>
      <x:c r="I17" s="80" t="str"/>
      <x:c r="J17" s="88" t="str">
        <x:f>IF(G17="Yes","✓","")</x:f>
      </x:c>
    </x:row>
    <x:row r="18">
      <x:c r="A18" s="80" t="n">
        <x:v>14</x:v>
      </x:c>
      <x:c r="B18" s="80" t="str"/>
      <x:c r="C18" s="80" t="str"/>
      <x:c r="D18" s="80" t="str"/>
      <x:c r="E18" s="80" t="str"/>
      <x:c r="F18" s="80" t="str"/>
      <x:c r="G18" s="80" t="str">
        <x:v>No</x:v>
      </x:c>
      <x:c r="H18" s="80" t="str">
        <x:v>No</x:v>
      </x:c>
      <x:c r="I18" s="80" t="str"/>
      <x:c r="J18" s="88" t="str">
        <x:f>IF(G18="Yes","✓","")</x:f>
      </x:c>
    </x:row>
    <x:row r="19">
      <x:c r="A19" s="80" t="n">
        <x:v>15</x:v>
      </x:c>
      <x:c r="B19" s="80" t="str"/>
      <x:c r="C19" s="80" t="str"/>
      <x:c r="D19" s="80" t="str"/>
      <x:c r="E19" s="80" t="str"/>
      <x:c r="F19" s="80" t="str"/>
      <x:c r="G19" s="80" t="str">
        <x:v>No</x:v>
      </x:c>
      <x:c r="H19" s="80" t="str">
        <x:v>No</x:v>
      </x:c>
      <x:c r="I19" s="80" t="str"/>
      <x:c r="J19" s="88" t="str">
        <x:f>IF(G19="Yes","✓","")</x:f>
      </x:c>
    </x:row>
    <x:row r="20">
      <x:c r="A20" s="80" t="n">
        <x:v>16</x:v>
      </x:c>
      <x:c r="B20" s="80" t="str"/>
      <x:c r="C20" s="80" t="str"/>
      <x:c r="D20" s="80" t="str"/>
      <x:c r="E20" s="80" t="str"/>
      <x:c r="F20" s="80" t="str"/>
      <x:c r="G20" s="80" t="str">
        <x:v>No</x:v>
      </x:c>
      <x:c r="H20" s="80" t="str">
        <x:v>No</x:v>
      </x:c>
      <x:c r="I20" s="80" t="str"/>
      <x:c r="J20" s="88" t="str">
        <x:f>IF(G20="Yes","✓","")</x:f>
      </x:c>
    </x:row>
    <x:row r="21">
      <x:c r="A21" s="80" t="n">
        <x:v>17</x:v>
      </x:c>
      <x:c r="B21" s="80" t="str"/>
      <x:c r="C21" s="80" t="str"/>
      <x:c r="D21" s="80" t="str"/>
      <x:c r="E21" s="80" t="str"/>
      <x:c r="F21" s="80" t="str"/>
      <x:c r="G21" s="80" t="str">
        <x:v>No</x:v>
      </x:c>
      <x:c r="H21" s="80" t="str">
        <x:v>No</x:v>
      </x:c>
      <x:c r="I21" s="80" t="str"/>
      <x:c r="J21" s="88" t="str">
        <x:f>IF(G21="Yes","✓","")</x:f>
      </x:c>
    </x:row>
    <x:row r="22">
      <x:c r="A22" s="80" t="n">
        <x:v>18</x:v>
      </x:c>
      <x:c r="B22" s="80" t="str"/>
      <x:c r="C22" s="80" t="str"/>
      <x:c r="D22" s="80" t="str"/>
      <x:c r="E22" s="80" t="str"/>
      <x:c r="F22" s="80" t="str"/>
      <x:c r="G22" s="80" t="str">
        <x:v>No</x:v>
      </x:c>
      <x:c r="H22" s="80" t="str">
        <x:v>No</x:v>
      </x:c>
      <x:c r="I22" s="80" t="str"/>
      <x:c r="J22" s="88" t="str">
        <x:f>IF(G22="Yes","✓","")</x:f>
      </x:c>
    </x:row>
    <x:row r="23">
      <x:c r="A23" s="80" t="n">
        <x:v>19</x:v>
      </x:c>
      <x:c r="B23" s="80" t="str"/>
      <x:c r="C23" s="80" t="str"/>
      <x:c r="D23" s="80" t="str"/>
      <x:c r="E23" s="80" t="str"/>
      <x:c r="F23" s="80" t="str"/>
      <x:c r="G23" s="80" t="str">
        <x:v>No</x:v>
      </x:c>
      <x:c r="H23" s="80" t="str">
        <x:v>No</x:v>
      </x:c>
      <x:c r="I23" s="80" t="str"/>
      <x:c r="J23" s="88" t="str">
        <x:f>IF(G23="Yes","✓","")</x:f>
      </x:c>
    </x:row>
    <x:row r="24">
      <x:c r="A24" s="80" t="n">
        <x:v>20</x:v>
      </x:c>
      <x:c r="B24" s="80" t="str"/>
      <x:c r="C24" s="80" t="str"/>
      <x:c r="D24" s="80" t="str"/>
      <x:c r="E24" s="80" t="str"/>
      <x:c r="F24" s="80" t="str"/>
      <x:c r="G24" s="80" t="str">
        <x:v>No</x:v>
      </x:c>
      <x:c r="H24" s="80" t="str">
        <x:v>No</x:v>
      </x:c>
      <x:c r="I24" s="80" t="str"/>
      <x:c r="J24" s="88" t="str">
        <x:f>IF(G24="Yes","✓","")</x:f>
      </x:c>
    </x:row>
    <x:row r="25">
      <x:c r="A25" s="80" t="n">
        <x:v>21</x:v>
      </x:c>
      <x:c r="B25" s="80" t="str"/>
      <x:c r="C25" s="80" t="str"/>
      <x:c r="D25" s="80" t="str"/>
      <x:c r="E25" s="80" t="str"/>
      <x:c r="F25" s="80" t="str"/>
      <x:c r="G25" s="80" t="str">
        <x:v>No</x:v>
      </x:c>
      <x:c r="H25" s="80" t="str">
        <x:v>No</x:v>
      </x:c>
      <x:c r="I25" s="80" t="str"/>
      <x:c r="J25" s="88" t="str">
        <x:f>IF(G25="Yes","✓","")</x:f>
      </x:c>
    </x:row>
    <x:row r="26">
      <x:c r="A26" s="80" t="n">
        <x:v>22</x:v>
      </x:c>
      <x:c r="B26" s="80" t="str"/>
      <x:c r="C26" s="80" t="str"/>
      <x:c r="D26" s="80" t="str"/>
      <x:c r="E26" s="80" t="str"/>
      <x:c r="F26" s="80" t="str"/>
      <x:c r="G26" s="80" t="str">
        <x:v>No</x:v>
      </x:c>
      <x:c r="H26" s="80" t="str">
        <x:v>No</x:v>
      </x:c>
      <x:c r="I26" s="80" t="str"/>
      <x:c r="J26" s="88" t="str">
        <x:f>IF(G26="Yes","✓","")</x:f>
      </x:c>
    </x:row>
    <x:row r="27">
      <x:c r="A27" s="80" t="n">
        <x:v>23</x:v>
      </x:c>
      <x:c r="B27" s="80" t="str"/>
      <x:c r="C27" s="80" t="str"/>
      <x:c r="D27" s="80" t="str"/>
      <x:c r="E27" s="80" t="str"/>
      <x:c r="F27" s="80" t="str"/>
      <x:c r="G27" s="80" t="str">
        <x:v>No</x:v>
      </x:c>
      <x:c r="H27" s="80" t="str">
        <x:v>No</x:v>
      </x:c>
      <x:c r="I27" s="80" t="str"/>
      <x:c r="J27" s="88" t="str">
        <x:f>IF(G27="Yes","✓","")</x:f>
      </x:c>
    </x:row>
    <x:row r="28">
      <x:c r="A28" s="80" t="n">
        <x:v>24</x:v>
      </x:c>
      <x:c r="B28" s="80" t="str"/>
      <x:c r="C28" s="80" t="str"/>
      <x:c r="D28" s="80" t="str"/>
      <x:c r="E28" s="80" t="str"/>
      <x:c r="F28" s="80" t="str"/>
      <x:c r="G28" s="80" t="str">
        <x:v>No</x:v>
      </x:c>
      <x:c r="H28" s="80" t="str">
        <x:v>No</x:v>
      </x:c>
      <x:c r="I28" s="80" t="str"/>
      <x:c r="J28" s="88" t="str">
        <x:f>IF(G28="Yes","✓","")</x:f>
      </x:c>
    </x:row>
    <x:row r="29">
      <x:c r="A29" s="80" t="n">
        <x:v>25</x:v>
      </x:c>
      <x:c r="B29" s="80" t="str"/>
      <x:c r="C29" s="80" t="str"/>
      <x:c r="D29" s="80" t="str"/>
      <x:c r="E29" s="80" t="str"/>
      <x:c r="F29" s="80" t="str"/>
      <x:c r="G29" s="80" t="str">
        <x:v>No</x:v>
      </x:c>
      <x:c r="H29" s="80" t="str">
        <x:v>No</x:v>
      </x:c>
      <x:c r="I29" s="80" t="str"/>
      <x:c r="J29" s="88" t="str">
        <x:f>IF(G29="Yes","✓","")</x:f>
      </x:c>
    </x:row>
    <x:row r="30">
      <x:c r="A30" s="80" t="n">
        <x:v>26</x:v>
      </x:c>
      <x:c r="B30" s="80" t="str"/>
      <x:c r="C30" s="80" t="str"/>
      <x:c r="D30" s="80" t="str"/>
      <x:c r="E30" s="80" t="str"/>
      <x:c r="F30" s="80" t="str"/>
      <x:c r="G30" s="80" t="str">
        <x:v>No</x:v>
      </x:c>
      <x:c r="H30" s="80" t="str">
        <x:v>No</x:v>
      </x:c>
      <x:c r="I30" s="80" t="str"/>
      <x:c r="J30" s="88" t="str">
        <x:f>IF(G30="Yes","✓","")</x:f>
      </x:c>
    </x:row>
    <x:row r="31">
      <x:c r="A31" s="80" t="n">
        <x:v>27</x:v>
      </x:c>
      <x:c r="B31" s="80" t="str"/>
      <x:c r="C31" s="80" t="str"/>
      <x:c r="D31" s="80" t="str"/>
      <x:c r="E31" s="80" t="str"/>
      <x:c r="F31" s="80" t="str"/>
      <x:c r="G31" s="80" t="str">
        <x:v>No</x:v>
      </x:c>
      <x:c r="H31" s="80" t="str">
        <x:v>No</x:v>
      </x:c>
      <x:c r="I31" s="80" t="str"/>
      <x:c r="J31" s="88" t="str">
        <x:f>IF(G31="Yes","✓","")</x:f>
      </x:c>
    </x:row>
    <x:row r="32">
      <x:c r="A32" s="80" t="n">
        <x:v>28</x:v>
      </x:c>
      <x:c r="B32" s="80" t="str"/>
      <x:c r="C32" s="80" t="str"/>
      <x:c r="D32" s="80" t="str"/>
      <x:c r="E32" s="80" t="str"/>
      <x:c r="F32" s="80" t="str"/>
      <x:c r="G32" s="80" t="str">
        <x:v>No</x:v>
      </x:c>
      <x:c r="H32" s="80" t="str">
        <x:v>No</x:v>
      </x:c>
      <x:c r="I32" s="80" t="str"/>
      <x:c r="J32" s="88" t="str">
        <x:f>IF(G32="Yes","✓","")</x:f>
      </x:c>
    </x:row>
    <x:row r="33">
      <x:c r="A33" s="80" t="n">
        <x:v>29</x:v>
      </x:c>
      <x:c r="B33" s="80" t="str"/>
      <x:c r="C33" s="80" t="str"/>
      <x:c r="D33" s="80" t="str"/>
      <x:c r="E33" s="80" t="str"/>
      <x:c r="F33" s="80" t="str"/>
      <x:c r="G33" s="80" t="str">
        <x:v>No</x:v>
      </x:c>
      <x:c r="H33" s="80" t="str">
        <x:v>No</x:v>
      </x:c>
      <x:c r="I33" s="80" t="str"/>
      <x:c r="J33" s="88" t="str">
        <x:f>IF(G33="Yes","✓","")</x:f>
      </x:c>
    </x:row>
    <x:row r="34">
      <x:c r="A34" s="80" t="n">
        <x:v>30</x:v>
      </x:c>
      <x:c r="B34" s="80" t="str"/>
      <x:c r="C34" s="80" t="str"/>
      <x:c r="D34" s="80" t="str"/>
      <x:c r="E34" s="80" t="str"/>
      <x:c r="F34" s="80" t="str"/>
      <x:c r="G34" s="80" t="str">
        <x:v>No</x:v>
      </x:c>
      <x:c r="H34" s="80" t="str">
        <x:v>No</x:v>
      </x:c>
      <x:c r="I34" s="80" t="str"/>
      <x:c r="J34" s="88" t="str">
        <x:f>IF(G34="Yes","✓","")</x:f>
      </x:c>
    </x:row>
    <x:row r="35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</x:row>
    <x:row r="36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</x:mergeCells>
  <x:dataValidations count="2">
    <x:dataValidation type="list" sqref="G5:G34">
      <x:formula1>"No,Yes"</x:formula1>
    </x:dataValidation>
    <x:dataValidation type="list" sqref="H5:H34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" hidden="0" customWidth="1"/>
    <x:col min="4" max="4" width="32" hidden="0" customWidth="1"/>
    <x:col min="5" max="5" width="18" hidden="0" customWidth="1"/>
    <x:col min="6" max="6" width="4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Chapter 6 · Distribution Calculators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Separate calculators reduce wrong-route errors. Enter only the grey input cells.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22" customHeight="1">
      <x:c r="A4" s="77" t="str">
        <x:v>A. NORMAL DISTRIBUTION</x:v>
      </x:c>
      <x:c r="B4" s="77"/>
      <x:c r="C4" s="77"/>
      <x:c r="D4" s="77"/>
      <x:c r="E4" s="77"/>
      <x:c r="F4" s="77"/>
      <x:c r="G4" s="77"/>
      <x:c r="H4" s="77"/>
      <x:c r="I4" s="77"/>
      <x:c r="J4" s="77"/>
    </x:row>
    <x:row r="5">
      <x:c r="A5" s="79" t="str">
        <x:v>Mean μ</x:v>
      </x:c>
      <x:c r="B5" s="90" t="n">
        <x:v>0</x:v>
      </x:c>
      <x:c r="C5" s="76"/>
      <x:c r="D5" s="79" t="str">
        <x:v>P(X ≤ x)</x:v>
      </x:c>
      <x:c r="E5" s="91" t="str">
        <x:f>IF(OR(B5="",B6="",B7=""),"",NORM.DIST(B7,B5,B6,TRUE))</x:f>
      </x:c>
      <x:c r="F5" s="76"/>
      <x:c r="G5" s="76"/>
      <x:c r="H5" s="76"/>
      <x:c r="I5" s="76"/>
      <x:c r="J5" s="76"/>
    </x:row>
    <x:row r="6">
      <x:c r="A6" s="79" t="str">
        <x:v>Standard deviation σ</x:v>
      </x:c>
      <x:c r="B6" s="90" t="n">
        <x:v>1</x:v>
      </x:c>
      <x:c r="C6" s="76"/>
      <x:c r="D6" s="79" t="str">
        <x:v>P(X &gt; x)</x:v>
      </x:c>
      <x:c r="E6" s="91" t="str">
        <x:f>IF(E5="","",1-E5)</x:f>
      </x:c>
      <x:c r="F6" s="76"/>
      <x:c r="G6" s="76"/>
      <x:c r="H6" s="76"/>
      <x:c r="I6" s="76"/>
      <x:c r="J6" s="76"/>
    </x:row>
    <x:row r="7">
      <x:c r="A7" s="79" t="str">
        <x:v>Boundary x</x:v>
      </x:c>
      <x:c r="B7" s="90" t="n">
        <x:v>0</x:v>
      </x:c>
      <x:c r="C7" s="76"/>
      <x:c r="D7" s="79" t="str">
        <x:v>P(a &lt; X &lt; b)</x:v>
      </x:c>
      <x:c r="E7" s="91" t="str">
        <x:f>IF(OR(B5="",B6="",B8="",B9=""),"",NORM.DIST(B9,B5,B6,TRUE)-NORM.DIST(B8,B5,B6,TRUE))</x:f>
      </x:c>
      <x:c r="F7" s="76"/>
      <x:c r="G7" s="76"/>
      <x:c r="H7" s="76"/>
      <x:c r="I7" s="76"/>
      <x:c r="J7" s="76"/>
    </x:row>
    <x:row r="8">
      <x:c r="A8" s="79" t="str">
        <x:v>Lower a</x:v>
      </x:c>
      <x:c r="B8" s="90" t="n">
        <x:v>-1</x:v>
      </x:c>
      <x:c r="C8" s="76"/>
      <x:c r="D8" s="79" t="str">
        <x:v>x from left area A</x:v>
      </x:c>
      <x:c r="E8" s="91" t="str">
        <x:f>IF(OR(B5="",B6="",B10=""),"",NORM.INV(B10,B5,B6))</x:f>
      </x:c>
      <x:c r="F8" s="76"/>
      <x:c r="G8" s="76"/>
      <x:c r="H8" s="76"/>
      <x:c r="I8" s="76"/>
      <x:c r="J8" s="76"/>
    </x:row>
    <x:row r="9">
      <x:c r="A9" s="79" t="str">
        <x:v>Upper b</x:v>
      </x:c>
      <x:c r="B9" s="90" t="n">
        <x:v>1</x:v>
      </x:c>
      <x:c r="C9" s="76"/>
      <x:c r="D9" s="79" t="str">
        <x:v>x with right-tail area A</x:v>
      </x:c>
      <x:c r="E9" s="91" t="str">
        <x:f>IF(OR(B5="",B6="",B10=""),"",NORM.INV(1-B10,B5,B6))</x:f>
      </x:c>
      <x:c r="F9" s="76"/>
      <x:c r="G9" s="76"/>
      <x:c r="H9" s="76"/>
      <x:c r="I9" s="76"/>
      <x:c r="J9" s="76"/>
    </x:row>
    <x:row r="10">
      <x:c r="A10" s="79" t="str">
        <x:v>Left-tail probability A</x:v>
      </x:c>
      <x:c r="B10" s="90" t="n">
        <x:v>0.95</x:v>
      </x:c>
      <x:c r="C10" s="76"/>
      <x:c r="D10" s="79" t="str">
        <x:v>Central lower bound</x:v>
      </x:c>
      <x:c r="E10" s="91" t="str">
        <x:f>IF(OR(B5="",B6="",B11=""),"",NORM.INV((1-B11)/2,B5,B6))</x:f>
      </x:c>
      <x:c r="F10" s="76"/>
      <x:c r="G10" s="76"/>
      <x:c r="H10" s="76"/>
      <x:c r="I10" s="76"/>
      <x:c r="J10" s="76"/>
    </x:row>
    <x:row r="11">
      <x:c r="A11" s="79" t="str">
        <x:v>Central area C</x:v>
      </x:c>
      <x:c r="B11" s="90" t="n">
        <x:v>0.95</x:v>
      </x:c>
      <x:c r="C11" s="76"/>
      <x:c r="D11" s="79" t="str">
        <x:v>Central upper bound</x:v>
      </x:c>
      <x:c r="E11" s="91" t="str">
        <x:f>IF(OR(B5="",B6="",B11=""),"",NORM.INV(1-(1-B11)/2,B5,B6))</x:f>
      </x:c>
      <x:c r="F11" s="76"/>
      <x:c r="G11" s="76"/>
      <x:c r="H11" s="76"/>
      <x:c r="I11" s="76"/>
      <x:c r="J11" s="76"/>
    </x:row>
    <x:row r="12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</x:row>
    <x:row r="13">
      <x:c r="A13" s="76"/>
      <x:c r="B13" s="76"/>
      <x:c r="C13" s="76"/>
      <x:c r="D13" s="76"/>
      <x:c r="E13" s="76"/>
      <x:c r="F13" s="76"/>
      <x:c r="G13" s="76"/>
      <x:c r="H13" s="76"/>
      <x:c r="I13" s="76"/>
      <x:c r="J13" s="76"/>
    </x:row>
    <x:row r="14" ht="22" customHeight="1">
      <x:c r="A14" s="77" t="str">
        <x:v>B. UNIFORM DISTRIBUTION</x:v>
      </x:c>
      <x:c r="B14" s="77"/>
      <x:c r="C14" s="77"/>
      <x:c r="D14" s="77"/>
      <x:c r="E14" s="77"/>
      <x:c r="F14" s="77"/>
      <x:c r="G14" s="77"/>
      <x:c r="H14" s="77"/>
      <x:c r="I14" s="77"/>
      <x:c r="J14" s="77"/>
    </x:row>
    <x:row r="15">
      <x:c r="A15" s="79" t="str">
        <x:v>Minimum a</x:v>
      </x:c>
      <x:c r="B15" s="92" t="n">
        <x:v>0</x:v>
      </x:c>
      <x:c r="C15" s="76"/>
      <x:c r="D15" s="79" t="str">
        <x:v>P(c &lt; X &lt; d)</x:v>
      </x:c>
      <x:c r="E15" s="91" t="str">
        <x:f>IF(OR(B15="",B16="",B17="",B18="",B16&lt;=B15),"",(B18-B17)/(B16-B15))</x:f>
      </x:c>
      <x:c r="F15" s="76"/>
      <x:c r="G15" s="76"/>
      <x:c r="H15" s="76"/>
      <x:c r="I15" s="76"/>
      <x:c r="J15" s="76"/>
    </x:row>
    <x:row r="16">
      <x:c r="A16" s="79" t="str">
        <x:v>Maximum b</x:v>
      </x:c>
      <x:c r="B16" s="92" t="n">
        <x:v>10</x:v>
      </x:c>
      <x:c r="C16" s="76"/>
      <x:c r="D16" s="79" t="str">
        <x:v>Mean</x:v>
      </x:c>
      <x:c r="E16" s="91" t="str">
        <x:f>IF(OR(B15="",B16=""),"",(B15+B16)/2)</x:f>
      </x:c>
      <x:c r="F16" s="76"/>
      <x:c r="G16" s="76"/>
      <x:c r="H16" s="76"/>
      <x:c r="I16" s="76"/>
      <x:c r="J16" s="76"/>
    </x:row>
    <x:row r="17">
      <x:c r="A17" s="79" t="str">
        <x:v>Interval lower c</x:v>
      </x:c>
      <x:c r="B17" s="92" t="n">
        <x:v>2</x:v>
      </x:c>
      <x:c r="C17" s="76"/>
      <x:c r="D17" s="79" t="str">
        <x:v>Variance</x:v>
      </x:c>
      <x:c r="E17" s="91" t="str">
        <x:f>IF(OR(B15="",B16=""),"",(B16-B15)^2/12)</x:f>
      </x:c>
      <x:c r="F17" s="76"/>
      <x:c r="G17" s="76"/>
      <x:c r="H17" s="76"/>
      <x:c r="I17" s="76"/>
      <x:c r="J17" s="76"/>
    </x:row>
    <x:row r="18">
      <x:c r="A18" s="79" t="str">
        <x:v>Interval upper d</x:v>
      </x:c>
      <x:c r="B18" s="92" t="n">
        <x:v>3</x:v>
      </x:c>
      <x:c r="C18" s="76"/>
      <x:c r="D18" s="79" t="str">
        <x:v>Standard deviation</x:v>
      </x:c>
      <x:c r="E18" s="91" t="str">
        <x:f>IF(E17="","",SQRT(E17))</x:f>
      </x:c>
      <x:c r="F18" s="76"/>
      <x:c r="G18" s="76"/>
      <x:c r="H18" s="76"/>
      <x:c r="I18" s="76"/>
      <x:c r="J18" s="76"/>
    </x:row>
    <x:row r="19">
      <x:c r="A19" s="76"/>
      <x:c r="B19" s="76"/>
      <x:c r="C19" s="76"/>
      <x:c r="D19" s="76"/>
      <x:c r="E19" s="76"/>
      <x:c r="F19" s="76"/>
      <x:c r="G19" s="76"/>
      <x:c r="H19" s="76"/>
      <x:c r="I19" s="76"/>
      <x:c r="J19" s="76"/>
    </x:row>
    <x:row r="20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</x:row>
    <x:row r="21" ht="22" customHeight="1">
      <x:c r="A21" s="77" t="str">
        <x:v>C. EXPONENTIAL DISTRIBUTION</x:v>
      </x:c>
      <x:c r="B21" s="77"/>
      <x:c r="C21" s="77"/>
      <x:c r="D21" s="77"/>
      <x:c r="E21" s="77"/>
      <x:c r="F21" s="77"/>
      <x:c r="G21" s="77"/>
      <x:c r="H21" s="77"/>
      <x:c r="I21" s="77"/>
      <x:c r="J21" s="77"/>
    </x:row>
    <x:row r="22">
      <x:c r="A22" s="79" t="str">
        <x:v>Rate λ</x:v>
      </x:c>
      <x:c r="B22" s="92" t="n">
        <x:v>5</x:v>
      </x:c>
      <x:c r="C22" s="76"/>
      <x:c r="D22" s="79" t="str">
        <x:v>Mean = 1/λ</x:v>
      </x:c>
      <x:c r="E22" s="91" t="n">
        <x:f>IF(OR(B22="",B22&lt;=0),"",1/B22)</x:f>
        <x:v>0.2</x:v>
      </x:c>
      <x:c r="F22" s="76"/>
      <x:c r="G22" s="76"/>
      <x:c r="H22" s="76"/>
      <x:c r="I22" s="76"/>
      <x:c r="J22" s="76"/>
    </x:row>
    <x:row r="23">
      <x:c r="A23" s="79" t="str">
        <x:v>Boundary x</x:v>
      </x:c>
      <x:c r="B23" s="92" t="n">
        <x:v>0.3</x:v>
      </x:c>
      <x:c r="C23" s="76"/>
      <x:c r="D23" s="79" t="str">
        <x:v>Standard deviation</x:v>
      </x:c>
      <x:c r="E23" s="91" t="n">
        <x:f>IF(E22="","",E22)</x:f>
        <x:v>0.2</x:v>
      </x:c>
      <x:c r="F23" s="76"/>
      <x:c r="G23" s="76"/>
      <x:c r="H23" s="76"/>
      <x:c r="I23" s="76"/>
      <x:c r="J23" s="76"/>
    </x:row>
    <x:row r="24">
      <x:c r="A24" s="79" t="str">
        <x:v>Lower a</x:v>
      </x:c>
      <x:c r="B24" s="92" t="n">
        <x:v>0.1</x:v>
      </x:c>
      <x:c r="C24" s="76"/>
      <x:c r="D24" s="79" t="str">
        <x:v>P(X &lt; x)</x:v>
      </x:c>
      <x:c r="E24" s="91" t="n">
        <x:f>IF(OR(B22="",B23=""),"",1-EXP(-B22*B23))</x:f>
        <x:v>0.7768698398515702</x:v>
      </x:c>
      <x:c r="F24" s="76"/>
      <x:c r="G24" s="76"/>
      <x:c r="H24" s="76"/>
      <x:c r="I24" s="76"/>
      <x:c r="J24" s="76"/>
    </x:row>
    <x:row r="25">
      <x:c r="A25" s="79" t="str">
        <x:v>Upper b</x:v>
      </x:c>
      <x:c r="B25" s="92" t="n">
        <x:v>0.2</x:v>
      </x:c>
      <x:c r="C25" s="76"/>
      <x:c r="D25" s="79" t="str">
        <x:v>P(X &gt; x)</x:v>
      </x:c>
      <x:c r="E25" s="91" t="n">
        <x:f>IF(OR(B22="",B23=""),"",EXP(-B22*B23))</x:f>
        <x:v>0.22313016014842982</x:v>
      </x:c>
      <x:c r="F25" s="76"/>
      <x:c r="G25" s="76"/>
      <x:c r="H25" s="76"/>
      <x:c r="I25" s="76"/>
      <x:c r="J25" s="76"/>
    </x:row>
    <x:row r="26">
      <x:c r="A26" s="76"/>
      <x:c r="B26" s="76"/>
      <x:c r="C26" s="76"/>
      <x:c r="D26" s="79" t="str">
        <x:v>P(a &lt; X &lt; b)</x:v>
      </x:c>
      <x:c r="E26" s="91" t="n">
        <x:f>IF(OR(B22="",B24="",B25=""),"",EXP(-B22*B24)-EXP(-B22*B25))</x:f>
        <x:v>0.2386512185411911</x:v>
      </x:c>
      <x:c r="F26" s="76"/>
      <x:c r="G26" s="76"/>
      <x:c r="H26" s="76"/>
      <x:c r="I26" s="76"/>
      <x:c r="J26" s="76"/>
    </x:row>
    <x:row r="27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5" t="str">
        <x:v>Rate and time must use consistent units. For a continuous variable, P(X=x)=0; interval endpoint equality does not change the probability.</x:v>
      </x:c>
      <x:c r="B28" s="75"/>
      <x:c r="C28" s="75"/>
      <x:c r="D28" s="75"/>
      <x:c r="E28" s="75"/>
      <x:c r="F28" s="75"/>
      <x:c r="G28" s="75"/>
      <x:c r="H28" s="75"/>
      <x:c r="I28" s="75"/>
      <x:c r="J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</x:row>
    <x:row r="30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</x:row>
    <x:row r="3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</x:row>
    <x:row r="32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</x:row>
    <x:row r="33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</x:row>
    <x:row r="34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</x:row>
    <x:row r="35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</x:row>
    <x:row r="36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4:J4"/>
    <x:mergeCell ref="A14:J14"/>
    <x:mergeCell ref="A21:J21"/>
    <x:mergeCell ref="A28:J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4" hidden="0" customWidth="1"/>
    <x:col min="4" max="4" width="33" hidden="0" customWidth="1"/>
    <x:col min="5" max="5" width="19" hidden="0" customWidth="1"/>
    <x:col min="6" max="6" width="4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Chapter 7 · Sampling Distribution Calculators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Write the centre and standard error before using a probability formula. Apply FPC only when the stated sampling conditions require it.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22" customHeight="1">
      <x:c r="A4" s="77" t="str">
        <x:v>A. SAMPLE MEAN X̄</x:v>
      </x:c>
      <x:c r="B4" s="77"/>
      <x:c r="C4" s="77"/>
      <x:c r="D4" s="77"/>
      <x:c r="E4" s="77"/>
      <x:c r="F4" s="77"/>
      <x:c r="G4" s="77"/>
      <x:c r="H4" s="77"/>
      <x:c r="I4" s="77"/>
      <x:c r="J4" s="77"/>
    </x:row>
    <x:row r="5">
      <x:c r="A5" s="79" t="str">
        <x:v>Population mean μ</x:v>
      </x:c>
      <x:c r="B5" s="92" t="n">
        <x:v>100</x:v>
      </x:c>
      <x:c r="C5" s="76"/>
      <x:c r="D5" s="79" t="str">
        <x:v>Centre μX̄</x:v>
      </x:c>
      <x:c r="E5" s="91" t="n">
        <x:f>IF(B5="","",B5)</x:f>
        <x:v>100</x:v>
      </x:c>
      <x:c r="F5" s="76"/>
      <x:c r="G5" s="76"/>
      <x:c r="H5" s="76"/>
      <x:c r="I5" s="76"/>
      <x:c r="J5" s="76"/>
    </x:row>
    <x:row r="6">
      <x:c r="A6" s="79" t="str">
        <x:v>Population SD σ</x:v>
      </x:c>
      <x:c r="B6" s="92" t="n">
        <x:v>10</x:v>
      </x:c>
      <x:c r="C6" s="76"/>
      <x:c r="D6" s="79" t="str">
        <x:v>SE = σ/√n</x:v>
      </x:c>
      <x:c r="E6" s="91" t="n">
        <x:f>IF(OR(B6="",B7="",B7&lt;=0),"",B6/SQRT(B7))</x:f>
        <x:v>2</x:v>
      </x:c>
      <x:c r="F6" s="76"/>
      <x:c r="G6" s="76"/>
      <x:c r="H6" s="76"/>
      <x:c r="I6" s="76"/>
      <x:c r="J6" s="76"/>
    </x:row>
    <x:row r="7">
      <x:c r="A7" s="79" t="str">
        <x:v>Sample size n</x:v>
      </x:c>
      <x:c r="B7" s="92" t="n">
        <x:v>25</x:v>
      </x:c>
      <x:c r="C7" s="76"/>
      <x:c r="D7" s="79" t="str">
        <x:v>P(X̄ &lt; lower)</x:v>
      </x:c>
      <x:c r="E7" s="91" t="n">
        <x:f>IF(OR(E6="",B8=""),"",NORM.DIST(B8,B5,E6,TRUE))</x:f>
        <x:v>0.006209665325776159</x:v>
      </x:c>
      <x:c r="F7" s="76"/>
      <x:c r="G7" s="76"/>
      <x:c r="H7" s="76"/>
      <x:c r="I7" s="76"/>
      <x:c r="J7" s="76"/>
    </x:row>
    <x:row r="8">
      <x:c r="A8" s="79" t="str">
        <x:v>Lower X̄</x:v>
      </x:c>
      <x:c r="B8" s="92" t="n">
        <x:v>95</x:v>
      </x:c>
      <x:c r="C8" s="76"/>
      <x:c r="D8" s="79" t="str">
        <x:v>P(lower &lt; X̄ &lt; upper)</x:v>
      </x:c>
      <x:c r="E8" s="91" t="n">
        <x:f>IF(OR(E6="",B8="",B9=""),"",NORM.DIST(B9,B5,E6,TRUE)-NORM.DIST(B8,B5,E6,TRUE))</x:f>
        <x:v>0.09944010834107908</x:v>
      </x:c>
      <x:c r="F8" s="76"/>
      <x:c r="G8" s="76"/>
      <x:c r="H8" s="76"/>
      <x:c r="I8" s="76"/>
      <x:c r="J8" s="76"/>
    </x:row>
    <x:row r="9">
      <x:c r="A9" s="79" t="str">
        <x:v>Upper X̄</x:v>
      </x:c>
      <x:c r="B9" s="92" t="n">
        <x:v>97.5</x:v>
      </x:c>
      <x:c r="C9" s="76"/>
      <x:c r="D9" s="79" t="str">
        <x:v>P(X̄ &gt; upper)</x:v>
      </x:c>
      <x:c r="E9" s="91" t="n">
        <x:f>IF(OR(E6="",B9=""),"",1-NORM.DIST(B9,B5,E6,TRUE))</x:f>
        <x:v>0.8943502263331448</x:v>
      </x:c>
      <x:c r="F9" s="76"/>
      <x:c r="G9" s="76"/>
      <x:c r="H9" s="76"/>
      <x:c r="I9" s="76"/>
      <x:c r="J9" s="76"/>
    </x:row>
    <x:row r="10">
      <x:c r="A10" s="79" t="str">
        <x:v>Left-tail area A</x:v>
      </x:c>
      <x:c r="B10" s="92" t="n">
        <x:v>0.95</x:v>
      </x:c>
      <x:c r="C10" s="76"/>
      <x:c r="D10" s="79" t="str">
        <x:v>X̄ boundary from area A</x:v>
      </x:c>
      <x:c r="E10" s="91" t="n">
        <x:f>IF(OR(E6="",B10=""),"",NORM.INV(B10,B5,E6))</x:f>
        <x:v>103.28970725390295</x:v>
      </x:c>
      <x:c r="F10" s="76"/>
      <x:c r="G10" s="76"/>
      <x:c r="H10" s="76"/>
      <x:c r="I10" s="76"/>
      <x:c r="J10" s="76"/>
    </x:row>
    <x:row r="1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</x:row>
    <x:row r="12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</x:row>
    <x:row r="13" ht="22" customHeight="1">
      <x:c r="A13" s="77" t="str">
        <x:v>B. SAMPLE PROPORTION p</x:v>
      </x:c>
      <x:c r="B13" s="77"/>
      <x:c r="C13" s="77"/>
      <x:c r="D13" s="77"/>
      <x:c r="E13" s="77"/>
      <x:c r="F13" s="77"/>
      <x:c r="G13" s="77"/>
      <x:c r="H13" s="77"/>
      <x:c r="I13" s="77"/>
      <x:c r="J13" s="77"/>
    </x:row>
    <x:row r="14">
      <x:c r="A14" s="79" t="str">
        <x:v>Population proportion π</x:v>
      </x:c>
      <x:c r="B14" s="92" t="n">
        <x:v>0.7</x:v>
      </x:c>
      <x:c r="C14" s="76"/>
      <x:c r="D14" s="79" t="str">
        <x:v>Centre π</x:v>
      </x:c>
      <x:c r="E14" s="91" t="n">
        <x:f>IF(B14="","",B14)</x:f>
        <x:v>0.7</x:v>
      </x:c>
      <x:c r="F14" s="76"/>
      <x:c r="G14" s="76"/>
      <x:c r="H14" s="76"/>
      <x:c r="I14" s="76"/>
      <x:c r="J14" s="76"/>
    </x:row>
    <x:row r="15">
      <x:c r="A15" s="79" t="str">
        <x:v>Sample size n</x:v>
      </x:c>
      <x:c r="B15" s="92" t="n">
        <x:v>64</x:v>
      </x:c>
      <x:c r="C15" s="76"/>
      <x:c r="D15" s="79" t="str">
        <x:v>SE</x:v>
      </x:c>
      <x:c r="E15" s="91" t="n">
        <x:f>IF(OR(B14="",B15="",B15&lt;=0),"",SQRT(B14*(1-B14)/B15))</x:f>
        <x:v>0.057282196186948006</x:v>
      </x:c>
      <x:c r="F15" s="76"/>
      <x:c r="G15" s="76"/>
      <x:c r="H15" s="76"/>
      <x:c r="I15" s="76"/>
      <x:c r="J15" s="76"/>
    </x:row>
    <x:row r="16">
      <x:c r="A16" s="79" t="str">
        <x:v>Lower p</x:v>
      </x:c>
      <x:c r="B16" s="92" t="n">
        <x:v>0.6</x:v>
      </x:c>
      <x:c r="C16" s="76"/>
      <x:c r="D16" s="79" t="str">
        <x:v>nπ</x:v>
      </x:c>
      <x:c r="E16" s="96" t="n">
        <x:f>IF(OR(B14="",B15=""),"",B15*B14)</x:f>
        <x:v>44.8</x:v>
      </x:c>
      <x:c r="F16" s="76"/>
      <x:c r="G16" s="76"/>
      <x:c r="H16" s="76"/>
      <x:c r="I16" s="76"/>
      <x:c r="J16" s="76"/>
    </x:row>
    <x:row r="17">
      <x:c r="A17" s="79" t="str">
        <x:v>Upper p</x:v>
      </x:c>
      <x:c r="B17" s="92" t="n">
        <x:v>0.8</x:v>
      </x:c>
      <x:c r="C17" s="76"/>
      <x:c r="D17" s="79" t="str">
        <x:v>n(1-π)</x:v>
      </x:c>
      <x:c r="E17" s="96" t="n">
        <x:f>IF(OR(B14="",B15=""),"",B15*(1-B14))</x:f>
        <x:v>19.200000000000003</x:v>
      </x:c>
      <x:c r="F17" s="76"/>
      <x:c r="G17" s="76"/>
      <x:c r="H17" s="76"/>
      <x:c r="I17" s="76"/>
      <x:c r="J17" s="76"/>
    </x:row>
    <x:row r="18">
      <x:c r="A18" s="76"/>
      <x:c r="B18" s="76"/>
      <x:c r="C18" s="76"/>
      <x:c r="D18" s="79" t="str">
        <x:v>Normal approx check</x:v>
      </x:c>
      <x:c r="E18" s="97" t="str">
        <x:f>IF(OR(E16="",E17=""),"",IF(AND(E16&gt;=5,E17&gt;=5),"PASS","CHECK"))</x:f>
        <x:v>PASS</x:v>
      </x:c>
      <x:c r="F18" s="76"/>
      <x:c r="G18" s="76"/>
      <x:c r="H18" s="76"/>
      <x:c r="I18" s="76"/>
      <x:c r="J18" s="76"/>
    </x:row>
    <x:row r="19">
      <x:c r="A19" s="76"/>
      <x:c r="B19" s="76"/>
      <x:c r="C19" s="76"/>
      <x:c r="D19" s="79" t="str">
        <x:v>P(lower &lt; p &lt; upper)</x:v>
      </x:c>
      <x:c r="E19" s="91" t="n">
        <x:f>IF(OR(E15="",B16="",B17=""),"",NORM.DIST(B17,B14,E15,TRUE)-NORM.DIST(B16,B14,E15,TRUE))</x:f>
        <x:v>0.9191444016299477</x:v>
      </x:c>
      <x:c r="F19" s="76"/>
      <x:c r="G19" s="76"/>
      <x:c r="H19" s="76"/>
      <x:c r="I19" s="76"/>
      <x:c r="J19" s="76"/>
    </x:row>
    <x:row r="20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</x:row>
    <x:row r="2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</x:row>
    <x:row r="22" ht="22" customHeight="1">
      <x:c r="A22" s="77" t="str">
        <x:v>C. DIFFERENCE BETWEEN TWO INDEPENDENT SAMPLE MEANS</x:v>
      </x:c>
      <x:c r="B22" s="77"/>
      <x:c r="C22" s="77"/>
      <x:c r="D22" s="77"/>
      <x:c r="E22" s="77"/>
      <x:c r="F22" s="77"/>
      <x:c r="G22" s="77"/>
      <x:c r="H22" s="77"/>
      <x:c r="I22" s="77"/>
      <x:c r="J22" s="77"/>
    </x:row>
    <x:row r="23">
      <x:c r="A23" s="79" t="str">
        <x:v>μ1</x:v>
      </x:c>
      <x:c r="B23" s="92" t="n">
        <x:v>50</x:v>
      </x:c>
      <x:c r="C23" s="76"/>
      <x:c r="D23" s="79" t="str">
        <x:v>Centre μ1-μ2</x:v>
      </x:c>
      <x:c r="E23" s="91" t="n">
        <x:f>IF(OR(B23="",B24=""),"",B23-B24)</x:f>
        <x:v>3</x:v>
      </x:c>
      <x:c r="F23" s="76"/>
      <x:c r="G23" s="76"/>
      <x:c r="H23" s="76"/>
      <x:c r="I23" s="76"/>
      <x:c r="J23" s="76"/>
    </x:row>
    <x:row r="24">
      <x:c r="A24" s="79" t="str">
        <x:v>μ2</x:v>
      </x:c>
      <x:c r="B24" s="92" t="n">
        <x:v>47</x:v>
      </x:c>
      <x:c r="C24" s="76"/>
      <x:c r="D24" s="79" t="str">
        <x:v>SE difference</x:v>
      </x:c>
      <x:c r="E24" s="91" t="n">
        <x:f>IF(OR(B25="",B26="",B27="",B28=""),"",SQRT(B25^2/B27+B26^2/B28))</x:f>
        <x:v>1.6212869667555552</x:v>
      </x:c>
      <x:c r="F24" s="76"/>
      <x:c r="G24" s="76"/>
      <x:c r="H24" s="76"/>
      <x:c r="I24" s="76"/>
      <x:c r="J24" s="76"/>
    </x:row>
    <x:row r="25">
      <x:c r="A25" s="79" t="str">
        <x:v>σ1</x:v>
      </x:c>
      <x:c r="B25" s="92" t="n">
        <x:v>8</x:v>
      </x:c>
      <x:c r="C25" s="76"/>
      <x:c r="D25" s="79" t="str">
        <x:v>P(lower &lt; diff &lt; upper)</x:v>
      </x:c>
      <x:c r="E25" s="91" t="str">
        <x:f>IF(OR(E23="",E24="",B29="",B30=""),"",NORM.DIST(B30,E23,E24,TRUE)-NORM.DIST(B29,E23,E24,TRUE))</x:f>
      </x:c>
      <x:c r="F25" s="76"/>
      <x:c r="G25" s="76"/>
      <x:c r="H25" s="76"/>
      <x:c r="I25" s="76"/>
      <x:c r="J25" s="76"/>
    </x:row>
    <x:row r="26">
      <x:c r="A26" s="79" t="str">
        <x:v>σ2</x:v>
      </x:c>
      <x:c r="B26" s="92" t="n">
        <x:v>6</x:v>
      </x:c>
      <x:c r="C26" s="76"/>
      <x:c r="D26" s="76"/>
      <x:c r="E26" s="76"/>
      <x:c r="F26" s="76"/>
      <x:c r="G26" s="76"/>
      <x:c r="H26" s="76"/>
      <x:c r="I26" s="76"/>
      <x:c r="J26" s="76"/>
    </x:row>
    <x:row r="27">
      <x:c r="A27" s="79" t="str">
        <x:v>n1</x:v>
      </x:c>
      <x:c r="B27" s="92" t="n">
        <x:v>40</x:v>
      </x:c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9" t="str">
        <x:v>n2</x:v>
      </x:c>
      <x:c r="B28" s="92" t="n">
        <x:v>35</x:v>
      </x:c>
      <x:c r="C28" s="76"/>
      <x:c r="D28" s="76"/>
      <x:c r="E28" s="76"/>
      <x:c r="F28" s="76"/>
      <x:c r="G28" s="76"/>
      <x:c r="H28" s="76"/>
      <x:c r="I28" s="76"/>
      <x:c r="J28" s="76"/>
    </x:row>
    <x:row r="29">
      <x:c r="A29" s="79" t="str">
        <x:v>Lower difference</x:v>
      </x:c>
      <x:c r="B29" s="92" t="n">
        <x:v>0</x:v>
      </x:c>
      <x:c r="C29" s="76"/>
      <x:c r="D29" s="76"/>
      <x:c r="E29" s="76"/>
      <x:c r="F29" s="76"/>
      <x:c r="G29" s="76"/>
      <x:c r="H29" s="76"/>
      <x:c r="I29" s="76"/>
      <x:c r="J29" s="76"/>
    </x:row>
    <x:row r="30">
      <x:c r="A30" s="79" t="str">
        <x:v>Upper difference</x:v>
      </x:c>
      <x:c r="B30" s="92" t="n">
        <x:v>5</x:v>
      </x:c>
      <x:c r="C30" s="76"/>
      <x:c r="D30" s="76"/>
      <x:c r="E30" s="76"/>
      <x:c r="F30" s="76"/>
      <x:c r="G30" s="76"/>
      <x:c r="H30" s="76"/>
      <x:c r="I30" s="76"/>
      <x:c r="J30" s="76"/>
    </x:row>
    <x:row r="3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</x:row>
    <x:row r="32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</x:row>
    <x:row r="33" ht="22" customHeight="1">
      <x:c r="A33" s="77" t="str">
        <x:v>D. FINITE-POPULATION CORRECTION</x:v>
      </x:c>
      <x:c r="B33" s="77"/>
      <x:c r="C33" s="77"/>
      <x:c r="D33" s="77"/>
      <x:c r="E33" s="77"/>
      <x:c r="F33" s="77"/>
      <x:c r="G33" s="77"/>
      <x:c r="H33" s="77"/>
      <x:c r="I33" s="77"/>
      <x:c r="J33" s="77"/>
    </x:row>
    <x:row r="34">
      <x:c r="A34" s="79" t="str">
        <x:v>Population size N</x:v>
      </x:c>
      <x:c r="B34" s="92" t="n">
        <x:v>1000</x:v>
      </x:c>
      <x:c r="C34" s="76"/>
      <x:c r="D34" s="79" t="str">
        <x:v>Sampling fraction n/N</x:v>
      </x:c>
      <x:c r="E34" s="91" t="n">
        <x:f>IF(OR(B34="",B35=""),"",B35/B34)</x:f>
        <x:v>0.1</x:v>
      </x:c>
      <x:c r="F34" s="76"/>
      <x:c r="G34" s="76"/>
      <x:c r="H34" s="76"/>
      <x:c r="I34" s="76"/>
      <x:c r="J34" s="76"/>
    </x:row>
    <x:row r="35">
      <x:c r="A35" s="79" t="str">
        <x:v>Sample size n</x:v>
      </x:c>
      <x:c r="B35" s="92" t="n">
        <x:v>100</x:v>
      </x:c>
      <x:c r="C35" s="76"/>
      <x:c r="D35" s="79" t="str">
        <x:v>FPC factor</x:v>
      </x:c>
      <x:c r="E35" s="91" t="n">
        <x:f>IF(OR(B34="",B35="",B37=""),"",IF(AND(B37="Yes",B35/B34&gt;0.05),SQRT((B34-B35)/(B34-1)),1))</x:f>
        <x:v>0.949157995752499</x:v>
      </x:c>
      <x:c r="F35" s="76"/>
      <x:c r="G35" s="76"/>
      <x:c r="H35" s="76"/>
      <x:c r="I35" s="76"/>
      <x:c r="J35" s="76"/>
    </x:row>
    <x:row r="36">
      <x:c r="A36" s="79" t="str">
        <x:v>Base SE before FPC</x:v>
      </x:c>
      <x:c r="B36" s="92" t="n">
        <x:v>2</x:v>
      </x:c>
      <x:c r="C36" s="76"/>
      <x:c r="D36" s="79" t="str">
        <x:v>Corrected SE</x:v>
      </x:c>
      <x:c r="E36" s="91" t="n">
        <x:f>IF(OR(B36="",E35=""),"",B36*E35)</x:f>
        <x:v>1.898315991504998</x:v>
      </x:c>
      <x:c r="F36" s="76"/>
      <x:c r="G36" s="76"/>
      <x:c r="H36" s="76"/>
      <x:c r="I36" s="76"/>
      <x:c r="J36" s="76"/>
    </x:row>
    <x:row r="37">
      <x:c r="A37" s="79" t="str">
        <x:v>Sampling without replacement?</x:v>
      </x:c>
      <x:c r="B37" s="92" t="str">
        <x:v>Yes</x:v>
      </x:c>
      <x:c r="C37" s="76"/>
      <x:c r="D37" s="79" t="str">
        <x:v>Use FPC?</x:v>
      </x:c>
      <x:c r="E37" s="97" t="str">
        <x:f>IF(OR(B34="",B35="",B37=""),"",IF(AND(B37="Yes",B35/B34&gt;0.05),"YES","NO"))</x:f>
        <x:v>YES</x:v>
      </x:c>
      <x:c r="F37" s="76"/>
      <x:c r="G37" s="76"/>
      <x:c r="H37" s="76"/>
      <x:c r="I37" s="76"/>
      <x:c r="J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 ht="22" customHeight="1">
      <x:c r="A40" s="77" t="str">
        <x:v>E. SAMPLE MEAN OF EXPONENTIAL WAITING TIMES (NORMAL APPROXIMATION)</x:v>
      </x:c>
      <x:c r="B40" s="77"/>
      <x:c r="C40" s="77"/>
      <x:c r="D40" s="77"/>
      <x:c r="E40" s="77"/>
      <x:c r="F40" s="77"/>
      <x:c r="G40" s="77"/>
      <x:c r="H40" s="77"/>
      <x:c r="I40" s="77"/>
      <x:c r="J40" s="77"/>
    </x:row>
    <x:row r="41">
      <x:c r="A41" s="79" t="str">
        <x:v>Rate λ</x:v>
      </x:c>
      <x:c r="B41" s="92" t="n">
        <x:v>400</x:v>
      </x:c>
      <x:c r="C41" s="76"/>
      <x:c r="D41" s="79" t="str">
        <x:v>Population mean 1/λ</x:v>
      </x:c>
      <x:c r="E41" s="91" t="n">
        <x:f>IF(OR(B41="",B41&lt;=0),"",1/B41)</x:f>
        <x:v>0.0025</x:v>
      </x:c>
      <x:c r="F41" s="76"/>
      <x:c r="G41" s="76"/>
      <x:c r="H41" s="76"/>
      <x:c r="I41" s="76"/>
      <x:c r="J41" s="76"/>
    </x:row>
    <x:row r="42">
      <x:c r="A42" s="79" t="str">
        <x:v>Sample size n</x:v>
      </x:c>
      <x:c r="B42" s="92" t="n">
        <x:v>30</x:v>
      </x:c>
      <x:c r="C42" s="76"/>
      <x:c r="D42" s="79" t="str">
        <x:v>SE of X̄</x:v>
      </x:c>
      <x:c r="E42" s="91" t="n">
        <x:f>IF(OR(E41="",B42="",B42&lt;=0),"",E41/SQRT(B42))</x:f>
        <x:v>0.0004564354645876384</x:v>
      </x:c>
      <x:c r="F42" s="76"/>
      <x:c r="G42" s="76"/>
      <x:c r="H42" s="76"/>
      <x:c r="I42" s="76"/>
      <x:c r="J42" s="76"/>
    </x:row>
    <x:row r="43">
      <x:c r="A43" s="79" t="str">
        <x:v>Boundary mean time</x:v>
      </x:c>
      <x:c r="B43" s="92" t="n">
        <x:v>0.0033333333</x:v>
      </x:c>
      <x:c r="C43" s="76"/>
      <x:c r="D43" s="79" t="str">
        <x:v>P(X̄ &gt; boundary)</x:v>
      </x:c>
      <x:c r="E43" s="91" t="n">
        <x:f>IF(OR(E41="",E42="",B43=""),"",1-NORM.DIST(B43,E41,E42,TRUE))</x:f>
        <x:v>0.0339445829337347</x:v>
      </x:c>
      <x:c r="F43" s="76"/>
      <x:c r="G43" s="76"/>
      <x:c r="H43" s="76"/>
      <x:c r="I43" s="76"/>
      <x:c r="J43" s="76"/>
    </x:row>
    <x:row r="44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5" t="str">
        <x:v>Use consistent time units. The normal approximation for a mean of exponential observations depends on the sample-size/CLT justification taught in Chapter 7.</x:v>
      </x:c>
      <x:c r="B45" s="75"/>
      <x:c r="C45" s="75"/>
      <x:c r="D45" s="75"/>
      <x:c r="E45" s="75"/>
      <x:c r="F45" s="75"/>
      <x:c r="G45" s="75"/>
      <x:c r="H45" s="75"/>
      <x:c r="I45" s="75"/>
      <x:c r="J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4:J4"/>
    <x:mergeCell ref="A13:J13"/>
    <x:mergeCell ref="A22:J22"/>
    <x:mergeCell ref="A33:J33"/>
    <x:mergeCell ref="A40:J40"/>
    <x:mergeCell ref="A45:J46"/>
  </x:mergeCells>
  <x:dataValidations count="1">
    <x:dataValidation type="list" sqref="B37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34" hidden="0" customWidth="1"/>
    <x:col min="5" max="5" width="20" hidden="0" customWidth="1"/>
    <x:col min="6" max="6" width="4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Chapter 8 · Confidence Intervals &amp; Sample Size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Input confidence as a decimal, e.g. 0.95. Required sample sizes are rounded upward.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22" customHeight="1">
      <x:c r="A4" s="77" t="str">
        <x:v>A. CI FOR μ · σ KNOWN</x:v>
      </x:c>
      <x:c r="B4" s="77"/>
      <x:c r="C4" s="77"/>
      <x:c r="D4" s="77"/>
      <x:c r="E4" s="77"/>
      <x:c r="F4" s="77"/>
      <x:c r="G4" s="77"/>
      <x:c r="H4" s="77"/>
      <x:c r="I4" s="77"/>
      <x:c r="J4" s="77"/>
    </x:row>
    <x:row r="5">
      <x:c r="A5" s="79" t="str">
        <x:v>Sample mean X̄</x:v>
      </x:c>
      <x:c r="B5" s="92" t="n">
        <x:v>85</x:v>
      </x:c>
      <x:c r="C5" s="76"/>
      <x:c r="D5" s="79" t="str">
        <x:v>α</x:v>
      </x:c>
      <x:c r="E5" s="91" t="n">
        <x:f>IF(B8="","",1-B8)</x:f>
        <x:v>0.050000000000000044</x:v>
      </x:c>
      <x:c r="F5" s="76"/>
      <x:c r="G5" s="76"/>
      <x:c r="H5" s="76"/>
      <x:c r="I5" s="76"/>
      <x:c r="J5" s="76"/>
    </x:row>
    <x:row r="6">
      <x:c r="A6" s="79" t="str">
        <x:v>Population SD σ</x:v>
      </x:c>
      <x:c r="B6" s="92" t="n">
        <x:v>8</x:v>
      </x:c>
      <x:c r="C6" s="76"/>
      <x:c r="D6" s="79" t="str">
        <x:v>z*</x:v>
      </x:c>
      <x:c r="E6" s="91" t="n">
        <x:f>IF(E5="","",NORM.S.INV(1-E5/2))</x:f>
        <x:v>1.9599639845400545</x:v>
      </x:c>
      <x:c r="F6" s="76"/>
      <x:c r="G6" s="76"/>
      <x:c r="H6" s="76"/>
      <x:c r="I6" s="76"/>
      <x:c r="J6" s="76"/>
    </x:row>
    <x:row r="7">
      <x:c r="A7" s="79" t="str">
        <x:v>Sample size n</x:v>
      </x:c>
      <x:c r="B7" s="92" t="n">
        <x:v>64</x:v>
      </x:c>
      <x:c r="C7" s="76"/>
      <x:c r="D7" s="79" t="str">
        <x:v>SE</x:v>
      </x:c>
      <x:c r="E7" s="91" t="n">
        <x:f>IF(OR(B6="",B7=""),"",B6/SQRT(B7))</x:f>
        <x:v>1</x:v>
      </x:c>
      <x:c r="F7" s="76"/>
      <x:c r="G7" s="76"/>
      <x:c r="H7" s="76"/>
      <x:c r="I7" s="76"/>
      <x:c r="J7" s="76"/>
    </x:row>
    <x:row r="8">
      <x:c r="A8" s="79" t="str">
        <x:v>Confidence C</x:v>
      </x:c>
      <x:c r="B8" s="92" t="n">
        <x:v>0.95</x:v>
      </x:c>
      <x:c r="C8" s="76"/>
      <x:c r="D8" s="79" t="str">
        <x:v>Margin of error</x:v>
      </x:c>
      <x:c r="E8" s="91" t="n">
        <x:f>IF(OR(E6="",E7=""),"",E6*E7)</x:f>
        <x:v>1.9599639845400545</x:v>
      </x:c>
      <x:c r="F8" s="76"/>
      <x:c r="G8" s="76"/>
      <x:c r="H8" s="76"/>
      <x:c r="I8" s="76"/>
      <x:c r="J8" s="76"/>
    </x:row>
    <x:row r="9">
      <x:c r="A9" s="76"/>
      <x:c r="B9" s="76"/>
      <x:c r="C9" s="76"/>
      <x:c r="D9" s="79" t="str">
        <x:v>Lower CI</x:v>
      </x:c>
      <x:c r="E9" s="91" t="n">
        <x:f>IF(OR(B5="",E8=""),"",B5-E8)</x:f>
        <x:v>83.04003601545995</x:v>
      </x:c>
      <x:c r="F9" s="76"/>
      <x:c r="G9" s="76"/>
      <x:c r="H9" s="76"/>
      <x:c r="I9" s="76"/>
      <x:c r="J9" s="76"/>
    </x:row>
    <x:row r="10">
      <x:c r="A10" s="76"/>
      <x:c r="B10" s="76"/>
      <x:c r="C10" s="76"/>
      <x:c r="D10" s="79" t="str">
        <x:v>Upper CI</x:v>
      </x:c>
      <x:c r="E10" s="91" t="n">
        <x:f>IF(OR(B5="",E8=""),"",B5+E8)</x:f>
        <x:v>86.95996398454005</x:v>
      </x:c>
      <x:c r="F10" s="76"/>
      <x:c r="G10" s="76"/>
      <x:c r="H10" s="76"/>
      <x:c r="I10" s="76"/>
      <x:c r="J10" s="76"/>
    </x:row>
    <x:row r="1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</x:row>
    <x:row r="12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</x:row>
    <x:row r="13" ht="22" customHeight="1">
      <x:c r="A13" s="77" t="str">
        <x:v>B. CI FOR μ · σ UNKNOWN → STUDENT t</x:v>
      </x:c>
      <x:c r="B13" s="77"/>
      <x:c r="C13" s="77"/>
      <x:c r="D13" s="77"/>
      <x:c r="E13" s="77"/>
      <x:c r="F13" s="77"/>
      <x:c r="G13" s="77"/>
      <x:c r="H13" s="77"/>
      <x:c r="I13" s="77"/>
      <x:c r="J13" s="77"/>
    </x:row>
    <x:row r="14">
      <x:c r="A14" s="79" t="str">
        <x:v>Sample mean X̄</x:v>
      </x:c>
      <x:c r="B14" s="92" t="n">
        <x:v>141.3</x:v>
      </x:c>
      <x:c r="C14" s="76"/>
      <x:c r="D14" s="79" t="str">
        <x:v>df</x:v>
      </x:c>
      <x:c r="E14" s="100" t="n">
        <x:f>IF(OR(B16="",B16&lt;2),"",B16-1)</x:f>
        <x:v>23</x:v>
      </x:c>
      <x:c r="F14" s="76"/>
      <x:c r="G14" s="76"/>
      <x:c r="H14" s="76"/>
      <x:c r="I14" s="76"/>
      <x:c r="J14" s="76"/>
    </x:row>
    <x:row r="15">
      <x:c r="A15" s="79" t="str">
        <x:v>Sample SD s</x:v>
      </x:c>
      <x:c r="B15" s="92" t="n">
        <x:v>19.1</x:v>
      </x:c>
      <x:c r="C15" s="76"/>
      <x:c r="D15" s="79" t="str">
        <x:v>α</x:v>
      </x:c>
      <x:c r="E15" s="91" t="n">
        <x:f>IF(B17="","",1-B17)</x:f>
        <x:v>0.09999999999999998</x:v>
      </x:c>
      <x:c r="F15" s="76"/>
      <x:c r="G15" s="76"/>
      <x:c r="H15" s="76"/>
      <x:c r="I15" s="76"/>
      <x:c r="J15" s="76"/>
    </x:row>
    <x:row r="16">
      <x:c r="A16" s="79" t="str">
        <x:v>Sample size n</x:v>
      </x:c>
      <x:c r="B16" s="92" t="n">
        <x:v>24</x:v>
      </x:c>
      <x:c r="C16" s="76"/>
      <x:c r="D16" s="79" t="str">
        <x:v>t*</x:v>
      </x:c>
      <x:c r="E16" s="91" t="n">
        <x:f>IF(OR(E14="",E15=""),"",T.INV(1-E15/2,E14))</x:f>
        <x:v>1.7138714802128752</x:v>
      </x:c>
      <x:c r="F16" s="76"/>
      <x:c r="G16" s="76"/>
      <x:c r="H16" s="76"/>
      <x:c r="I16" s="76"/>
      <x:c r="J16" s="76"/>
    </x:row>
    <x:row r="17">
      <x:c r="A17" s="79" t="str">
        <x:v>Confidence C</x:v>
      </x:c>
      <x:c r="B17" s="92" t="n">
        <x:v>0.9</x:v>
      </x:c>
      <x:c r="C17" s="76"/>
      <x:c r="D17" s="79" t="str">
        <x:v>SE</x:v>
      </x:c>
      <x:c r="E17" s="91" t="n">
        <x:f>IF(OR(B15="",B16=""),"",B15/SQRT(B16))</x:f>
        <x:v>3.8987711739298923</x:v>
      </x:c>
      <x:c r="F17" s="76"/>
      <x:c r="G17" s="76"/>
      <x:c r="H17" s="76"/>
      <x:c r="I17" s="76"/>
      <x:c r="J17" s="76"/>
    </x:row>
    <x:row r="18">
      <x:c r="A18" s="76"/>
      <x:c r="B18" s="76"/>
      <x:c r="C18" s="76"/>
      <x:c r="D18" s="79" t="str">
        <x:v>Margin of error</x:v>
      </x:c>
      <x:c r="E18" s="91" t="n">
        <x:f>IF(OR(E16="",E17=""),"",E16*E17)</x:f>
        <x:v>6.681992722874513</x:v>
      </x:c>
      <x:c r="F18" s="76"/>
      <x:c r="G18" s="76"/>
      <x:c r="H18" s="76"/>
      <x:c r="I18" s="76"/>
      <x:c r="J18" s="76"/>
    </x:row>
    <x:row r="19">
      <x:c r="A19" s="76"/>
      <x:c r="B19" s="76"/>
      <x:c r="C19" s="76"/>
      <x:c r="D19" s="79" t="str">
        <x:v>Lower CI</x:v>
      </x:c>
      <x:c r="E19" s="91" t="n">
        <x:f>IF(OR(B14="",E18=""),"",B14-E18)</x:f>
        <x:v>134.61800727712549</x:v>
      </x:c>
      <x:c r="F19" s="76"/>
      <x:c r="G19" s="76"/>
      <x:c r="H19" s="76"/>
      <x:c r="I19" s="76"/>
      <x:c r="J19" s="76"/>
    </x:row>
    <x:row r="20">
      <x:c r="A20" s="76"/>
      <x:c r="B20" s="76"/>
      <x:c r="C20" s="76"/>
      <x:c r="D20" s="79" t="str">
        <x:v>Upper CI</x:v>
      </x:c>
      <x:c r="E20" s="91" t="n">
        <x:f>IF(OR(B14="",E18=""),"",B14+E18)</x:f>
        <x:v>147.98199272287454</x:v>
      </x:c>
      <x:c r="F20" s="76"/>
      <x:c r="G20" s="76"/>
      <x:c r="H20" s="76"/>
      <x:c r="I20" s="76"/>
      <x:c r="J20" s="76"/>
    </x:row>
    <x:row r="2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</x:row>
    <x:row r="22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/>
    </x:row>
    <x:row r="23" ht="22" customHeight="1">
      <x:c r="A23" s="77" t="str">
        <x:v>C. CI FOR POPULATION PROPORTION π</x:v>
      </x:c>
      <x:c r="B23" s="77"/>
      <x:c r="C23" s="77"/>
      <x:c r="D23" s="77"/>
      <x:c r="E23" s="77"/>
      <x:c r="F23" s="77"/>
      <x:c r="G23" s="77"/>
      <x:c r="H23" s="77"/>
      <x:c r="I23" s="77"/>
      <x:c r="J23" s="77"/>
    </x:row>
    <x:row r="24">
      <x:c r="A24" s="79" t="str">
        <x:v>Success count x</x:v>
      </x:c>
      <x:c r="B24" s="92" t="n">
        <x:v>50</x:v>
      </x:c>
      <x:c r="C24" s="76"/>
      <x:c r="D24" s="79" t="str">
        <x:v>p = x/n</x:v>
      </x:c>
      <x:c r="E24" s="91" t="n">
        <x:f>IF(OR(B24="",B25="",B25&lt;=0),"",B24/B25)</x:f>
        <x:v>0.25</x:v>
      </x:c>
      <x:c r="F24" s="76"/>
      <x:c r="G24" s="76"/>
      <x:c r="H24" s="76"/>
      <x:c r="I24" s="76"/>
      <x:c r="J24" s="76"/>
    </x:row>
    <x:row r="25">
      <x:c r="A25" s="79" t="str">
        <x:v>Sample size n</x:v>
      </x:c>
      <x:c r="B25" s="92" t="n">
        <x:v>200</x:v>
      </x:c>
      <x:c r="C25" s="76"/>
      <x:c r="D25" s="79" t="str">
        <x:v>Estimated SE</x:v>
      </x:c>
      <x:c r="E25" s="91" t="n">
        <x:f>IF(E24="","",SQRT(E24*(1-E24)/B25))</x:f>
        <x:v>0.030618621784789725</x:v>
      </x:c>
      <x:c r="F25" s="76"/>
      <x:c r="G25" s="76"/>
      <x:c r="H25" s="76"/>
      <x:c r="I25" s="76"/>
      <x:c r="J25" s="76"/>
    </x:row>
    <x:row r="26">
      <x:c r="A26" s="79" t="str">
        <x:v>Confidence C</x:v>
      </x:c>
      <x:c r="B26" s="92" t="n">
        <x:v>0.95</x:v>
      </x:c>
      <x:c r="C26" s="76"/>
      <x:c r="D26" s="79" t="str">
        <x:v>z*</x:v>
      </x:c>
      <x:c r="E26" s="91" t="n">
        <x:f>IF(B26="","",NORM.S.INV((1+B26)/2))</x:f>
        <x:v>1.9599639845400545</x:v>
      </x:c>
      <x:c r="F26" s="76"/>
      <x:c r="G26" s="76"/>
      <x:c r="H26" s="76"/>
      <x:c r="I26" s="76"/>
      <x:c r="J26" s="76"/>
    </x:row>
    <x:row r="27">
      <x:c r="A27" s="76"/>
      <x:c r="B27" s="76"/>
      <x:c r="C27" s="76"/>
      <x:c r="D27" s="79" t="str">
        <x:v>Lower CI</x:v>
      </x:c>
      <x:c r="E27" s="91" t="n">
        <x:f>IF(OR(E24="",E25="",E26=""),"",E24-E26*E25)</x:f>
        <x:v>0.18998860404555862</x:v>
      </x:c>
      <x:c r="F27" s="76"/>
      <x:c r="G27" s="76"/>
      <x:c r="H27" s="76"/>
      <x:c r="I27" s="76"/>
      <x:c r="J27" s="76"/>
    </x:row>
    <x:row r="28">
      <x:c r="A28" s="76"/>
      <x:c r="B28" s="76"/>
      <x:c r="C28" s="76"/>
      <x:c r="D28" s="79" t="str">
        <x:v>Upper CI</x:v>
      </x:c>
      <x:c r="E28" s="91" t="n">
        <x:f>IF(OR(E24="",E25="",E26=""),"",E24+E26*E25)</x:f>
        <x:v>0.3100113959544414</x:v>
      </x:c>
      <x:c r="F28" s="76"/>
      <x:c r="G28" s="76"/>
      <x:c r="H28" s="76"/>
      <x:c r="I28" s="76"/>
      <x:c r="J28" s="76"/>
    </x:row>
    <x:row r="29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</x:row>
    <x:row r="30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</x:row>
    <x:row r="31" ht="22" customHeight="1">
      <x:c r="A31" s="77" t="str">
        <x:v>D. REQUIRED SAMPLE SIZE</x:v>
      </x:c>
      <x:c r="B31" s="77"/>
      <x:c r="C31" s="77"/>
      <x:c r="D31" s="77"/>
      <x:c r="E31" s="77"/>
      <x:c r="F31" s="77"/>
      <x:c r="G31" s="77"/>
      <x:c r="H31" s="77"/>
      <x:c r="I31" s="77"/>
      <x:c r="J31" s="77"/>
    </x:row>
    <x:row r="32">
      <x:c r="A32" s="79" t="str">
        <x:v>Confidence C</x:v>
      </x:c>
      <x:c r="B32" s="92" t="n">
        <x:v>0.95</x:v>
      </x:c>
      <x:c r="C32" s="76"/>
      <x:c r="D32" s="79" t="str">
        <x:v>z*</x:v>
      </x:c>
      <x:c r="E32" s="91" t="n">
        <x:f>IF(B32="","",NORM.S.INV((1+B32)/2))</x:f>
        <x:v>1.9599639845400545</x:v>
      </x:c>
      <x:c r="F32" s="76"/>
      <x:c r="G32" s="76"/>
      <x:c r="H32" s="76"/>
      <x:c r="I32" s="76"/>
      <x:c r="J32" s="76"/>
    </x:row>
    <x:row r="33">
      <x:c r="A33" s="79" t="str">
        <x:v>Margin of error e</x:v>
      </x:c>
      <x:c r="B33" s="92" t="n">
        <x:v>0.05</x:v>
      </x:c>
      <x:c r="C33" s="76"/>
      <x:c r="D33" s="79" t="str">
        <x:v>Mean n0 (unrounded)</x:v>
      </x:c>
      <x:c r="E33" s="91" t="n">
        <x:f>IF(OR(E32="",B33="",B34=""),"",(E32^2*B34^2)/(B33^2))</x:f>
        <x:v>345731.29386247136</x:v>
      </x:c>
      <x:c r="F33" s="76"/>
      <x:c r="G33" s="76"/>
      <x:c r="H33" s="76"/>
      <x:c r="I33" s="76"/>
      <x:c r="J33" s="76"/>
    </x:row>
    <x:row r="34">
      <x:c r="A34" s="79" t="str">
        <x:v>Population SD σ (mean case)</x:v>
      </x:c>
      <x:c r="B34" s="92" t="n">
        <x:v>15</x:v>
      </x:c>
      <x:c r="C34" s="76"/>
      <x:c r="D34" s="79" t="str">
        <x:v>Mean minimum n</x:v>
      </x:c>
      <x:c r="E34" s="100" t="n">
        <x:f>IF(E33="","",ROUNDUP(E33,0))</x:f>
        <x:v>345732</x:v>
      </x:c>
      <x:c r="F34" s="76"/>
      <x:c r="G34" s="76"/>
      <x:c r="H34" s="76"/>
      <x:c r="I34" s="76"/>
      <x:c r="J34" s="76"/>
    </x:row>
    <x:row r="35">
      <x:c r="A35" s="79" t="str">
        <x:v>Prior p (use 0.5 if none)</x:v>
      </x:c>
      <x:c r="B35" s="92" t="n">
        <x:v>0.5</x:v>
      </x:c>
      <x:c r="C35" s="76"/>
      <x:c r="D35" s="79" t="str">
        <x:v>Proportion n0 (unrounded)</x:v>
      </x:c>
      <x:c r="E35" s="91" t="n">
        <x:f>IF(OR(E32="",B33="",B35=""),"",(E32^2*B35*(1-B35))/(B33^2))</x:f>
        <x:v>384.14588206941266</x:v>
      </x:c>
      <x:c r="F35" s="76"/>
      <x:c r="G35" s="76"/>
      <x:c r="H35" s="76"/>
      <x:c r="I35" s="76"/>
      <x:c r="J35" s="76"/>
    </x:row>
    <x:row r="36">
      <x:c r="A36" s="79" t="str">
        <x:v>Finite population N (optional)</x:v>
      </x:c>
      <x:c r="B36" s="92" t="n">
        <x:v>2400</x:v>
      </x:c>
      <x:c r="C36" s="76"/>
      <x:c r="D36" s="79" t="str">
        <x:v>Proportion minimum n</x:v>
      </x:c>
      <x:c r="E36" s="100" t="n">
        <x:f>IF(E35="","",ROUNDUP(E35,0))</x:f>
        <x:v>385</x:v>
      </x:c>
      <x:c r="F36" s="76"/>
      <x:c r="G36" s="76"/>
      <x:c r="H36" s="76"/>
      <x:c r="I36" s="76"/>
      <x:c r="J36" s="76"/>
    </x:row>
    <x:row r="37">
      <x:c r="A37" s="76"/>
      <x:c r="B37" s="76"/>
      <x:c r="C37" s="76"/>
      <x:c r="D37" s="79" t="str">
        <x:v>Finite-pop adjusted prop n</x:v>
      </x:c>
      <x:c r="E37" s="100" t="n">
        <x:f>IF(OR(E35="",B36=""),"",ROUNDUP((E35*B36)/(E35+(B36-1)),0))</x:f>
        <x:v>332</x:v>
      </x:c>
      <x:c r="F37" s="76"/>
      <x:c r="G37" s="76"/>
      <x:c r="H37" s="76"/>
      <x:c r="I37" s="76"/>
      <x:c r="J37" s="76"/>
    </x:row>
    <x:row r="38">
      <x:c r="A38" s="76"/>
      <x:c r="B38" s="76"/>
      <x:c r="C38" s="76"/>
      <x:c r="D38" s="79" t="str">
        <x:v>Finite-pop adjusted mean n</x:v>
      </x:c>
      <x:c r="E38" s="100" t="n">
        <x:f>IF(OR(E33="",B36=""),"",ROUNDUP((E33*B36)/(E33+(B36-1)),0))</x:f>
        <x:v>2384</x:v>
      </x:c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 ht="22" customHeight="1">
      <x:c r="A41" s="77" t="str">
        <x:v>E. POPULATION TOTAL · MEAN-BASED ESTIMATE WITH FPC</x:v>
      </x:c>
      <x:c r="B41" s="77"/>
      <x:c r="C41" s="77"/>
      <x:c r="D41" s="77"/>
      <x:c r="E41" s="77"/>
      <x:c r="F41" s="77"/>
      <x:c r="G41" s="77"/>
      <x:c r="H41" s="77"/>
      <x:c r="I41" s="77"/>
      <x:c r="J41" s="77"/>
    </x:row>
    <x:row r="42">
      <x:c r="A42" s="79" t="str">
        <x:v>Population size N</x:v>
      </x:c>
      <x:c r="B42" s="92" t="n">
        <x:v>1000</x:v>
      </x:c>
      <x:c r="C42" s="76"/>
      <x:c r="D42" s="79" t="str">
        <x:v>Point estimate N×X̄</x:v>
      </x:c>
      <x:c r="E42" s="96" t="n">
        <x:f>IF(OR(B42="",B43=""),"",B42*B43)</x:f>
        <x:v>1076390</x:v>
      </x:c>
      <x:c r="F42" s="76"/>
      <x:c r="G42" s="76"/>
      <x:c r="H42" s="76"/>
      <x:c r="I42" s="76"/>
      <x:c r="J42" s="76"/>
    </x:row>
    <x:row r="43">
      <x:c r="A43" s="79" t="str">
        <x:v>Sample mean X̄</x:v>
      </x:c>
      <x:c r="B43" s="92" t="n">
        <x:v>1076.39</x:v>
      </x:c>
      <x:c r="C43" s="76"/>
      <x:c r="D43" s="79" t="str">
        <x:v>df</x:v>
      </x:c>
      <x:c r="E43" s="100" t="n">
        <x:f>IF(B45="","",B45-1)</x:f>
        <x:v>49</x:v>
      </x:c>
      <x:c r="F43" s="76"/>
      <x:c r="G43" s="76"/>
      <x:c r="H43" s="76"/>
      <x:c r="I43" s="76"/>
      <x:c r="J43" s="76"/>
    </x:row>
    <x:row r="44">
      <x:c r="A44" s="79" t="str">
        <x:v>Sample SD s</x:v>
      </x:c>
      <x:c r="B44" s="92" t="n">
        <x:v>273.62</x:v>
      </x:c>
      <x:c r="C44" s="76"/>
      <x:c r="D44" s="79" t="str">
        <x:v>t*</x:v>
      </x:c>
      <x:c r="E44" s="91" t="n">
        <x:f>IF(OR(B46="",E43=""),"",T.INV((1+B46)/2,E43))</x:f>
        <x:v>2.00957519934976</x:v>
      </x:c>
      <x:c r="F44" s="76"/>
      <x:c r="G44" s="76"/>
      <x:c r="H44" s="76"/>
      <x:c r="I44" s="76"/>
      <x:c r="J44" s="76"/>
    </x:row>
    <x:row r="45">
      <x:c r="A45" s="79" t="str">
        <x:v>Sample size n</x:v>
      </x:c>
      <x:c r="B45" s="92" t="n">
        <x:v>50</x:v>
      </x:c>
      <x:c r="C45" s="76"/>
      <x:c r="D45" s="79" t="str">
        <x:v>FPC</x:v>
      </x:c>
      <x:c r="E45" s="91" t="n">
        <x:f>IF(OR(B42="",B45=""),"",SQRT((B42-B45)/(B42-1)))</x:f>
        <x:v>0.9751671400077788</x:v>
      </x:c>
      <x:c r="F45" s="76"/>
      <x:c r="G45" s="76"/>
      <x:c r="H45" s="76"/>
      <x:c r="I45" s="76"/>
      <x:c r="J45" s="76"/>
    </x:row>
    <x:row r="46">
      <x:c r="A46" s="79" t="str">
        <x:v>Confidence C</x:v>
      </x:c>
      <x:c r="B46" s="92" t="n">
        <x:v>0.95</x:v>
      </x:c>
      <x:c r="C46" s="76"/>
      <x:c r="D46" s="79" t="str">
        <x:v>Half-width for total</x:v>
      </x:c>
      <x:c r="E46" s="96" t="n">
        <x:f>IF(OR(B42="",B44="",B45="",E44="",E45=""),"",B42*E44*(B44/SQRT(B45))*E45)</x:f>
        <x:v>75830.89071698082</x:v>
      </x:c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9" t="str">
        <x:v>Lower total CI</x:v>
      </x:c>
      <x:c r="E47" s="96" t="n">
        <x:f>IF(OR(E42="",E46=""),"",E42-E46)</x:f>
        <x:v>1000559.1092830192</x:v>
      </x:c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9" t="str">
        <x:v>Upper total CI</x:v>
      </x:c>
      <x:c r="E48" s="96" t="n">
        <x:f>IF(OR(E42="",E46=""),"",E42+E46)</x:f>
        <x:v>1152220.890716981</x:v>
      </x:c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4:J4"/>
    <x:mergeCell ref="A13:J13"/>
    <x:mergeCell ref="A23:J23"/>
    <x:mergeCell ref="A31:J31"/>
    <x:mergeCell ref="A41:J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34" hidden="0" customWidth="1"/>
    <x:col min="5" max="5" width="20" hidden="0" customWidth="1"/>
    <x:col min="6" max="6" width="4" hidden="0" customWidth="1"/>
    <x:col min="7" max="7" width="31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Chapter 9 · A1S2 FORMAL SCOPE + BOUNDED PRACTICE BRIDGE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Formal A1S2 scope ends at Slide 51 / Lesson 9.7. The two-tail mean Z/t routes below are core. One-proportion hypothesis testing is held out of scope. The power calculator is retained only for the official Practice Test Q4 bridge.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 ht="22" customHeight="1">
      <x:c r="A4" s="127" t="str">
        <x:v>A1S2 CORE A · TWO-TAIL MEAN Z TEST · σ KNOWN</x:v>
      </x:c>
      <x:c r="B4" s="127"/>
      <x:c r="C4" s="127"/>
      <x:c r="D4" s="127"/>
      <x:c r="E4" s="127"/>
      <x:c r="F4" s="77"/>
      <x:c r="G4" s="77"/>
      <x:c r="H4" s="77"/>
      <x:c r="I4" s="77"/>
      <x:c r="J4" s="77"/>
    </x:row>
    <x:row r="5">
      <x:c r="A5" s="79" t="str">
        <x:v>Null mean μ0</x:v>
      </x:c>
      <x:c r="B5" s="92" t="n">
        <x:v>3.75</x:v>
      </x:c>
      <x:c r="C5" s="76"/>
      <x:c r="D5" s="79" t="str">
        <x:v>SE</x:v>
      </x:c>
      <x:c r="E5" s="91" t="n">
        <x:f>IF(OR(B7="",B8=""),"",B7/SQRT(B8))</x:f>
        <x:v>0.01131370849898476</x:v>
      </x:c>
      <x:c r="F5" s="76"/>
      <x:c r="G5" s="76"/>
      <x:c r="H5" s="76"/>
      <x:c r="I5" s="76"/>
      <x:c r="J5" s="76"/>
    </x:row>
    <x:row r="6">
      <x:c r="A6" s="79" t="str">
        <x:v>Sample mean X̄</x:v>
      </x:c>
      <x:c r="B6" s="92" t="n">
        <x:v>3.73</x:v>
      </x:c>
      <x:c r="C6" s="76"/>
      <x:c r="D6" s="79" t="str">
        <x:v>Zcalc</x:v>
      </x:c>
      <x:c r="E6" s="91" t="n">
        <x:f>IF(OR(B5="",B6="",E5=""),"",(B6-B5)/E5)</x:f>
        <x:v>-1.7677669529663704</x:v>
      </x:c>
      <x:c r="F6" s="76"/>
      <x:c r="G6" s="76"/>
      <x:c r="H6" s="76"/>
      <x:c r="I6" s="76"/>
      <x:c r="J6" s="76"/>
    </x:row>
    <x:row r="7">
      <x:c r="A7" s="79" t="str">
        <x:v>Population SD σ</x:v>
      </x:c>
      <x:c r="B7" s="92" t="n">
        <x:v>0.08</x:v>
      </x:c>
      <x:c r="C7" s="76"/>
      <x:c r="D7" s="79" t="str">
        <x:v>p-value</x:v>
      </x:c>
      <x:c r="E7" s="91" t="n">
        <x:f>IF(OR(E6="",B10=""),"",IF(B10="Two-tail",2*(1-NORM.S.DIST(ABS(E6),TRUE)),IF(B10="Upper",1-NORM.S.DIST(E6,TRUE),NORM.S.DIST(E6,TRUE))))</x:f>
        <x:v>0.07709987174354138</x:v>
      </x:c>
      <x:c r="F7" s="76"/>
      <x:c r="G7" s="76"/>
      <x:c r="H7" s="76"/>
      <x:c r="I7" s="76"/>
      <x:c r="J7" s="76"/>
    </x:row>
    <x:row r="8">
      <x:c r="A8" s="79" t="str">
        <x:v>Sample size n</x:v>
      </x:c>
      <x:c r="B8" s="92" t="n">
        <x:v>50</x:v>
      </x:c>
      <x:c r="C8" s="76"/>
      <x:c r="D8" s="79" t="str">
        <x:v>Decision</x:v>
      </x:c>
      <x:c r="E8" s="97" t="str">
        <x:f>IF(OR(E7="",B9=""),"",IF(E7&lt;=B9,"Reject H0","Do not reject H0"))</x:f>
        <x:v>Do not reject H0</x:v>
      </x:c>
      <x:c r="F8" s="76"/>
      <x:c r="G8" s="76"/>
      <x:c r="H8" s="76"/>
      <x:c r="I8" s="76"/>
      <x:c r="J8" s="76"/>
    </x:row>
    <x:row r="9">
      <x:c r="A9" s="79" t="str">
        <x:v>α</x:v>
      </x:c>
      <x:c r="B9" s="92" t="n">
        <x:v>0.01</x:v>
      </x:c>
      <x:c r="C9" s="76"/>
      <x:c r="D9" s="79" t="str">
        <x:v>Lower critical Z</x:v>
      </x:c>
      <x:c r="E9" s="91" t="n">
        <x:f>IF(OR(B9="",B10=""),"",IF(B10="Two-tail",NORM.S.INV(B9/2),IF(B10="Lower",NORM.S.INV(B9),"")))</x:f>
        <x:v>-2.575829303548902</x:v>
      </x:c>
      <x:c r="F9" s="76"/>
      <x:c r="G9" s="76"/>
      <x:c r="H9" s="76"/>
      <x:c r="I9" s="76"/>
      <x:c r="J9" s="76"/>
    </x:row>
    <x:row r="10">
      <x:c r="A10" s="79" t="str">
        <x:v>Tail</x:v>
      </x:c>
      <x:c r="B10" s="92" t="str">
        <x:v>Two-tail</x:v>
      </x:c>
      <x:c r="C10" s="76"/>
      <x:c r="D10" s="79" t="str">
        <x:v>Upper critical Z</x:v>
      </x:c>
      <x:c r="E10" s="91" t="n">
        <x:f>IF(OR(B9="",B10=""),"",IF(B10="Two-tail",NORM.S.INV(1-B9/2),IF(B10="Upper",NORM.S.INV(1-B9),"")))</x:f>
        <x:v>2.575829303548901</x:v>
      </x:c>
      <x:c r="F10" s="76"/>
      <x:c r="G10" s="76"/>
      <x:c r="H10" s="76"/>
      <x:c r="I10" s="76"/>
      <x:c r="J10" s="76"/>
    </x:row>
    <x:row r="11">
      <x:c r="A11" s="76"/>
      <x:c r="B11" s="76"/>
      <x:c r="C11" s="76"/>
      <x:c r="D11" s="79" t="str">
        <x:v>Lower critical X̄</x:v>
      </x:c>
      <x:c r="E11" s="91" t="n">
        <x:f>IF(OR(E9="",E5="",B5=""),"",B5+E9*E5)</x:f>
        <x:v>3.720857818116505</x:v>
      </x:c>
      <x:c r="F11" s="76"/>
      <x:c r="G11" s="76"/>
      <x:c r="H11" s="76"/>
      <x:c r="I11" s="76"/>
      <x:c r="J11" s="76"/>
    </x:row>
    <x:row r="12">
      <x:c r="A12" s="76"/>
      <x:c r="B12" s="76"/>
      <x:c r="C12" s="76"/>
      <x:c r="D12" s="79" t="str">
        <x:v>Upper critical X̄</x:v>
      </x:c>
      <x:c r="E12" s="91" t="n">
        <x:f>IF(OR(E10="",E5="",B5=""),"",B5+E10*E5)</x:f>
        <x:v>3.779142181883495</x:v>
      </x:c>
      <x:c r="F12" s="76"/>
      <x:c r="G12" s="76"/>
      <x:c r="H12" s="76"/>
      <x:c r="I12" s="76"/>
      <x:c r="J12" s="76"/>
    </x:row>
    <x:row r="13">
      <x:c r="A13" s="76"/>
      <x:c r="B13" s="76"/>
      <x:c r="C13" s="76"/>
      <x:c r="D13" s="79" t="str">
        <x:v>Same-level CI lower</x:v>
      </x:c>
      <x:c r="E13" s="91" t="n">
        <x:f>IF(OR(B6="",B9="",E5=""),"",B6-NORM.S.INV(1-B9/2)*E5)</x:f>
        <x:v>3.700857818116505</x:v>
      </x:c>
      <x:c r="F13" s="76"/>
      <x:c r="G13" s="76"/>
      <x:c r="H13" s="76"/>
      <x:c r="I13" s="76"/>
      <x:c r="J13" s="76"/>
    </x:row>
    <x:row r="14">
      <x:c r="A14" s="76"/>
      <x:c r="B14" s="76"/>
      <x:c r="C14" s="76"/>
      <x:c r="D14" s="79" t="str">
        <x:v>Same-level CI upper</x:v>
      </x:c>
      <x:c r="E14" s="91" t="n">
        <x:f>IF(OR(B6="",B9="",E5=""),"",B6+NORM.S.INV(1-B9/2)*E5)</x:f>
        <x:v>3.759142181883495</x:v>
      </x:c>
      <x:c r="F14" s="76"/>
      <x:c r="G14" s="76"/>
      <x:c r="H14" s="76"/>
      <x:c r="I14" s="76"/>
      <x:c r="J14" s="76"/>
    </x:row>
    <x:row r="15">
      <x:c r="A15" s="76"/>
      <x:c r="B15" s="76"/>
      <x:c r="C15" s="76"/>
      <x:c r="D15" s="76"/>
      <x:c r="E15" s="76"/>
      <x:c r="F15" s="76"/>
      <x:c r="G15" s="76"/>
      <x:c r="H15" s="76"/>
      <x:c r="I15" s="76"/>
      <x:c r="J15" s="76"/>
    </x:row>
    <x:row r="16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</x:row>
    <x:row r="17" ht="22" customHeight="1">
      <x:c r="A17" s="127" t="str">
        <x:v>A1S2 CORE B · TWO-TAIL MEAN t TEST · σ UNKNOWN</x:v>
      </x:c>
      <x:c r="B17" s="127"/>
      <x:c r="C17" s="127"/>
      <x:c r="D17" s="127"/>
      <x:c r="E17" s="127"/>
      <x:c r="F17" s="77"/>
      <x:c r="G17" s="77"/>
      <x:c r="H17" s="77"/>
      <x:c r="I17" s="77"/>
      <x:c r="J17" s="77"/>
    </x:row>
    <x:row r="18">
      <x:c r="A18" s="79" t="str">
        <x:v>Null mean μ0</x:v>
      </x:c>
      <x:c r="B18" s="92" t="n">
        <x:v>168</x:v>
      </x:c>
      <x:c r="C18" s="76"/>
      <x:c r="D18" s="79" t="str">
        <x:v>df</x:v>
      </x:c>
      <x:c r="E18" s="100" t="n">
        <x:f>IF(OR(B21="",B21&lt;2),"",B21-1)</x:f>
        <x:v>24</x:v>
      </x:c>
      <x:c r="F18" s="76"/>
      <x:c r="G18" s="76"/>
      <x:c r="H18" s="76"/>
      <x:c r="I18" s="76"/>
      <x:c r="J18" s="76"/>
    </x:row>
    <x:row r="19">
      <x:c r="A19" s="79" t="str">
        <x:v>Sample mean X̄</x:v>
      </x:c>
      <x:c r="B19" s="92" t="n">
        <x:v>172.5</x:v>
      </x:c>
      <x:c r="C19" s="76"/>
      <x:c r="D19" s="79" t="str">
        <x:v>SE</x:v>
      </x:c>
      <x:c r="E19" s="91" t="n">
        <x:f>IF(OR(B20="",B21=""),"",B20/SQRT(B21))</x:f>
        <x:v>3.08</x:v>
      </x:c>
      <x:c r="F19" s="76"/>
      <x:c r="G19" s="76"/>
      <x:c r="H19" s="76"/>
      <x:c r="I19" s="76"/>
      <x:c r="J19" s="76"/>
    </x:row>
    <x:row r="20">
      <x:c r="A20" s="79" t="str">
        <x:v>Sample SD s</x:v>
      </x:c>
      <x:c r="B20" s="92" t="n">
        <x:v>15.4</x:v>
      </x:c>
      <x:c r="C20" s="76"/>
      <x:c r="D20" s="79" t="str">
        <x:v>Tcalc</x:v>
      </x:c>
      <x:c r="E20" s="91" t="n">
        <x:f>IF(OR(B18="",B19="",E19=""),"",(B19-B18)/E19)</x:f>
        <x:v>1.461038961038961</x:v>
      </x:c>
      <x:c r="F20" s="76"/>
      <x:c r="G20" s="76"/>
      <x:c r="H20" s="76"/>
      <x:c r="I20" s="76"/>
      <x:c r="J20" s="76"/>
    </x:row>
    <x:row r="21">
      <x:c r="A21" s="79" t="str">
        <x:v>Sample size n</x:v>
      </x:c>
      <x:c r="B21" s="92" t="n">
        <x:v>25</x:v>
      </x:c>
      <x:c r="C21" s="76"/>
      <x:c r="D21" s="79" t="str">
        <x:v>p-value</x:v>
      </x:c>
      <x:c r="E21" s="91" t="str">
        <x:f>IFERROR(T.DIST.2T(ABS(E20),E18),"")</x:f>
      </x:c>
      <x:c r="F21" s="76"/>
      <x:c r="G21" s="76"/>
      <x:c r="H21" s="76"/>
      <x:c r="I21" s="76"/>
      <x:c r="J21" s="76"/>
    </x:row>
    <x:row r="22">
      <x:c r="A22" s="79" t="str">
        <x:v>α</x:v>
      </x:c>
      <x:c r="B22" s="92" t="n">
        <x:v>0.05</x:v>
      </x:c>
      <x:c r="C22" s="76"/>
      <x:c r="D22" s="79" t="str">
        <x:v>Decision</x:v>
      </x:c>
      <x:c r="E22" s="97" t="str">
        <x:f>IF(E21="","",IF(E21&lt;=B22,"Reject H0","Do not reject H0"))</x:f>
      </x:c>
      <x:c r="F22" s="76"/>
      <x:c r="G22" s="76"/>
      <x:c r="H22" s="76"/>
      <x:c r="I22" s="76"/>
      <x:c r="J22" s="76"/>
    </x:row>
    <x:row r="23">
      <x:c r="A23" s="79" t="str">
        <x:v>Tail</x:v>
      </x:c>
      <x:c r="B23" s="92" t="str">
        <x:v>Two-tail</x:v>
      </x:c>
      <x:c r="C23" s="76"/>
      <x:c r="D23" s="79" t="str">
        <x:v>Lower critical t</x:v>
      </x:c>
      <x:c r="E23" s="91" t="n">
        <x:f>IF(OR(B22="",B23="",E18=""),"",IF(B23="Two-tail",T.INV(B22/2,E18),IF(B23="Lower",T.INV(B22,E18),"")))</x:f>
        <x:v>-2.0638985473502625</x:v>
      </x:c>
      <x:c r="F23" s="76"/>
      <x:c r="G23" s="76"/>
      <x:c r="H23" s="76"/>
      <x:c r="I23" s="76"/>
      <x:c r="J23" s="76"/>
    </x:row>
    <x:row r="24">
      <x:c r="A24" s="76"/>
      <x:c r="B24" s="76"/>
      <x:c r="C24" s="76"/>
      <x:c r="D24" s="79" t="str">
        <x:v>Upper critical t</x:v>
      </x:c>
      <x:c r="E24" s="91" t="n">
        <x:f>IF(OR(B22="",B23="",E18=""),"",IF(B23="Two-tail",T.INV(1-B22/2,E18),IF(B23="Upper",T.INV(1-B22,E18),"")))</x:f>
        <x:v>2.0638985473502625</x:v>
      </x:c>
      <x:c r="F24" s="76"/>
      <x:c r="G24" s="76"/>
      <x:c r="H24" s="76"/>
      <x:c r="I24" s="76"/>
      <x:c r="J24" s="76"/>
    </x:row>
    <x:row r="25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</x:row>
    <x:row r="26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</x:row>
    <x:row r="27" ht="26" customHeight="1">
      <x:c r="A27" s="138" t="str">
        <x:v>HOLD · OUT OF A1S2 FORMAL SCOPE
One-proportion HYPOTHESIS TESTS are post–Slide 51 material. Do not study or practise this procedure for A1S2 from this workbook. Tutorial 9 Q15 is a Chapter 8 population-PROPORTION CONFIDENCE INTERVAL and remains in scope; use CH8_CI_SAMPLE_SIZE for Q15.</x:v>
      </x:c>
      <x:c r="B27" s="138"/>
      <x:c r="C27" s="138"/>
      <x:c r="D27" s="138"/>
      <x:c r="E27" s="138"/>
      <x:c r="F27" s="77"/>
      <x:c r="G27" s="77"/>
      <x:c r="H27" s="77"/>
      <x:c r="I27" s="77"/>
      <x:c r="J27" s="77"/>
    </x:row>
    <x:row r="28" ht="26" customHeight="1">
      <x:c r="A28" s="124"/>
      <x:c r="B28" s="124"/>
      <x:c r="C28" s="124"/>
      <x:c r="D28" s="124"/>
      <x:c r="E28" s="139"/>
      <x:c r="F28" s="76"/>
      <x:c r="G28" s="76"/>
      <x:c r="H28" s="76"/>
      <x:c r="I28" s="76"/>
      <x:c r="J28" s="76"/>
    </x:row>
    <x:row r="29" ht="26" customHeight="1">
      <x:c r="A29" s="124"/>
      <x:c r="B29" s="124"/>
      <x:c r="C29" s="124"/>
      <x:c r="D29" s="124"/>
      <x:c r="E29" s="139"/>
      <x:c r="F29" s="76"/>
      <x:c r="G29" s="76"/>
      <x:c r="H29" s="76"/>
      <x:c r="I29" s="76"/>
      <x:c r="J29" s="76"/>
    </x:row>
    <x:row r="30" ht="26" customHeight="1">
      <x:c r="A30" s="124"/>
      <x:c r="B30" s="124"/>
      <x:c r="C30" s="124"/>
      <x:c r="D30" s="124"/>
      <x:c r="E30" s="140"/>
      <x:c r="F30" s="76"/>
      <x:c r="G30" s="76"/>
      <x:c r="H30" s="76"/>
      <x:c r="I30" s="76"/>
      <x:c r="J30" s="76"/>
    </x:row>
    <x:row r="31" ht="26" customHeight="1">
      <x:c r="A31" s="124"/>
      <x:c r="B31" s="124"/>
      <x:c r="C31" s="124"/>
      <x:c r="D31" s="124"/>
      <x:c r="E31" s="140"/>
      <x:c r="F31" s="76"/>
      <x:c r="G31" s="76"/>
      <x:c r="H31" s="76"/>
      <x:c r="I31" s="76"/>
      <x:c r="J31" s="76"/>
    </x:row>
    <x:row r="32" ht="26" customHeight="1">
      <x:c r="A32" s="124"/>
      <x:c r="B32" s="124"/>
      <x:c r="C32" s="124"/>
      <x:c r="D32" s="124"/>
      <x:c r="E32" s="141"/>
      <x:c r="F32" s="76"/>
      <x:c r="G32" s="76"/>
      <x:c r="H32" s="76"/>
      <x:c r="I32" s="76"/>
      <x:c r="J32" s="76"/>
    </x:row>
    <x:row r="33" ht="26" customHeight="1">
      <x:c r="A33" s="124"/>
      <x:c r="B33" s="124"/>
      <x:c r="C33" s="124"/>
      <x:c r="D33" s="124"/>
      <x:c r="E33" s="139"/>
      <x:c r="F33" s="76"/>
      <x:c r="G33" s="76"/>
      <x:c r="H33" s="76"/>
      <x:c r="I33" s="76"/>
      <x:c r="J33" s="76"/>
    </x:row>
    <x:row r="34" ht="26" customHeight="1">
      <x:c r="A34" s="124"/>
      <x:c r="B34" s="124"/>
      <x:c r="C34" s="124"/>
      <x:c r="D34" s="124"/>
      <x:c r="E34" s="139"/>
      <x:c r="F34" s="76"/>
      <x:c r="G34" s="76"/>
      <x:c r="H34" s="76"/>
      <x:c r="I34" s="76"/>
      <x:c r="J34" s="76"/>
    </x:row>
    <x:row r="35" ht="26" customHeight="1">
      <x:c r="A35" s="124"/>
      <x:c r="B35" s="124"/>
      <x:c r="C35" s="124"/>
      <x:c r="D35" s="124"/>
      <x:c r="E35" s="141"/>
      <x:c r="F35" s="76"/>
      <x:c r="G35" s="76"/>
      <x:c r="H35" s="76"/>
      <x:c r="I35" s="76"/>
      <x:c r="J35" s="76"/>
    </x:row>
    <x:row r="36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</x:row>
    <x:row r="38" ht="22" customHeight="1">
      <x:c r="A38" s="127" t="str">
        <x:v>PRACTICE TEST Q4 BRIDGE ONLY · NUMERICAL POWER · NOT GENERAL CH9 SCOPE</x:v>
      </x:c>
      <x:c r="B38" s="127"/>
      <x:c r="C38" s="127"/>
      <x:c r="D38" s="127"/>
      <x:c r="E38" s="127"/>
      <x:c r="F38" s="77"/>
      <x:c r="G38" s="148" t="str">
        <x:v>Use this calculator only to rehearse the one numerical power calculation required by the official 2026 A1S2 Practice Test Q4. This exception does not reopen post–Slide 51 one-tail/power/planning content for formal A1S2 study.</x:v>
      </x:c>
      <x:c r="H38" s="148"/>
      <x:c r="I38" s="148"/>
      <x:c r="J38" s="148"/>
    </x:row>
    <x:row r="39">
      <x:c r="A39" s="79" t="str">
        <x:v>Null mean μ0</x:v>
      </x:c>
      <x:c r="B39" s="92" t="n">
        <x:v>200</x:v>
      </x:c>
      <x:c r="C39" s="76"/>
      <x:c r="D39" s="79" t="str">
        <x:v>SE</x:v>
      </x:c>
      <x:c r="E39" s="91" t="n">
        <x:f>IF(OR(B41="",B42=""),"",B41/SQRT(B42))</x:f>
        <x:v>1.4275</x:v>
      </x:c>
      <x:c r="F39" s="76"/>
      <x:c r="G39" s="149"/>
      <x:c r="H39" s="149"/>
      <x:c r="I39" s="149"/>
      <x:c r="J39" s="149"/>
    </x:row>
    <x:row r="40">
      <x:c r="A40" s="79" t="str">
        <x:v>True mean μ1</x:v>
      </x:c>
      <x:c r="B40" s="92" t="n">
        <x:v>197</x:v>
      </x:c>
      <x:c r="C40" s="76"/>
      <x:c r="D40" s="79" t="str">
        <x:v>Lower rejection boundary</x:v>
      </x:c>
      <x:c r="E40" s="91" t="n">
        <x:f>IF(OR(B39="",B43="",B44="",E39=""),"",IF(B44="Two-tail",B39+NORM.S.INV(B43/2)*E39,IF(B44="Lower",B39+NORM.S.INV(B43)*E39,"")))</x:f>
        <x:v>197.65197144752676</x:v>
      </x:c>
      <x:c r="F40" s="76"/>
      <x:c r="G40" s="149"/>
      <x:c r="H40" s="149"/>
      <x:c r="I40" s="149"/>
      <x:c r="J40" s="149"/>
    </x:row>
    <x:row r="41">
      <x:c r="A41" s="79" t="str">
        <x:v>Population SD σ</x:v>
      </x:c>
      <x:c r="B41" s="92" t="n">
        <x:v>5.71</x:v>
      </x:c>
      <x:c r="C41" s="76"/>
      <x:c r="D41" s="79" t="str">
        <x:v>Upper rejection boundary</x:v>
      </x:c>
      <x:c r="E41" s="91" t="str">
        <x:f>IF(OR(B39="",B43="",B44="",E39=""),"",IF(B44="Two-tail",B39+NORM.S.INV(1-B43/2)*E39,IF(B44="Upper",B39+NORM.S.INV(1-B43)*E39,"")))</x:f>
      </x:c>
      <x:c r="F41" s="76"/>
      <x:c r="G41" s="149"/>
      <x:c r="H41" s="149"/>
      <x:c r="I41" s="149"/>
      <x:c r="J41" s="149"/>
    </x:row>
    <x:row r="42">
      <x:c r="A42" s="79" t="str">
        <x:v>Sample size n</x:v>
      </x:c>
      <x:c r="B42" s="92" t="n">
        <x:v>16</x:v>
      </x:c>
      <x:c r="C42" s="76"/>
      <x:c r="D42" s="79" t="str">
        <x:v>Power</x:v>
      </x:c>
      <x:c r="E42" s="91" t="n">
        <x:f>IF(OR(B40="",E39="",B44=""),"",IF(B44="Lower",NORM.DIST(E40,B40,E39,TRUE),IF(B44="Upper",1-NORM.DIST(E41,B40,E39,TRUE),NORM.DIST(E40,B40,E39,TRUE)+1-NORM.DIST(E41,B40,E39,TRUE))))</x:f>
        <x:v>0.6760647616220734</x:v>
      </x:c>
      <x:c r="F42" s="76"/>
      <x:c r="G42" s="149"/>
      <x:c r="H42" s="149"/>
      <x:c r="I42" s="149"/>
      <x:c r="J42" s="149"/>
    </x:row>
    <x:row r="43">
      <x:c r="A43" s="79" t="str">
        <x:v>α</x:v>
      </x:c>
      <x:c r="B43" s="92" t="n">
        <x:v>0.05</x:v>
      </x:c>
      <x:c r="C43" s="76"/>
      <x:c r="D43" s="79" t="str">
        <x:v>β = 1 - power</x:v>
      </x:c>
      <x:c r="E43" s="91" t="n">
        <x:f>IF(E42="","",1-E42)</x:f>
        <x:v>0.3239352383779266</x:v>
      </x:c>
      <x:c r="F43" s="76"/>
      <x:c r="G43" s="149"/>
      <x:c r="H43" s="149"/>
      <x:c r="I43" s="149"/>
      <x:c r="J43" s="149"/>
    </x:row>
    <x:row r="44">
      <x:c r="A44" s="79" t="str">
        <x:v>Tail</x:v>
      </x:c>
      <x:c r="B44" s="92" t="str">
        <x:v>Lower</x:v>
      </x:c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4:J4"/>
    <x:mergeCell ref="A17:J17"/>
    <x:mergeCell ref="A27:J27"/>
    <x:mergeCell ref="A38:J38"/>
    <x:mergeCell ref="A4:E4"/>
    <x:mergeCell ref="A17:E17"/>
    <x:mergeCell ref="A27:E35"/>
    <x:mergeCell ref="A38:E38"/>
    <x:mergeCell ref="G38:J43"/>
  </x:mergeCells>
  <x:dataValidations count="4">
    <x:dataValidation type="list" sqref="B10">
      <x:formula1>"Two-tail"</x:formula1>
    </x:dataValidation>
    <x:dataValidation type="list" sqref="B23">
      <x:formula1>"Two-tail"</x:formula1>
    </x:dataValidation>
    <x:dataValidation type="list" sqref="B32">
      <x:formula1>"Two-tail,Upper,Lower"</x:formula1>
    </x:dataValidation>
    <x:dataValidation type="list" sqref="B44">
      <x:formula1>"Two-tail,Upper,Lower"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8" customHeight="1">
      <x:c r="A1" s="74" t="str">
        <x:v>Chapter 8 · Bootstrap Practice Automation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Paste one original sample in B10:B59. This practice template creates up to 200 with-replacement resamples. If the assessment supplies its own resamples, use those supplied values instead of generating new ones.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9" t="str">
        <x:v>n</x:v>
      </x:c>
      <x:c r="E3" s="102" t="n">
        <x:f>COUNT(B10:B59)</x:f>
        <x:v>0</x:v>
      </x:c>
      <x:c r="F3" s="76"/>
      <x:c r="G3" s="76"/>
      <x:c r="H3" s="76"/>
      <x:c r="I3" s="76"/>
      <x:c r="J3" s="76"/>
    </x:row>
    <x:row r="4">
      <x:c r="A4" s="76"/>
      <x:c r="B4" s="76"/>
      <x:c r="C4" s="76"/>
      <x:c r="D4" s="79" t="str">
        <x:v>Confidence C</x:v>
      </x:c>
      <x:c r="E4" s="103" t="n">
        <x:v>0.95</x:v>
      </x:c>
      <x:c r="F4" s="76"/>
      <x:c r="G4" s="76"/>
      <x:c r="H4" s="76"/>
      <x:c r="I4" s="76"/>
      <x:c r="J4" s="76"/>
    </x:row>
    <x:row r="5">
      <x:c r="A5" s="76"/>
      <x:c r="B5" s="76"/>
      <x:c r="C5" s="76"/>
      <x:c r="D5" s="79" t="str">
        <x:v>Fixed training resamples</x:v>
      </x:c>
      <x:c r="E5" s="151" t="n">
        <x:f>200</x:f>
        <x:v>200</x:v>
      </x:c>
      <x:c r="F5" s="76"/>
      <x:c r="G5" s="76"/>
      <x:c r="H5" s="76"/>
      <x:c r="I5" s="76"/>
      <x:c r="J5" s="76"/>
    </x:row>
    <x:row r="6">
      <x:c r="A6" s="76"/>
      <x:c r="B6" s="76"/>
      <x:c r="C6" s="76"/>
      <x:c r="D6" s="79" t="str">
        <x:v>Tail rank</x:v>
      </x:c>
      <x:c r="E6" s="91" t="str">
        <x:f>IF(E3=0,"",MAX(1,ROUNDUP((1-E4)/2*E5,0)))</x:f>
      </x:c>
      <x:c r="F6" s="76"/>
      <x:c r="G6" s="76"/>
      <x:c r="H6" s="76"/>
      <x:c r="I6" s="76"/>
      <x:c r="J6" s="76"/>
    </x:row>
    <x:row r="7">
      <x:c r="A7" s="76"/>
      <x:c r="B7" s="76"/>
      <x:c r="C7" s="76"/>
      <x:c r="D7" s="79" t="str">
        <x:v>Bootstrap lower</x:v>
      </x:c>
      <x:c r="E7" s="91" t="str">
        <x:f>IF(E3=0,"",SMALL(BA65:BA264,E6))</x:f>
      </x:c>
      <x:c r="F7" s="76"/>
      <x:c r="G7" s="76"/>
      <x:c r="H7" s="76"/>
      <x:c r="I7" s="76"/>
      <x:c r="J7" s="76"/>
    </x:row>
    <x:row r="8">
      <x:c r="A8" s="76"/>
      <x:c r="B8" s="76"/>
      <x:c r="C8" s="76"/>
      <x:c r="D8" s="79" t="str">
        <x:v>Bootstrap upper</x:v>
      </x:c>
      <x:c r="E8" s="91" t="str">
        <x:f>IF(E3=0,"",LARGE(BA65:BA264,E6))</x:f>
      </x:c>
      <x:c r="F8" s="76"/>
      <x:c r="G8" s="76"/>
      <x:c r="H8" s="76"/>
      <x:c r="I8" s="76"/>
      <x:c r="J8" s="76"/>
    </x:row>
    <x:row r="9">
      <x:c r="A9" s="78" t="str">
        <x:v>#</x:v>
      </x:c>
      <x:c r="B9" s="78" t="str">
        <x:v>ORIGINAL SAMPLE</x:v>
      </x:c>
      <x:c r="C9" s="76"/>
      <x:c r="D9" s="76"/>
      <x:c r="E9" s="76"/>
      <x:c r="F9" s="76"/>
      <x:c r="G9" s="76"/>
      <x:c r="H9" s="76"/>
      <x:c r="I9" s="76"/>
      <x:c r="J9" s="76"/>
    </x:row>
    <x:row r="10">
      <x:c r="A10" s="76" t="n">
        <x:v>1</x:v>
      </x:c>
      <x:c r="B10" s="92"/>
      <x:c r="C10" s="76"/>
      <x:c r="D10" s="76"/>
      <x:c r="E10" s="76"/>
      <x:c r="F10" s="76"/>
      <x:c r="G10" s="76"/>
      <x:c r="H10" s="76"/>
      <x:c r="I10" s="76"/>
      <x:c r="J10" s="76"/>
    </x:row>
    <x:row r="11">
      <x:c r="A11" s="76" t="n">
        <x:v>2</x:v>
      </x:c>
      <x:c r="B11" s="92"/>
      <x:c r="C11" s="76"/>
      <x:c r="D11" s="76"/>
      <x:c r="E11" s="76"/>
      <x:c r="F11" s="76"/>
      <x:c r="G11" s="76"/>
      <x:c r="H11" s="76"/>
      <x:c r="I11" s="76"/>
      <x:c r="J11" s="76"/>
    </x:row>
    <x:row r="12">
      <x:c r="A12" s="76" t="n">
        <x:v>3</x:v>
      </x:c>
      <x:c r="B12" s="92"/>
      <x:c r="C12" s="76"/>
      <x:c r="D12" s="76"/>
      <x:c r="E12" s="76"/>
      <x:c r="F12" s="76"/>
      <x:c r="G12" s="76"/>
      <x:c r="H12" s="76"/>
      <x:c r="I12" s="76"/>
      <x:c r="J12" s="76"/>
    </x:row>
    <x:row r="13">
      <x:c r="A13" s="76" t="n">
        <x:v>4</x:v>
      </x:c>
      <x:c r="B13" s="92"/>
      <x:c r="C13" s="76"/>
      <x:c r="D13" s="76"/>
      <x:c r="E13" s="76"/>
      <x:c r="F13" s="76"/>
      <x:c r="G13" s="76"/>
      <x:c r="H13" s="76"/>
      <x:c r="I13" s="76"/>
      <x:c r="J13" s="76"/>
    </x:row>
    <x:row r="14">
      <x:c r="A14" s="76" t="n">
        <x:v>5</x:v>
      </x:c>
      <x:c r="B14" s="92"/>
      <x:c r="C14" s="76"/>
      <x:c r="D14" s="76"/>
      <x:c r="E14" s="76"/>
      <x:c r="F14" s="76"/>
      <x:c r="G14" s="76"/>
      <x:c r="H14" s="76"/>
      <x:c r="I14" s="76"/>
      <x:c r="J14" s="76"/>
    </x:row>
    <x:row r="15">
      <x:c r="A15" s="76" t="n">
        <x:v>6</x:v>
      </x:c>
      <x:c r="B15" s="92"/>
      <x:c r="C15" s="76"/>
      <x:c r="D15" s="76"/>
      <x:c r="E15" s="76"/>
      <x:c r="F15" s="76"/>
      <x:c r="G15" s="76"/>
      <x:c r="H15" s="76"/>
      <x:c r="I15" s="76"/>
      <x:c r="J15" s="76"/>
    </x:row>
    <x:row r="16">
      <x:c r="A16" s="76" t="n">
        <x:v>7</x:v>
      </x:c>
      <x:c r="B16" s="92"/>
      <x:c r="C16" s="76"/>
      <x:c r="D16" s="76"/>
      <x:c r="E16" s="76"/>
      <x:c r="F16" s="76"/>
      <x:c r="G16" s="76"/>
      <x:c r="H16" s="76"/>
      <x:c r="I16" s="76"/>
      <x:c r="J16" s="76"/>
    </x:row>
    <x:row r="17">
      <x:c r="A17" s="76" t="n">
        <x:v>8</x:v>
      </x:c>
      <x:c r="B17" s="92"/>
      <x:c r="C17" s="76"/>
      <x:c r="D17" s="76"/>
      <x:c r="E17" s="76"/>
      <x:c r="F17" s="76"/>
      <x:c r="G17" s="76"/>
      <x:c r="H17" s="76"/>
      <x:c r="I17" s="76"/>
      <x:c r="J17" s="76"/>
    </x:row>
    <x:row r="18">
      <x:c r="A18" s="76" t="n">
        <x:v>9</x:v>
      </x:c>
      <x:c r="B18" s="92"/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76" t="n">
        <x:v>10</x:v>
      </x:c>
      <x:c r="B19" s="92"/>
      <x:c r="C19" s="76"/>
      <x:c r="D19" s="76"/>
      <x:c r="E19" s="76"/>
      <x:c r="F19" s="76"/>
      <x:c r="G19" s="76"/>
      <x:c r="H19" s="76"/>
      <x:c r="I19" s="76"/>
      <x:c r="J19" s="76"/>
    </x:row>
    <x:row r="20">
      <x:c r="A20" s="76" t="n">
        <x:v>11</x:v>
      </x:c>
      <x:c r="B20" s="92"/>
      <x:c r="C20" s="76"/>
      <x:c r="D20" s="76"/>
      <x:c r="E20" s="76"/>
      <x:c r="F20" s="76"/>
      <x:c r="G20" s="76"/>
      <x:c r="H20" s="76"/>
      <x:c r="I20" s="76"/>
      <x:c r="J20" s="76"/>
    </x:row>
    <x:row r="21">
      <x:c r="A21" s="76" t="n">
        <x:v>12</x:v>
      </x:c>
      <x:c r="B21" s="92"/>
      <x:c r="C21" s="76"/>
      <x:c r="D21" s="76"/>
      <x:c r="E21" s="76"/>
      <x:c r="F21" s="76"/>
      <x:c r="G21" s="76"/>
      <x:c r="H21" s="76"/>
      <x:c r="I21" s="76"/>
      <x:c r="J21" s="76"/>
    </x:row>
    <x:row r="22">
      <x:c r="A22" s="76" t="n">
        <x:v>13</x:v>
      </x:c>
      <x:c r="B22" s="92"/>
      <x:c r="C22" s="76"/>
      <x:c r="D22" s="76"/>
      <x:c r="E22" s="76"/>
      <x:c r="F22" s="76"/>
      <x:c r="G22" s="76"/>
      <x:c r="H22" s="76"/>
      <x:c r="I22" s="76"/>
      <x:c r="J22" s="76"/>
    </x:row>
    <x:row r="23">
      <x:c r="A23" s="76" t="n">
        <x:v>14</x:v>
      </x:c>
      <x:c r="B23" s="92"/>
      <x:c r="C23" s="76"/>
      <x:c r="D23" s="76"/>
      <x:c r="E23" s="76"/>
      <x:c r="F23" s="76"/>
      <x:c r="G23" s="76"/>
      <x:c r="H23" s="76"/>
      <x:c r="I23" s="76"/>
      <x:c r="J23" s="76"/>
    </x:row>
    <x:row r="24">
      <x:c r="A24" s="76" t="n">
        <x:v>15</x:v>
      </x:c>
      <x:c r="B24" s="92"/>
      <x:c r="C24" s="76"/>
      <x:c r="D24" s="76"/>
      <x:c r="E24" s="76"/>
      <x:c r="F24" s="76"/>
      <x:c r="G24" s="76"/>
      <x:c r="H24" s="76"/>
      <x:c r="I24" s="76"/>
      <x:c r="J24" s="76"/>
    </x:row>
    <x:row r="25">
      <x:c r="A25" s="76" t="n">
        <x:v>16</x:v>
      </x:c>
      <x:c r="B25" s="92"/>
      <x:c r="C25" s="76"/>
      <x:c r="D25" s="76"/>
      <x:c r="E25" s="76"/>
      <x:c r="F25" s="76"/>
      <x:c r="G25" s="76"/>
      <x:c r="H25" s="76"/>
      <x:c r="I25" s="76"/>
      <x:c r="J25" s="76"/>
    </x:row>
    <x:row r="26">
      <x:c r="A26" s="76" t="n">
        <x:v>17</x:v>
      </x:c>
      <x:c r="B26" s="92"/>
      <x:c r="C26" s="76"/>
      <x:c r="D26" s="76"/>
      <x:c r="E26" s="76"/>
      <x:c r="F26" s="76"/>
      <x:c r="G26" s="76"/>
      <x:c r="H26" s="76"/>
      <x:c r="I26" s="76"/>
      <x:c r="J26" s="76"/>
    </x:row>
    <x:row r="27">
      <x:c r="A27" s="76" t="n">
        <x:v>18</x:v>
      </x:c>
      <x:c r="B27" s="92"/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6" t="n">
        <x:v>19</x:v>
      </x:c>
      <x:c r="B28" s="92"/>
      <x:c r="C28" s="76"/>
      <x:c r="D28" s="76"/>
      <x:c r="E28" s="76"/>
      <x:c r="F28" s="76"/>
      <x:c r="G28" s="76"/>
      <x:c r="H28" s="76"/>
      <x:c r="I28" s="76"/>
      <x:c r="J28" s="76"/>
    </x:row>
    <x:row r="29">
      <x:c r="A29" s="76" t="n">
        <x:v>20</x:v>
      </x:c>
      <x:c r="B29" s="92"/>
      <x:c r="C29" s="76"/>
      <x:c r="D29" s="76"/>
      <x:c r="E29" s="76"/>
      <x:c r="F29" s="76"/>
      <x:c r="G29" s="76"/>
      <x:c r="H29" s="76"/>
      <x:c r="I29" s="76"/>
      <x:c r="J29" s="76"/>
    </x:row>
    <x:row r="30">
      <x:c r="A30" s="76" t="n">
        <x:v>21</x:v>
      </x:c>
      <x:c r="B30" s="92"/>
      <x:c r="C30" s="76"/>
      <x:c r="D30" s="76"/>
      <x:c r="E30" s="76"/>
      <x:c r="F30" s="76"/>
      <x:c r="G30" s="76"/>
      <x:c r="H30" s="76"/>
      <x:c r="I30" s="76"/>
      <x:c r="J30" s="76"/>
    </x:row>
    <x:row r="31">
      <x:c r="A31" s="76" t="n">
        <x:v>22</x:v>
      </x:c>
      <x:c r="B31" s="92"/>
      <x:c r="C31" s="76"/>
      <x:c r="D31" s="76"/>
      <x:c r="E31" s="76"/>
      <x:c r="F31" s="76"/>
      <x:c r="G31" s="76"/>
      <x:c r="H31" s="76"/>
      <x:c r="I31" s="76"/>
      <x:c r="J31" s="76"/>
    </x:row>
    <x:row r="32">
      <x:c r="A32" s="76" t="n">
        <x:v>23</x:v>
      </x:c>
      <x:c r="B32" s="92"/>
      <x:c r="C32" s="76"/>
      <x:c r="D32" s="76"/>
      <x:c r="E32" s="76"/>
      <x:c r="F32" s="76"/>
      <x:c r="G32" s="76"/>
      <x:c r="H32" s="76"/>
      <x:c r="I32" s="76"/>
      <x:c r="J32" s="76"/>
    </x:row>
    <x:row r="33">
      <x:c r="A33" s="76" t="n">
        <x:v>24</x:v>
      </x:c>
      <x:c r="B33" s="92"/>
      <x:c r="C33" s="76"/>
      <x:c r="D33" s="76"/>
      <x:c r="E33" s="76"/>
      <x:c r="F33" s="76"/>
      <x:c r="G33" s="76"/>
      <x:c r="H33" s="76"/>
      <x:c r="I33" s="76"/>
      <x:c r="J33" s="76"/>
    </x:row>
    <x:row r="34">
      <x:c r="A34" s="76" t="n">
        <x:v>25</x:v>
      </x:c>
      <x:c r="B34" s="92"/>
      <x:c r="C34" s="76"/>
      <x:c r="D34" s="76"/>
      <x:c r="E34" s="76"/>
      <x:c r="F34" s="76"/>
      <x:c r="G34" s="76"/>
      <x:c r="H34" s="76"/>
      <x:c r="I34" s="76"/>
      <x:c r="J34" s="76"/>
    </x:row>
    <x:row r="35">
      <x:c r="A35" s="76" t="n">
        <x:v>26</x:v>
      </x:c>
      <x:c r="B35" s="92"/>
      <x:c r="C35" s="76"/>
      <x:c r="D35" s="76"/>
      <x:c r="E35" s="76"/>
      <x:c r="F35" s="76"/>
      <x:c r="G35" s="76"/>
      <x:c r="H35" s="76"/>
      <x:c r="I35" s="76"/>
      <x:c r="J35" s="76"/>
    </x:row>
    <x:row r="36">
      <x:c r="A36" s="76" t="n">
        <x:v>27</x:v>
      </x:c>
      <x:c r="B36" s="92"/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 t="n">
        <x:v>28</x:v>
      </x:c>
      <x:c r="B37" s="92"/>
      <x:c r="C37" s="76"/>
      <x:c r="D37" s="76"/>
      <x:c r="E37" s="76"/>
      <x:c r="F37" s="76"/>
      <x:c r="G37" s="76"/>
      <x:c r="H37" s="76"/>
      <x:c r="I37" s="76"/>
      <x:c r="J37" s="76"/>
    </x:row>
    <x:row r="38">
      <x:c r="A38" s="76" t="n">
        <x:v>29</x:v>
      </x:c>
      <x:c r="B38" s="92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 t="n">
        <x:v>30</x:v>
      </x:c>
      <x:c r="B39" s="92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 t="n">
        <x:v>31</x:v>
      </x:c>
      <x:c r="B40" s="92"/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 t="n">
        <x:v>32</x:v>
      </x:c>
      <x:c r="B41" s="92"/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 t="n">
        <x:v>33</x:v>
      </x:c>
      <x:c r="B42" s="92"/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 t="n">
        <x:v>34</x:v>
      </x:c>
      <x:c r="B43" s="92"/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 t="n">
        <x:v>35</x:v>
      </x:c>
      <x:c r="B44" s="92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 t="n">
        <x:v>36</x:v>
      </x:c>
      <x:c r="B45" s="92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 t="n">
        <x:v>37</x:v>
      </x:c>
      <x:c r="B46" s="92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 t="n">
        <x:v>38</x:v>
      </x:c>
      <x:c r="B47" s="92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 t="n">
        <x:v>39</x:v>
      </x:c>
      <x:c r="B48" s="92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 t="n">
        <x:v>40</x:v>
      </x:c>
      <x:c r="B49" s="92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 t="n">
        <x:v>41</x:v>
      </x:c>
      <x:c r="B50" s="92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 t="n">
        <x:v>42</x:v>
      </x:c>
      <x:c r="B51" s="92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 t="n">
        <x:v>43</x:v>
      </x:c>
      <x:c r="B52" s="92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 t="n">
        <x:v>44</x:v>
      </x:c>
      <x:c r="B53" s="92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 t="n">
        <x:v>45</x:v>
      </x:c>
      <x:c r="B54" s="92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 t="n">
        <x:v>46</x:v>
      </x:c>
      <x:c r="B55" s="92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 t="n">
        <x:v>47</x:v>
      </x:c>
      <x:c r="B56" s="92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 t="n">
        <x:v>48</x:v>
      </x:c>
      <x:c r="B57" s="92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 t="n">
        <x:v>49</x:v>
      </x:c>
      <x:c r="B58" s="92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 t="n">
        <x:v>50</x:v>
      </x:c>
      <x:c r="B59" s="92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149" t="str">
        <x:v>This template is intentionally fixed at 200 training resamples so the generated resample grid and percentile-rank calculation stay aligned. If an assessment supplies its own bootstrap resamples, use the supplied assessment values instead.</x:v>
      </x:c>
      <x:c r="E60" s="149"/>
      <x:c r="F60" s="149"/>
      <x:c r="G60" s="149"/>
      <x:c r="H60" s="149"/>
      <x:c r="I60" s="149"/>
      <x:c r="J60" s="149"/>
    </x:row>
    <x:row r="61">
      <x:c r="A61" s="76"/>
      <x:c r="B61" s="76"/>
      <x:c r="C61" s="76"/>
      <x:c r="D61" s="149"/>
      <x:c r="E61" s="149"/>
      <x:c r="F61" s="149"/>
      <x:c r="G61" s="149"/>
      <x:c r="H61" s="149"/>
      <x:c r="I61" s="149"/>
      <x:c r="J61" s="149"/>
    </x:row>
    <x:row r="62">
      <x:c r="A62" s="76"/>
      <x:c r="B62" s="76"/>
      <x:c r="C62" s="76"/>
      <x:c r="D62" s="149"/>
      <x:c r="E62" s="149"/>
      <x:c r="F62" s="149"/>
      <x:c r="G62" s="149"/>
      <x:c r="H62" s="149"/>
      <x:c r="I62" s="149"/>
      <x:c r="J62" s="149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8" t="str">
        <x:v>Resample</x:v>
      </x:c>
      <x:c r="B64" s="78"/>
      <x:c r="C64" s="78" t="str">
        <x:v>R1</x:v>
      </x:c>
      <x:c r="D64" s="78" t="str">
        <x:v>R2</x:v>
      </x:c>
      <x:c r="E64" s="78" t="str">
        <x:v>R3</x:v>
      </x:c>
      <x:c r="F64" s="78" t="str">
        <x:v>R4</x:v>
      </x:c>
      <x:c r="G64" s="78" t="str">
        <x:v>R5</x:v>
      </x:c>
      <x:c r="H64" s="78" t="str">
        <x:v>R6</x:v>
      </x:c>
      <x:c r="I64" s="78" t="str">
        <x:v>R7</x:v>
      </x:c>
      <x:c r="J64" s="78" t="str">
        <x:v>R8</x:v>
      </x:c>
      <x:c r="K64" s="27" t="str">
        <x:v>R9</x:v>
      </x:c>
      <x:c r="L64" s="27" t="str">
        <x:v>R10</x:v>
      </x:c>
      <x:c r="M64" s="27" t="str">
        <x:v>R11</x:v>
      </x:c>
      <x:c r="N64" s="27" t="str">
        <x:v>R12</x:v>
      </x:c>
      <x:c r="O64" s="27" t="str">
        <x:v>R13</x:v>
      </x:c>
      <x:c r="P64" s="27" t="str">
        <x:v>R14</x:v>
      </x:c>
      <x:c r="Q64" s="27" t="str">
        <x:v>R15</x:v>
      </x:c>
      <x:c r="R64" s="27" t="str">
        <x:v>R16</x:v>
      </x:c>
      <x:c r="S64" s="27" t="str">
        <x:v>R17</x:v>
      </x:c>
      <x:c r="T64" s="27" t="str">
        <x:v>R18</x:v>
      </x:c>
      <x:c r="U64" s="27" t="str">
        <x:v>R19</x:v>
      </x:c>
      <x:c r="V64" s="27" t="str">
        <x:v>R20</x:v>
      </x:c>
      <x:c r="W64" s="27" t="str">
        <x:v>R21</x:v>
      </x:c>
      <x:c r="X64" s="27" t="str">
        <x:v>R22</x:v>
      </x:c>
      <x:c r="Y64" s="27" t="str">
        <x:v>R23</x:v>
      </x:c>
      <x:c r="Z64" s="27" t="str">
        <x:v>R24</x:v>
      </x:c>
      <x:c r="AA64" s="27" t="str">
        <x:v>R25</x:v>
      </x:c>
      <x:c r="AB64" s="27" t="str">
        <x:v>R26</x:v>
      </x:c>
      <x:c r="AC64" s="27" t="str">
        <x:v>R27</x:v>
      </x:c>
      <x:c r="AD64" s="27" t="str">
        <x:v>R28</x:v>
      </x:c>
      <x:c r="AE64" s="27" t="str">
        <x:v>R29</x:v>
      </x:c>
      <x:c r="AF64" s="27" t="str">
        <x:v>R30</x:v>
      </x:c>
      <x:c r="AG64" s="27" t="str">
        <x:v>R31</x:v>
      </x:c>
      <x:c r="AH64" s="27" t="str">
        <x:v>R32</x:v>
      </x:c>
      <x:c r="AI64" s="27" t="str">
        <x:v>R33</x:v>
      </x:c>
      <x:c r="AJ64" s="27" t="str">
        <x:v>R34</x:v>
      </x:c>
      <x:c r="AK64" s="27" t="str">
        <x:v>R35</x:v>
      </x:c>
      <x:c r="AL64" s="27" t="str">
        <x:v>R36</x:v>
      </x:c>
      <x:c r="AM64" s="27" t="str">
        <x:v>R37</x:v>
      </x:c>
      <x:c r="AN64" s="27" t="str">
        <x:v>R38</x:v>
      </x:c>
      <x:c r="AO64" s="27" t="str">
        <x:v>R39</x:v>
      </x:c>
      <x:c r="AP64" s="27" t="str">
        <x:v>R40</x:v>
      </x:c>
      <x:c r="AQ64" s="27" t="str">
        <x:v>R41</x:v>
      </x:c>
      <x:c r="AR64" s="27" t="str">
        <x:v>R42</x:v>
      </x:c>
      <x:c r="AS64" s="27" t="str">
        <x:v>R43</x:v>
      </x:c>
      <x:c r="AT64" s="27" t="str">
        <x:v>R44</x:v>
      </x:c>
      <x:c r="AU64" s="27" t="str">
        <x:v>R45</x:v>
      </x:c>
      <x:c r="AV64" s="27" t="str">
        <x:v>R46</x:v>
      </x:c>
      <x:c r="AW64" s="27" t="str">
        <x:v>R47</x:v>
      </x:c>
      <x:c r="AX64" s="27" t="str">
        <x:v>R48</x:v>
      </x:c>
      <x:c r="AY64" s="27" t="str">
        <x:v>R49</x:v>
      </x:c>
      <x:c r="AZ64" s="27" t="str">
        <x:v>R50</x:v>
      </x:c>
      <x:c r="BA64" s="27" t="str">
        <x:v>Mean</x:v>
      </x:c>
    </x:row>
    <x:row r="65">
      <x:c r="A65" s="76" t="n">
        <x:v>1</x:v>
      </x:c>
      <x:c r="B65" s="76"/>
      <x:c r="C65" s="104" t="str">
        <x:f>IF(COLUMN()-2&lt;=$E$3,INDEX($B$10:$B$59,RANDBETWEEN(1,$E$3)),"")</x:f>
      </x:c>
      <x:c r="D65" s="104" t="str">
        <x:f>IF(COLUMN()-2&lt;=$E$3,INDEX($B$10:$B$59,RANDBETWEEN(1,$E$3)),"")</x:f>
      </x:c>
      <x:c r="E65" s="104" t="str">
        <x:f>IF(COLUMN()-2&lt;=$E$3,INDEX($B$10:$B$59,RANDBETWEEN(1,$E$3)),"")</x:f>
      </x:c>
      <x:c r="F65" s="104" t="str">
        <x:f>IF(COLUMN()-2&lt;=$E$3,INDEX($B$10:$B$59,RANDBETWEEN(1,$E$3)),"")</x:f>
      </x:c>
      <x:c r="G65" s="104" t="str">
        <x:f>IF(COLUMN()-2&lt;=$E$3,INDEX($B$10:$B$59,RANDBETWEEN(1,$E$3)),"")</x:f>
      </x:c>
      <x:c r="H65" s="104" t="str">
        <x:f>IF(COLUMN()-2&lt;=$E$3,INDEX($B$10:$B$59,RANDBETWEEN(1,$E$3)),"")</x:f>
      </x:c>
      <x:c r="I65" s="104" t="str">
        <x:f>IF(COLUMN()-2&lt;=$E$3,INDEX($B$10:$B$59,RANDBETWEEN(1,$E$3)),"")</x:f>
      </x:c>
      <x:c r="J65" s="104" t="str">
        <x:f>IF(COLUMN()-2&lt;=$E$3,INDEX($B$10:$B$59,RANDBETWEEN(1,$E$3)),"")</x:f>
      </x:c>
      <x:c r="K65" s="68" t="str">
        <x:f>IF(COLUMN()-2&lt;=$E$3,INDEX($B$10:$B$59,RANDBETWEEN(1,$E$3)),"")</x:f>
      </x:c>
      <x:c r="L65" s="68" t="str">
        <x:f>IF(COLUMN()-2&lt;=$E$3,INDEX($B$10:$B$59,RANDBETWEEN(1,$E$3)),"")</x:f>
      </x:c>
      <x:c r="M65" s="68" t="str">
        <x:f>IF(COLUMN()-2&lt;=$E$3,INDEX($B$10:$B$59,RANDBETWEEN(1,$E$3)),"")</x:f>
      </x:c>
      <x:c r="N65" s="68" t="str">
        <x:f>IF(COLUMN()-2&lt;=$E$3,INDEX($B$10:$B$59,RANDBETWEEN(1,$E$3)),"")</x:f>
      </x:c>
      <x:c r="O65" s="68" t="str">
        <x:f>IF(COLUMN()-2&lt;=$E$3,INDEX($B$10:$B$59,RANDBETWEEN(1,$E$3)),"")</x:f>
      </x:c>
      <x:c r="P65" s="68" t="str">
        <x:f>IF(COLUMN()-2&lt;=$E$3,INDEX($B$10:$B$59,RANDBETWEEN(1,$E$3)),"")</x:f>
      </x:c>
      <x:c r="Q65" s="68" t="str">
        <x:f>IF(COLUMN()-2&lt;=$E$3,INDEX($B$10:$B$59,RANDBETWEEN(1,$E$3)),"")</x:f>
      </x:c>
      <x:c r="R65" s="68" t="str">
        <x:f>IF(COLUMN()-2&lt;=$E$3,INDEX($B$10:$B$59,RANDBETWEEN(1,$E$3)),"")</x:f>
      </x:c>
      <x:c r="S65" s="68" t="str">
        <x:f>IF(COLUMN()-2&lt;=$E$3,INDEX($B$10:$B$59,RANDBETWEEN(1,$E$3)),"")</x:f>
      </x:c>
      <x:c r="T65" s="68" t="str">
        <x:f>IF(COLUMN()-2&lt;=$E$3,INDEX($B$10:$B$59,RANDBETWEEN(1,$E$3)),"")</x:f>
      </x:c>
      <x:c r="U65" s="68" t="str">
        <x:f>IF(COLUMN()-2&lt;=$E$3,INDEX($B$10:$B$59,RANDBETWEEN(1,$E$3)),"")</x:f>
      </x:c>
      <x:c r="V65" s="68" t="str">
        <x:f>IF(COLUMN()-2&lt;=$E$3,INDEX($B$10:$B$59,RANDBETWEEN(1,$E$3)),"")</x:f>
      </x:c>
      <x:c r="W65" s="68" t="str">
        <x:f>IF(COLUMN()-2&lt;=$E$3,INDEX($B$10:$B$59,RANDBETWEEN(1,$E$3)),"")</x:f>
      </x:c>
      <x:c r="X65" s="68" t="str">
        <x:f>IF(COLUMN()-2&lt;=$E$3,INDEX($B$10:$B$59,RANDBETWEEN(1,$E$3)),"")</x:f>
      </x:c>
      <x:c r="Y65" s="68" t="str">
        <x:f>IF(COLUMN()-2&lt;=$E$3,INDEX($B$10:$B$59,RANDBETWEEN(1,$E$3)),"")</x:f>
      </x:c>
      <x:c r="Z65" s="68" t="str">
        <x:f>IF(COLUMN()-2&lt;=$E$3,INDEX($B$10:$B$59,RANDBETWEEN(1,$E$3)),"")</x:f>
      </x:c>
      <x:c r="AA65" s="68" t="str">
        <x:f>IF(COLUMN()-2&lt;=$E$3,INDEX($B$10:$B$59,RANDBETWEEN(1,$E$3)),"")</x:f>
      </x:c>
      <x:c r="AB65" s="68" t="str">
        <x:f>IF(COLUMN()-2&lt;=$E$3,INDEX($B$10:$B$59,RANDBETWEEN(1,$E$3)),"")</x:f>
      </x:c>
      <x:c r="AC65" s="68" t="str">
        <x:f>IF(COLUMN()-2&lt;=$E$3,INDEX($B$10:$B$59,RANDBETWEEN(1,$E$3)),"")</x:f>
      </x:c>
      <x:c r="AD65" s="68" t="str">
        <x:f>IF(COLUMN()-2&lt;=$E$3,INDEX($B$10:$B$59,RANDBETWEEN(1,$E$3)),"")</x:f>
      </x:c>
      <x:c r="AE65" s="68" t="str">
        <x:f>IF(COLUMN()-2&lt;=$E$3,INDEX($B$10:$B$59,RANDBETWEEN(1,$E$3)),"")</x:f>
      </x:c>
      <x:c r="AF65" s="68" t="str">
        <x:f>IF(COLUMN()-2&lt;=$E$3,INDEX($B$10:$B$59,RANDBETWEEN(1,$E$3)),"")</x:f>
      </x:c>
      <x:c r="AG65" s="68" t="str">
        <x:f>IF(COLUMN()-2&lt;=$E$3,INDEX($B$10:$B$59,RANDBETWEEN(1,$E$3)),"")</x:f>
      </x:c>
      <x:c r="AH65" s="68" t="str">
        <x:f>IF(COLUMN()-2&lt;=$E$3,INDEX($B$10:$B$59,RANDBETWEEN(1,$E$3)),"")</x:f>
      </x:c>
      <x:c r="AI65" s="68" t="str">
        <x:f>IF(COLUMN()-2&lt;=$E$3,INDEX($B$10:$B$59,RANDBETWEEN(1,$E$3)),"")</x:f>
      </x:c>
      <x:c r="AJ65" s="68" t="str">
        <x:f>IF(COLUMN()-2&lt;=$E$3,INDEX($B$10:$B$59,RANDBETWEEN(1,$E$3)),"")</x:f>
      </x:c>
      <x:c r="AK65" s="68" t="str">
        <x:f>IF(COLUMN()-2&lt;=$E$3,INDEX($B$10:$B$59,RANDBETWEEN(1,$E$3)),"")</x:f>
      </x:c>
      <x:c r="AL65" s="68" t="str">
        <x:f>IF(COLUMN()-2&lt;=$E$3,INDEX($B$10:$B$59,RANDBETWEEN(1,$E$3)),"")</x:f>
      </x:c>
      <x:c r="AM65" s="68" t="str">
        <x:f>IF(COLUMN()-2&lt;=$E$3,INDEX($B$10:$B$59,RANDBETWEEN(1,$E$3)),"")</x:f>
      </x:c>
      <x:c r="AN65" s="68" t="str">
        <x:f>IF(COLUMN()-2&lt;=$E$3,INDEX($B$10:$B$59,RANDBETWEEN(1,$E$3)),"")</x:f>
      </x:c>
      <x:c r="AO65" s="68" t="str">
        <x:f>IF(COLUMN()-2&lt;=$E$3,INDEX($B$10:$B$59,RANDBETWEEN(1,$E$3)),"")</x:f>
      </x:c>
      <x:c r="AP65" s="68" t="str">
        <x:f>IF(COLUMN()-2&lt;=$E$3,INDEX($B$10:$B$59,RANDBETWEEN(1,$E$3)),"")</x:f>
      </x:c>
      <x:c r="AQ65" s="68" t="str">
        <x:f>IF(COLUMN()-2&lt;=$E$3,INDEX($B$10:$B$59,RANDBETWEEN(1,$E$3)),"")</x:f>
      </x:c>
      <x:c r="AR65" s="68" t="str">
        <x:f>IF(COLUMN()-2&lt;=$E$3,INDEX($B$10:$B$59,RANDBETWEEN(1,$E$3)),"")</x:f>
      </x:c>
      <x:c r="AS65" s="68" t="str">
        <x:f>IF(COLUMN()-2&lt;=$E$3,INDEX($B$10:$B$59,RANDBETWEEN(1,$E$3)),"")</x:f>
      </x:c>
      <x:c r="AT65" s="68" t="str">
        <x:f>IF(COLUMN()-2&lt;=$E$3,INDEX($B$10:$B$59,RANDBETWEEN(1,$E$3)),"")</x:f>
      </x:c>
      <x:c r="AU65" s="68" t="str">
        <x:f>IF(COLUMN()-2&lt;=$E$3,INDEX($B$10:$B$59,RANDBETWEEN(1,$E$3)),"")</x:f>
      </x:c>
      <x:c r="AV65" s="68" t="str">
        <x:f>IF(COLUMN()-2&lt;=$E$3,INDEX($B$10:$B$59,RANDBETWEEN(1,$E$3)),"")</x:f>
      </x:c>
      <x:c r="AW65" s="68" t="str">
        <x:f>IF(COLUMN()-2&lt;=$E$3,INDEX($B$10:$B$59,RANDBETWEEN(1,$E$3)),"")</x:f>
      </x:c>
      <x:c r="AX65" s="68" t="str">
        <x:f>IF(COLUMN()-2&lt;=$E$3,INDEX($B$10:$B$59,RANDBETWEEN(1,$E$3)),"")</x:f>
      </x:c>
      <x:c r="AY65" s="68" t="str">
        <x:f>IF(COLUMN()-2&lt;=$E$3,INDEX($B$10:$B$59,RANDBETWEEN(1,$E$3)),"")</x:f>
      </x:c>
      <x:c r="AZ65" s="68" t="str">
        <x:f>IF(COLUMN()-2&lt;=$E$3,INDEX($B$10:$B$59,RANDBETWEEN(1,$E$3)),"")</x:f>
      </x:c>
      <x:c r="BA65" s="68" t="str">
        <x:f>IF($E$3=0,"",AVERAGE(C65:AZ65))</x:f>
      </x:c>
    </x:row>
    <x:row r="66">
      <x:c r="A66" s="76" t="n">
        <x:v>2</x:v>
      </x:c>
      <x:c r="B66" s="76"/>
      <x:c r="C66" s="104" t="str">
        <x:f>IF(COLUMN()-2&lt;=$E$3,INDEX($B$10:$B$59,RANDBETWEEN(1,$E$3)),"")</x:f>
      </x:c>
      <x:c r="D66" s="104" t="str">
        <x:f>IF(COLUMN()-2&lt;=$E$3,INDEX($B$10:$B$59,RANDBETWEEN(1,$E$3)),"")</x:f>
      </x:c>
      <x:c r="E66" s="104" t="str">
        <x:f>IF(COLUMN()-2&lt;=$E$3,INDEX($B$10:$B$59,RANDBETWEEN(1,$E$3)),"")</x:f>
      </x:c>
      <x:c r="F66" s="104" t="str">
        <x:f>IF(COLUMN()-2&lt;=$E$3,INDEX($B$10:$B$59,RANDBETWEEN(1,$E$3)),"")</x:f>
      </x:c>
      <x:c r="G66" s="104" t="str">
        <x:f>IF(COLUMN()-2&lt;=$E$3,INDEX($B$10:$B$59,RANDBETWEEN(1,$E$3)),"")</x:f>
      </x:c>
      <x:c r="H66" s="104" t="str">
        <x:f>IF(COLUMN()-2&lt;=$E$3,INDEX($B$10:$B$59,RANDBETWEEN(1,$E$3)),"")</x:f>
      </x:c>
      <x:c r="I66" s="104" t="str">
        <x:f>IF(COLUMN()-2&lt;=$E$3,INDEX($B$10:$B$59,RANDBETWEEN(1,$E$3)),"")</x:f>
      </x:c>
      <x:c r="J66" s="104" t="str">
        <x:f>IF(COLUMN()-2&lt;=$E$3,INDEX($B$10:$B$59,RANDBETWEEN(1,$E$3)),"")</x:f>
      </x:c>
      <x:c r="K66" s="68" t="str">
        <x:f>IF(COLUMN()-2&lt;=$E$3,INDEX($B$10:$B$59,RANDBETWEEN(1,$E$3)),"")</x:f>
      </x:c>
      <x:c r="L66" s="68" t="str">
        <x:f>IF(COLUMN()-2&lt;=$E$3,INDEX($B$10:$B$59,RANDBETWEEN(1,$E$3)),"")</x:f>
      </x:c>
      <x:c r="M66" s="68" t="str">
        <x:f>IF(COLUMN()-2&lt;=$E$3,INDEX($B$10:$B$59,RANDBETWEEN(1,$E$3)),"")</x:f>
      </x:c>
      <x:c r="N66" s="68" t="str">
        <x:f>IF(COLUMN()-2&lt;=$E$3,INDEX($B$10:$B$59,RANDBETWEEN(1,$E$3)),"")</x:f>
      </x:c>
      <x:c r="O66" s="68" t="str">
        <x:f>IF(COLUMN()-2&lt;=$E$3,INDEX($B$10:$B$59,RANDBETWEEN(1,$E$3)),"")</x:f>
      </x:c>
      <x:c r="P66" s="68" t="str">
        <x:f>IF(COLUMN()-2&lt;=$E$3,INDEX($B$10:$B$59,RANDBETWEEN(1,$E$3)),"")</x:f>
      </x:c>
      <x:c r="Q66" s="68" t="str">
        <x:f>IF(COLUMN()-2&lt;=$E$3,INDEX($B$10:$B$59,RANDBETWEEN(1,$E$3)),"")</x:f>
      </x:c>
      <x:c r="R66" s="68" t="str">
        <x:f>IF(COLUMN()-2&lt;=$E$3,INDEX($B$10:$B$59,RANDBETWEEN(1,$E$3)),"")</x:f>
      </x:c>
      <x:c r="S66" s="68" t="str">
        <x:f>IF(COLUMN()-2&lt;=$E$3,INDEX($B$10:$B$59,RANDBETWEEN(1,$E$3)),"")</x:f>
      </x:c>
      <x:c r="T66" s="68" t="str">
        <x:f>IF(COLUMN()-2&lt;=$E$3,INDEX($B$10:$B$59,RANDBETWEEN(1,$E$3)),"")</x:f>
      </x:c>
      <x:c r="U66" s="68" t="str">
        <x:f>IF(COLUMN()-2&lt;=$E$3,INDEX($B$10:$B$59,RANDBETWEEN(1,$E$3)),"")</x:f>
      </x:c>
      <x:c r="V66" s="68" t="str">
        <x:f>IF(COLUMN()-2&lt;=$E$3,INDEX($B$10:$B$59,RANDBETWEEN(1,$E$3)),"")</x:f>
      </x:c>
      <x:c r="W66" s="68" t="str">
        <x:f>IF(COLUMN()-2&lt;=$E$3,INDEX($B$10:$B$59,RANDBETWEEN(1,$E$3)),"")</x:f>
      </x:c>
      <x:c r="X66" s="68" t="str">
        <x:f>IF(COLUMN()-2&lt;=$E$3,INDEX($B$10:$B$59,RANDBETWEEN(1,$E$3)),"")</x:f>
      </x:c>
      <x:c r="Y66" s="68" t="str">
        <x:f>IF(COLUMN()-2&lt;=$E$3,INDEX($B$10:$B$59,RANDBETWEEN(1,$E$3)),"")</x:f>
      </x:c>
      <x:c r="Z66" s="68" t="str">
        <x:f>IF(COLUMN()-2&lt;=$E$3,INDEX($B$10:$B$59,RANDBETWEEN(1,$E$3)),"")</x:f>
      </x:c>
      <x:c r="AA66" s="68" t="str">
        <x:f>IF(COLUMN()-2&lt;=$E$3,INDEX($B$10:$B$59,RANDBETWEEN(1,$E$3)),"")</x:f>
      </x:c>
      <x:c r="AB66" s="68" t="str">
        <x:f>IF(COLUMN()-2&lt;=$E$3,INDEX($B$10:$B$59,RANDBETWEEN(1,$E$3)),"")</x:f>
      </x:c>
      <x:c r="AC66" s="68" t="str">
        <x:f>IF(COLUMN()-2&lt;=$E$3,INDEX($B$10:$B$59,RANDBETWEEN(1,$E$3)),"")</x:f>
      </x:c>
      <x:c r="AD66" s="68" t="str">
        <x:f>IF(COLUMN()-2&lt;=$E$3,INDEX($B$10:$B$59,RANDBETWEEN(1,$E$3)),"")</x:f>
      </x:c>
      <x:c r="AE66" s="68" t="str">
        <x:f>IF(COLUMN()-2&lt;=$E$3,INDEX($B$10:$B$59,RANDBETWEEN(1,$E$3)),"")</x:f>
      </x:c>
      <x:c r="AF66" s="68" t="str">
        <x:f>IF(COLUMN()-2&lt;=$E$3,INDEX($B$10:$B$59,RANDBETWEEN(1,$E$3)),"")</x:f>
      </x:c>
      <x:c r="AG66" s="68" t="str">
        <x:f>IF(COLUMN()-2&lt;=$E$3,INDEX($B$10:$B$59,RANDBETWEEN(1,$E$3)),"")</x:f>
      </x:c>
      <x:c r="AH66" s="68" t="str">
        <x:f>IF(COLUMN()-2&lt;=$E$3,INDEX($B$10:$B$59,RANDBETWEEN(1,$E$3)),"")</x:f>
      </x:c>
      <x:c r="AI66" s="68" t="str">
        <x:f>IF(COLUMN()-2&lt;=$E$3,INDEX($B$10:$B$59,RANDBETWEEN(1,$E$3)),"")</x:f>
      </x:c>
      <x:c r="AJ66" s="68" t="str">
        <x:f>IF(COLUMN()-2&lt;=$E$3,INDEX($B$10:$B$59,RANDBETWEEN(1,$E$3)),"")</x:f>
      </x:c>
      <x:c r="AK66" s="68" t="str">
        <x:f>IF(COLUMN()-2&lt;=$E$3,INDEX($B$10:$B$59,RANDBETWEEN(1,$E$3)),"")</x:f>
      </x:c>
      <x:c r="AL66" s="68" t="str">
        <x:f>IF(COLUMN()-2&lt;=$E$3,INDEX($B$10:$B$59,RANDBETWEEN(1,$E$3)),"")</x:f>
      </x:c>
      <x:c r="AM66" s="68" t="str">
        <x:f>IF(COLUMN()-2&lt;=$E$3,INDEX($B$10:$B$59,RANDBETWEEN(1,$E$3)),"")</x:f>
      </x:c>
      <x:c r="AN66" s="68" t="str">
        <x:f>IF(COLUMN()-2&lt;=$E$3,INDEX($B$10:$B$59,RANDBETWEEN(1,$E$3)),"")</x:f>
      </x:c>
      <x:c r="AO66" s="68" t="str">
        <x:f>IF(COLUMN()-2&lt;=$E$3,INDEX($B$10:$B$59,RANDBETWEEN(1,$E$3)),"")</x:f>
      </x:c>
      <x:c r="AP66" s="68" t="str">
        <x:f>IF(COLUMN()-2&lt;=$E$3,INDEX($B$10:$B$59,RANDBETWEEN(1,$E$3)),"")</x:f>
      </x:c>
      <x:c r="AQ66" s="68" t="str">
        <x:f>IF(COLUMN()-2&lt;=$E$3,INDEX($B$10:$B$59,RANDBETWEEN(1,$E$3)),"")</x:f>
      </x:c>
      <x:c r="AR66" s="68" t="str">
        <x:f>IF(COLUMN()-2&lt;=$E$3,INDEX($B$10:$B$59,RANDBETWEEN(1,$E$3)),"")</x:f>
      </x:c>
      <x:c r="AS66" s="68" t="str">
        <x:f>IF(COLUMN()-2&lt;=$E$3,INDEX($B$10:$B$59,RANDBETWEEN(1,$E$3)),"")</x:f>
      </x:c>
      <x:c r="AT66" s="68" t="str">
        <x:f>IF(COLUMN()-2&lt;=$E$3,INDEX($B$10:$B$59,RANDBETWEEN(1,$E$3)),"")</x:f>
      </x:c>
      <x:c r="AU66" s="68" t="str">
        <x:f>IF(COLUMN()-2&lt;=$E$3,INDEX($B$10:$B$59,RANDBETWEEN(1,$E$3)),"")</x:f>
      </x:c>
      <x:c r="AV66" s="68" t="str">
        <x:f>IF(COLUMN()-2&lt;=$E$3,INDEX($B$10:$B$59,RANDBETWEEN(1,$E$3)),"")</x:f>
      </x:c>
      <x:c r="AW66" s="68" t="str">
        <x:f>IF(COLUMN()-2&lt;=$E$3,INDEX($B$10:$B$59,RANDBETWEEN(1,$E$3)),"")</x:f>
      </x:c>
      <x:c r="AX66" s="68" t="str">
        <x:f>IF(COLUMN()-2&lt;=$E$3,INDEX($B$10:$B$59,RANDBETWEEN(1,$E$3)),"")</x:f>
      </x:c>
      <x:c r="AY66" s="68" t="str">
        <x:f>IF(COLUMN()-2&lt;=$E$3,INDEX($B$10:$B$59,RANDBETWEEN(1,$E$3)),"")</x:f>
      </x:c>
      <x:c r="AZ66" s="68" t="str">
        <x:f>IF(COLUMN()-2&lt;=$E$3,INDEX($B$10:$B$59,RANDBETWEEN(1,$E$3)),"")</x:f>
      </x:c>
      <x:c r="BA66" s="68" t="str">
        <x:f>IF($E$3=0,"",AVERAGE(C66:AZ66))</x:f>
      </x:c>
    </x:row>
    <x:row r="67">
      <x:c r="A67" s="76" t="n">
        <x:v>3</x:v>
      </x:c>
      <x:c r="B67" s="76"/>
      <x:c r="C67" s="104" t="str">
        <x:f>IF(COLUMN()-2&lt;=$E$3,INDEX($B$10:$B$59,RANDBETWEEN(1,$E$3)),"")</x:f>
      </x:c>
      <x:c r="D67" s="104" t="str">
        <x:f>IF(COLUMN()-2&lt;=$E$3,INDEX($B$10:$B$59,RANDBETWEEN(1,$E$3)),"")</x:f>
      </x:c>
      <x:c r="E67" s="104" t="str">
        <x:f>IF(COLUMN()-2&lt;=$E$3,INDEX($B$10:$B$59,RANDBETWEEN(1,$E$3)),"")</x:f>
      </x:c>
      <x:c r="F67" s="104" t="str">
        <x:f>IF(COLUMN()-2&lt;=$E$3,INDEX($B$10:$B$59,RANDBETWEEN(1,$E$3)),"")</x:f>
      </x:c>
      <x:c r="G67" s="104" t="str">
        <x:f>IF(COLUMN()-2&lt;=$E$3,INDEX($B$10:$B$59,RANDBETWEEN(1,$E$3)),"")</x:f>
      </x:c>
      <x:c r="H67" s="104" t="str">
        <x:f>IF(COLUMN()-2&lt;=$E$3,INDEX($B$10:$B$59,RANDBETWEEN(1,$E$3)),"")</x:f>
      </x:c>
      <x:c r="I67" s="104" t="str">
        <x:f>IF(COLUMN()-2&lt;=$E$3,INDEX($B$10:$B$59,RANDBETWEEN(1,$E$3)),"")</x:f>
      </x:c>
      <x:c r="J67" s="104" t="str">
        <x:f>IF(COLUMN()-2&lt;=$E$3,INDEX($B$10:$B$59,RANDBETWEEN(1,$E$3)),"")</x:f>
      </x:c>
      <x:c r="K67" s="68" t="str">
        <x:f>IF(COLUMN()-2&lt;=$E$3,INDEX($B$10:$B$59,RANDBETWEEN(1,$E$3)),"")</x:f>
      </x:c>
      <x:c r="L67" s="68" t="str">
        <x:f>IF(COLUMN()-2&lt;=$E$3,INDEX($B$10:$B$59,RANDBETWEEN(1,$E$3)),"")</x:f>
      </x:c>
      <x:c r="M67" s="68" t="str">
        <x:f>IF(COLUMN()-2&lt;=$E$3,INDEX($B$10:$B$59,RANDBETWEEN(1,$E$3)),"")</x:f>
      </x:c>
      <x:c r="N67" s="68" t="str">
        <x:f>IF(COLUMN()-2&lt;=$E$3,INDEX($B$10:$B$59,RANDBETWEEN(1,$E$3)),"")</x:f>
      </x:c>
      <x:c r="O67" s="68" t="str">
        <x:f>IF(COLUMN()-2&lt;=$E$3,INDEX($B$10:$B$59,RANDBETWEEN(1,$E$3)),"")</x:f>
      </x:c>
      <x:c r="P67" s="68" t="str">
        <x:f>IF(COLUMN()-2&lt;=$E$3,INDEX($B$10:$B$59,RANDBETWEEN(1,$E$3)),"")</x:f>
      </x:c>
      <x:c r="Q67" s="68" t="str">
        <x:f>IF(COLUMN()-2&lt;=$E$3,INDEX($B$10:$B$59,RANDBETWEEN(1,$E$3)),"")</x:f>
      </x:c>
      <x:c r="R67" s="68" t="str">
        <x:f>IF(COLUMN()-2&lt;=$E$3,INDEX($B$10:$B$59,RANDBETWEEN(1,$E$3)),"")</x:f>
      </x:c>
      <x:c r="S67" s="68" t="str">
        <x:f>IF(COLUMN()-2&lt;=$E$3,INDEX($B$10:$B$59,RANDBETWEEN(1,$E$3)),"")</x:f>
      </x:c>
      <x:c r="T67" s="68" t="str">
        <x:f>IF(COLUMN()-2&lt;=$E$3,INDEX($B$10:$B$59,RANDBETWEEN(1,$E$3)),"")</x:f>
      </x:c>
      <x:c r="U67" s="68" t="str">
        <x:f>IF(COLUMN()-2&lt;=$E$3,INDEX($B$10:$B$59,RANDBETWEEN(1,$E$3)),"")</x:f>
      </x:c>
      <x:c r="V67" s="68" t="str">
        <x:f>IF(COLUMN()-2&lt;=$E$3,INDEX($B$10:$B$59,RANDBETWEEN(1,$E$3)),"")</x:f>
      </x:c>
      <x:c r="W67" s="68" t="str">
        <x:f>IF(COLUMN()-2&lt;=$E$3,INDEX($B$10:$B$59,RANDBETWEEN(1,$E$3)),"")</x:f>
      </x:c>
      <x:c r="X67" s="68" t="str">
        <x:f>IF(COLUMN()-2&lt;=$E$3,INDEX($B$10:$B$59,RANDBETWEEN(1,$E$3)),"")</x:f>
      </x:c>
      <x:c r="Y67" s="68" t="str">
        <x:f>IF(COLUMN()-2&lt;=$E$3,INDEX($B$10:$B$59,RANDBETWEEN(1,$E$3)),"")</x:f>
      </x:c>
      <x:c r="Z67" s="68" t="str">
        <x:f>IF(COLUMN()-2&lt;=$E$3,INDEX($B$10:$B$59,RANDBETWEEN(1,$E$3)),"")</x:f>
      </x:c>
      <x:c r="AA67" s="68" t="str">
        <x:f>IF(COLUMN()-2&lt;=$E$3,INDEX($B$10:$B$59,RANDBETWEEN(1,$E$3)),"")</x:f>
      </x:c>
      <x:c r="AB67" s="68" t="str">
        <x:f>IF(COLUMN()-2&lt;=$E$3,INDEX($B$10:$B$59,RANDBETWEEN(1,$E$3)),"")</x:f>
      </x:c>
      <x:c r="AC67" s="68" t="str">
        <x:f>IF(COLUMN()-2&lt;=$E$3,INDEX($B$10:$B$59,RANDBETWEEN(1,$E$3)),"")</x:f>
      </x:c>
      <x:c r="AD67" s="68" t="str">
        <x:f>IF(COLUMN()-2&lt;=$E$3,INDEX($B$10:$B$59,RANDBETWEEN(1,$E$3)),"")</x:f>
      </x:c>
      <x:c r="AE67" s="68" t="str">
        <x:f>IF(COLUMN()-2&lt;=$E$3,INDEX($B$10:$B$59,RANDBETWEEN(1,$E$3)),"")</x:f>
      </x:c>
      <x:c r="AF67" s="68" t="str">
        <x:f>IF(COLUMN()-2&lt;=$E$3,INDEX($B$10:$B$59,RANDBETWEEN(1,$E$3)),"")</x:f>
      </x:c>
      <x:c r="AG67" s="68" t="str">
        <x:f>IF(COLUMN()-2&lt;=$E$3,INDEX($B$10:$B$59,RANDBETWEEN(1,$E$3)),"")</x:f>
      </x:c>
      <x:c r="AH67" s="68" t="str">
        <x:f>IF(COLUMN()-2&lt;=$E$3,INDEX($B$10:$B$59,RANDBETWEEN(1,$E$3)),"")</x:f>
      </x:c>
      <x:c r="AI67" s="68" t="str">
        <x:f>IF(COLUMN()-2&lt;=$E$3,INDEX($B$10:$B$59,RANDBETWEEN(1,$E$3)),"")</x:f>
      </x:c>
      <x:c r="AJ67" s="68" t="str">
        <x:f>IF(COLUMN()-2&lt;=$E$3,INDEX($B$10:$B$59,RANDBETWEEN(1,$E$3)),"")</x:f>
      </x:c>
      <x:c r="AK67" s="68" t="str">
        <x:f>IF(COLUMN()-2&lt;=$E$3,INDEX($B$10:$B$59,RANDBETWEEN(1,$E$3)),"")</x:f>
      </x:c>
      <x:c r="AL67" s="68" t="str">
        <x:f>IF(COLUMN()-2&lt;=$E$3,INDEX($B$10:$B$59,RANDBETWEEN(1,$E$3)),"")</x:f>
      </x:c>
      <x:c r="AM67" s="68" t="str">
        <x:f>IF(COLUMN()-2&lt;=$E$3,INDEX($B$10:$B$59,RANDBETWEEN(1,$E$3)),"")</x:f>
      </x:c>
      <x:c r="AN67" s="68" t="str">
        <x:f>IF(COLUMN()-2&lt;=$E$3,INDEX($B$10:$B$59,RANDBETWEEN(1,$E$3)),"")</x:f>
      </x:c>
      <x:c r="AO67" s="68" t="str">
        <x:f>IF(COLUMN()-2&lt;=$E$3,INDEX($B$10:$B$59,RANDBETWEEN(1,$E$3)),"")</x:f>
      </x:c>
      <x:c r="AP67" s="68" t="str">
        <x:f>IF(COLUMN()-2&lt;=$E$3,INDEX($B$10:$B$59,RANDBETWEEN(1,$E$3)),"")</x:f>
      </x:c>
      <x:c r="AQ67" s="68" t="str">
        <x:f>IF(COLUMN()-2&lt;=$E$3,INDEX($B$10:$B$59,RANDBETWEEN(1,$E$3)),"")</x:f>
      </x:c>
      <x:c r="AR67" s="68" t="str">
        <x:f>IF(COLUMN()-2&lt;=$E$3,INDEX($B$10:$B$59,RANDBETWEEN(1,$E$3)),"")</x:f>
      </x:c>
      <x:c r="AS67" s="68" t="str">
        <x:f>IF(COLUMN()-2&lt;=$E$3,INDEX($B$10:$B$59,RANDBETWEEN(1,$E$3)),"")</x:f>
      </x:c>
      <x:c r="AT67" s="68" t="str">
        <x:f>IF(COLUMN()-2&lt;=$E$3,INDEX($B$10:$B$59,RANDBETWEEN(1,$E$3)),"")</x:f>
      </x:c>
      <x:c r="AU67" s="68" t="str">
        <x:f>IF(COLUMN()-2&lt;=$E$3,INDEX($B$10:$B$59,RANDBETWEEN(1,$E$3)),"")</x:f>
      </x:c>
      <x:c r="AV67" s="68" t="str">
        <x:f>IF(COLUMN()-2&lt;=$E$3,INDEX($B$10:$B$59,RANDBETWEEN(1,$E$3)),"")</x:f>
      </x:c>
      <x:c r="AW67" s="68" t="str">
        <x:f>IF(COLUMN()-2&lt;=$E$3,INDEX($B$10:$B$59,RANDBETWEEN(1,$E$3)),"")</x:f>
      </x:c>
      <x:c r="AX67" s="68" t="str">
        <x:f>IF(COLUMN()-2&lt;=$E$3,INDEX($B$10:$B$59,RANDBETWEEN(1,$E$3)),"")</x:f>
      </x:c>
      <x:c r="AY67" s="68" t="str">
        <x:f>IF(COLUMN()-2&lt;=$E$3,INDEX($B$10:$B$59,RANDBETWEEN(1,$E$3)),"")</x:f>
      </x:c>
      <x:c r="AZ67" s="68" t="str">
        <x:f>IF(COLUMN()-2&lt;=$E$3,INDEX($B$10:$B$59,RANDBETWEEN(1,$E$3)),"")</x:f>
      </x:c>
      <x:c r="BA67" s="68" t="str">
        <x:f>IF($E$3=0,"",AVERAGE(C67:AZ67))</x:f>
      </x:c>
    </x:row>
    <x:row r="68">
      <x:c r="A68" s="76" t="n">
        <x:v>4</x:v>
      </x:c>
      <x:c r="B68" s="76"/>
      <x:c r="C68" s="104" t="str">
        <x:f>IF(COLUMN()-2&lt;=$E$3,INDEX($B$10:$B$59,RANDBETWEEN(1,$E$3)),"")</x:f>
      </x:c>
      <x:c r="D68" s="104" t="str">
        <x:f>IF(COLUMN()-2&lt;=$E$3,INDEX($B$10:$B$59,RANDBETWEEN(1,$E$3)),"")</x:f>
      </x:c>
      <x:c r="E68" s="104" t="str">
        <x:f>IF(COLUMN()-2&lt;=$E$3,INDEX($B$10:$B$59,RANDBETWEEN(1,$E$3)),"")</x:f>
      </x:c>
      <x:c r="F68" s="104" t="str">
        <x:f>IF(COLUMN()-2&lt;=$E$3,INDEX($B$10:$B$59,RANDBETWEEN(1,$E$3)),"")</x:f>
      </x:c>
      <x:c r="G68" s="104" t="str">
        <x:f>IF(COLUMN()-2&lt;=$E$3,INDEX($B$10:$B$59,RANDBETWEEN(1,$E$3)),"")</x:f>
      </x:c>
      <x:c r="H68" s="104" t="str">
        <x:f>IF(COLUMN()-2&lt;=$E$3,INDEX($B$10:$B$59,RANDBETWEEN(1,$E$3)),"")</x:f>
      </x:c>
      <x:c r="I68" s="104" t="str">
        <x:f>IF(COLUMN()-2&lt;=$E$3,INDEX($B$10:$B$59,RANDBETWEEN(1,$E$3)),"")</x:f>
      </x:c>
      <x:c r="J68" s="104" t="str">
        <x:f>IF(COLUMN()-2&lt;=$E$3,INDEX($B$10:$B$59,RANDBETWEEN(1,$E$3)),"")</x:f>
      </x:c>
      <x:c r="K68" s="68" t="str">
        <x:f>IF(COLUMN()-2&lt;=$E$3,INDEX($B$10:$B$59,RANDBETWEEN(1,$E$3)),"")</x:f>
      </x:c>
      <x:c r="L68" s="68" t="str">
        <x:f>IF(COLUMN()-2&lt;=$E$3,INDEX($B$10:$B$59,RANDBETWEEN(1,$E$3)),"")</x:f>
      </x:c>
      <x:c r="M68" s="68" t="str">
        <x:f>IF(COLUMN()-2&lt;=$E$3,INDEX($B$10:$B$59,RANDBETWEEN(1,$E$3)),"")</x:f>
      </x:c>
      <x:c r="N68" s="68" t="str">
        <x:f>IF(COLUMN()-2&lt;=$E$3,INDEX($B$10:$B$59,RANDBETWEEN(1,$E$3)),"")</x:f>
      </x:c>
      <x:c r="O68" s="68" t="str">
        <x:f>IF(COLUMN()-2&lt;=$E$3,INDEX($B$10:$B$59,RANDBETWEEN(1,$E$3)),"")</x:f>
      </x:c>
      <x:c r="P68" s="68" t="str">
        <x:f>IF(COLUMN()-2&lt;=$E$3,INDEX($B$10:$B$59,RANDBETWEEN(1,$E$3)),"")</x:f>
      </x:c>
      <x:c r="Q68" s="68" t="str">
        <x:f>IF(COLUMN()-2&lt;=$E$3,INDEX($B$10:$B$59,RANDBETWEEN(1,$E$3)),"")</x:f>
      </x:c>
      <x:c r="R68" s="68" t="str">
        <x:f>IF(COLUMN()-2&lt;=$E$3,INDEX($B$10:$B$59,RANDBETWEEN(1,$E$3)),"")</x:f>
      </x:c>
      <x:c r="S68" s="68" t="str">
        <x:f>IF(COLUMN()-2&lt;=$E$3,INDEX($B$10:$B$59,RANDBETWEEN(1,$E$3)),"")</x:f>
      </x:c>
      <x:c r="T68" s="68" t="str">
        <x:f>IF(COLUMN()-2&lt;=$E$3,INDEX($B$10:$B$59,RANDBETWEEN(1,$E$3)),"")</x:f>
      </x:c>
      <x:c r="U68" s="68" t="str">
        <x:f>IF(COLUMN()-2&lt;=$E$3,INDEX($B$10:$B$59,RANDBETWEEN(1,$E$3)),"")</x:f>
      </x:c>
      <x:c r="V68" s="68" t="str">
        <x:f>IF(COLUMN()-2&lt;=$E$3,INDEX($B$10:$B$59,RANDBETWEEN(1,$E$3)),"")</x:f>
      </x:c>
      <x:c r="W68" s="68" t="str">
        <x:f>IF(COLUMN()-2&lt;=$E$3,INDEX($B$10:$B$59,RANDBETWEEN(1,$E$3)),"")</x:f>
      </x:c>
      <x:c r="X68" s="68" t="str">
        <x:f>IF(COLUMN()-2&lt;=$E$3,INDEX($B$10:$B$59,RANDBETWEEN(1,$E$3)),"")</x:f>
      </x:c>
      <x:c r="Y68" s="68" t="str">
        <x:f>IF(COLUMN()-2&lt;=$E$3,INDEX($B$10:$B$59,RANDBETWEEN(1,$E$3)),"")</x:f>
      </x:c>
      <x:c r="Z68" s="68" t="str">
        <x:f>IF(COLUMN()-2&lt;=$E$3,INDEX($B$10:$B$59,RANDBETWEEN(1,$E$3)),"")</x:f>
      </x:c>
      <x:c r="AA68" s="68" t="str">
        <x:f>IF(COLUMN()-2&lt;=$E$3,INDEX($B$10:$B$59,RANDBETWEEN(1,$E$3)),"")</x:f>
      </x:c>
      <x:c r="AB68" s="68" t="str">
        <x:f>IF(COLUMN()-2&lt;=$E$3,INDEX($B$10:$B$59,RANDBETWEEN(1,$E$3)),"")</x:f>
      </x:c>
      <x:c r="AC68" s="68" t="str">
        <x:f>IF(COLUMN()-2&lt;=$E$3,INDEX($B$10:$B$59,RANDBETWEEN(1,$E$3)),"")</x:f>
      </x:c>
      <x:c r="AD68" s="68" t="str">
        <x:f>IF(COLUMN()-2&lt;=$E$3,INDEX($B$10:$B$59,RANDBETWEEN(1,$E$3)),"")</x:f>
      </x:c>
      <x:c r="AE68" s="68" t="str">
        <x:f>IF(COLUMN()-2&lt;=$E$3,INDEX($B$10:$B$59,RANDBETWEEN(1,$E$3)),"")</x:f>
      </x:c>
      <x:c r="AF68" s="68" t="str">
        <x:f>IF(COLUMN()-2&lt;=$E$3,INDEX($B$10:$B$59,RANDBETWEEN(1,$E$3)),"")</x:f>
      </x:c>
      <x:c r="AG68" s="68" t="str">
        <x:f>IF(COLUMN()-2&lt;=$E$3,INDEX($B$10:$B$59,RANDBETWEEN(1,$E$3)),"")</x:f>
      </x:c>
      <x:c r="AH68" s="68" t="str">
        <x:f>IF(COLUMN()-2&lt;=$E$3,INDEX($B$10:$B$59,RANDBETWEEN(1,$E$3)),"")</x:f>
      </x:c>
      <x:c r="AI68" s="68" t="str">
        <x:f>IF(COLUMN()-2&lt;=$E$3,INDEX($B$10:$B$59,RANDBETWEEN(1,$E$3)),"")</x:f>
      </x:c>
      <x:c r="AJ68" s="68" t="str">
        <x:f>IF(COLUMN()-2&lt;=$E$3,INDEX($B$10:$B$59,RANDBETWEEN(1,$E$3)),"")</x:f>
      </x:c>
      <x:c r="AK68" s="68" t="str">
        <x:f>IF(COLUMN()-2&lt;=$E$3,INDEX($B$10:$B$59,RANDBETWEEN(1,$E$3)),"")</x:f>
      </x:c>
      <x:c r="AL68" s="68" t="str">
        <x:f>IF(COLUMN()-2&lt;=$E$3,INDEX($B$10:$B$59,RANDBETWEEN(1,$E$3)),"")</x:f>
      </x:c>
      <x:c r="AM68" s="68" t="str">
        <x:f>IF(COLUMN()-2&lt;=$E$3,INDEX($B$10:$B$59,RANDBETWEEN(1,$E$3)),"")</x:f>
      </x:c>
      <x:c r="AN68" s="68" t="str">
        <x:f>IF(COLUMN()-2&lt;=$E$3,INDEX($B$10:$B$59,RANDBETWEEN(1,$E$3)),"")</x:f>
      </x:c>
      <x:c r="AO68" s="68" t="str">
        <x:f>IF(COLUMN()-2&lt;=$E$3,INDEX($B$10:$B$59,RANDBETWEEN(1,$E$3)),"")</x:f>
      </x:c>
      <x:c r="AP68" s="68" t="str">
        <x:f>IF(COLUMN()-2&lt;=$E$3,INDEX($B$10:$B$59,RANDBETWEEN(1,$E$3)),"")</x:f>
      </x:c>
      <x:c r="AQ68" s="68" t="str">
        <x:f>IF(COLUMN()-2&lt;=$E$3,INDEX($B$10:$B$59,RANDBETWEEN(1,$E$3)),"")</x:f>
      </x:c>
      <x:c r="AR68" s="68" t="str">
        <x:f>IF(COLUMN()-2&lt;=$E$3,INDEX($B$10:$B$59,RANDBETWEEN(1,$E$3)),"")</x:f>
      </x:c>
      <x:c r="AS68" s="68" t="str">
        <x:f>IF(COLUMN()-2&lt;=$E$3,INDEX($B$10:$B$59,RANDBETWEEN(1,$E$3)),"")</x:f>
      </x:c>
      <x:c r="AT68" s="68" t="str">
        <x:f>IF(COLUMN()-2&lt;=$E$3,INDEX($B$10:$B$59,RANDBETWEEN(1,$E$3)),"")</x:f>
      </x:c>
      <x:c r="AU68" s="68" t="str">
        <x:f>IF(COLUMN()-2&lt;=$E$3,INDEX($B$10:$B$59,RANDBETWEEN(1,$E$3)),"")</x:f>
      </x:c>
      <x:c r="AV68" s="68" t="str">
        <x:f>IF(COLUMN()-2&lt;=$E$3,INDEX($B$10:$B$59,RANDBETWEEN(1,$E$3)),"")</x:f>
      </x:c>
      <x:c r="AW68" s="68" t="str">
        <x:f>IF(COLUMN()-2&lt;=$E$3,INDEX($B$10:$B$59,RANDBETWEEN(1,$E$3)),"")</x:f>
      </x:c>
      <x:c r="AX68" s="68" t="str">
        <x:f>IF(COLUMN()-2&lt;=$E$3,INDEX($B$10:$B$59,RANDBETWEEN(1,$E$3)),"")</x:f>
      </x:c>
      <x:c r="AY68" s="68" t="str">
        <x:f>IF(COLUMN()-2&lt;=$E$3,INDEX($B$10:$B$59,RANDBETWEEN(1,$E$3)),"")</x:f>
      </x:c>
      <x:c r="AZ68" s="68" t="str">
        <x:f>IF(COLUMN()-2&lt;=$E$3,INDEX($B$10:$B$59,RANDBETWEEN(1,$E$3)),"")</x:f>
      </x:c>
      <x:c r="BA68" s="68" t="str">
        <x:f>IF($E$3=0,"",AVERAGE(C68:AZ68))</x:f>
      </x:c>
    </x:row>
    <x:row r="69">
      <x:c r="A69" s="76" t="n">
        <x:v>5</x:v>
      </x:c>
      <x:c r="B69" s="76"/>
      <x:c r="C69" s="104" t="str">
        <x:f>IF(COLUMN()-2&lt;=$E$3,INDEX($B$10:$B$59,RANDBETWEEN(1,$E$3)),"")</x:f>
      </x:c>
      <x:c r="D69" s="104" t="str">
        <x:f>IF(COLUMN()-2&lt;=$E$3,INDEX($B$10:$B$59,RANDBETWEEN(1,$E$3)),"")</x:f>
      </x:c>
      <x:c r="E69" s="104" t="str">
        <x:f>IF(COLUMN()-2&lt;=$E$3,INDEX($B$10:$B$59,RANDBETWEEN(1,$E$3)),"")</x:f>
      </x:c>
      <x:c r="F69" s="104" t="str">
        <x:f>IF(COLUMN()-2&lt;=$E$3,INDEX($B$10:$B$59,RANDBETWEEN(1,$E$3)),"")</x:f>
      </x:c>
      <x:c r="G69" s="104" t="str">
        <x:f>IF(COLUMN()-2&lt;=$E$3,INDEX($B$10:$B$59,RANDBETWEEN(1,$E$3)),"")</x:f>
      </x:c>
      <x:c r="H69" s="104" t="str">
        <x:f>IF(COLUMN()-2&lt;=$E$3,INDEX($B$10:$B$59,RANDBETWEEN(1,$E$3)),"")</x:f>
      </x:c>
      <x:c r="I69" s="104" t="str">
        <x:f>IF(COLUMN()-2&lt;=$E$3,INDEX($B$10:$B$59,RANDBETWEEN(1,$E$3)),"")</x:f>
      </x:c>
      <x:c r="J69" s="104" t="str">
        <x:f>IF(COLUMN()-2&lt;=$E$3,INDEX($B$10:$B$59,RANDBETWEEN(1,$E$3)),"")</x:f>
      </x:c>
      <x:c r="K69" s="68" t="str">
        <x:f>IF(COLUMN()-2&lt;=$E$3,INDEX($B$10:$B$59,RANDBETWEEN(1,$E$3)),"")</x:f>
      </x:c>
      <x:c r="L69" s="68" t="str">
        <x:f>IF(COLUMN()-2&lt;=$E$3,INDEX($B$10:$B$59,RANDBETWEEN(1,$E$3)),"")</x:f>
      </x:c>
      <x:c r="M69" s="68" t="str">
        <x:f>IF(COLUMN()-2&lt;=$E$3,INDEX($B$10:$B$59,RANDBETWEEN(1,$E$3)),"")</x:f>
      </x:c>
      <x:c r="N69" s="68" t="str">
        <x:f>IF(COLUMN()-2&lt;=$E$3,INDEX($B$10:$B$59,RANDBETWEEN(1,$E$3)),"")</x:f>
      </x:c>
      <x:c r="O69" s="68" t="str">
        <x:f>IF(COLUMN()-2&lt;=$E$3,INDEX($B$10:$B$59,RANDBETWEEN(1,$E$3)),"")</x:f>
      </x:c>
      <x:c r="P69" s="68" t="str">
        <x:f>IF(COLUMN()-2&lt;=$E$3,INDEX($B$10:$B$59,RANDBETWEEN(1,$E$3)),"")</x:f>
      </x:c>
      <x:c r="Q69" s="68" t="str">
        <x:f>IF(COLUMN()-2&lt;=$E$3,INDEX($B$10:$B$59,RANDBETWEEN(1,$E$3)),"")</x:f>
      </x:c>
      <x:c r="R69" s="68" t="str">
        <x:f>IF(COLUMN()-2&lt;=$E$3,INDEX($B$10:$B$59,RANDBETWEEN(1,$E$3)),"")</x:f>
      </x:c>
      <x:c r="S69" s="68" t="str">
        <x:f>IF(COLUMN()-2&lt;=$E$3,INDEX($B$10:$B$59,RANDBETWEEN(1,$E$3)),"")</x:f>
      </x:c>
      <x:c r="T69" s="68" t="str">
        <x:f>IF(COLUMN()-2&lt;=$E$3,INDEX($B$10:$B$59,RANDBETWEEN(1,$E$3)),"")</x:f>
      </x:c>
      <x:c r="U69" s="68" t="str">
        <x:f>IF(COLUMN()-2&lt;=$E$3,INDEX($B$10:$B$59,RANDBETWEEN(1,$E$3)),"")</x:f>
      </x:c>
      <x:c r="V69" s="68" t="str">
        <x:f>IF(COLUMN()-2&lt;=$E$3,INDEX($B$10:$B$59,RANDBETWEEN(1,$E$3)),"")</x:f>
      </x:c>
      <x:c r="W69" s="68" t="str">
        <x:f>IF(COLUMN()-2&lt;=$E$3,INDEX($B$10:$B$59,RANDBETWEEN(1,$E$3)),"")</x:f>
      </x:c>
      <x:c r="X69" s="68" t="str">
        <x:f>IF(COLUMN()-2&lt;=$E$3,INDEX($B$10:$B$59,RANDBETWEEN(1,$E$3)),"")</x:f>
      </x:c>
      <x:c r="Y69" s="68" t="str">
        <x:f>IF(COLUMN()-2&lt;=$E$3,INDEX($B$10:$B$59,RANDBETWEEN(1,$E$3)),"")</x:f>
      </x:c>
      <x:c r="Z69" s="68" t="str">
        <x:f>IF(COLUMN()-2&lt;=$E$3,INDEX($B$10:$B$59,RANDBETWEEN(1,$E$3)),"")</x:f>
      </x:c>
      <x:c r="AA69" s="68" t="str">
        <x:f>IF(COLUMN()-2&lt;=$E$3,INDEX($B$10:$B$59,RANDBETWEEN(1,$E$3)),"")</x:f>
      </x:c>
      <x:c r="AB69" s="68" t="str">
        <x:f>IF(COLUMN()-2&lt;=$E$3,INDEX($B$10:$B$59,RANDBETWEEN(1,$E$3)),"")</x:f>
      </x:c>
      <x:c r="AC69" s="68" t="str">
        <x:f>IF(COLUMN()-2&lt;=$E$3,INDEX($B$10:$B$59,RANDBETWEEN(1,$E$3)),"")</x:f>
      </x:c>
      <x:c r="AD69" s="68" t="str">
        <x:f>IF(COLUMN()-2&lt;=$E$3,INDEX($B$10:$B$59,RANDBETWEEN(1,$E$3)),"")</x:f>
      </x:c>
      <x:c r="AE69" s="68" t="str">
        <x:f>IF(COLUMN()-2&lt;=$E$3,INDEX($B$10:$B$59,RANDBETWEEN(1,$E$3)),"")</x:f>
      </x:c>
      <x:c r="AF69" s="68" t="str">
        <x:f>IF(COLUMN()-2&lt;=$E$3,INDEX($B$10:$B$59,RANDBETWEEN(1,$E$3)),"")</x:f>
      </x:c>
      <x:c r="AG69" s="68" t="str">
        <x:f>IF(COLUMN()-2&lt;=$E$3,INDEX($B$10:$B$59,RANDBETWEEN(1,$E$3)),"")</x:f>
      </x:c>
      <x:c r="AH69" s="68" t="str">
        <x:f>IF(COLUMN()-2&lt;=$E$3,INDEX($B$10:$B$59,RANDBETWEEN(1,$E$3)),"")</x:f>
      </x:c>
      <x:c r="AI69" s="68" t="str">
        <x:f>IF(COLUMN()-2&lt;=$E$3,INDEX($B$10:$B$59,RANDBETWEEN(1,$E$3)),"")</x:f>
      </x:c>
      <x:c r="AJ69" s="68" t="str">
        <x:f>IF(COLUMN()-2&lt;=$E$3,INDEX($B$10:$B$59,RANDBETWEEN(1,$E$3)),"")</x:f>
      </x:c>
      <x:c r="AK69" s="68" t="str">
        <x:f>IF(COLUMN()-2&lt;=$E$3,INDEX($B$10:$B$59,RANDBETWEEN(1,$E$3)),"")</x:f>
      </x:c>
      <x:c r="AL69" s="68" t="str">
        <x:f>IF(COLUMN()-2&lt;=$E$3,INDEX($B$10:$B$59,RANDBETWEEN(1,$E$3)),"")</x:f>
      </x:c>
      <x:c r="AM69" s="68" t="str">
        <x:f>IF(COLUMN()-2&lt;=$E$3,INDEX($B$10:$B$59,RANDBETWEEN(1,$E$3)),"")</x:f>
      </x:c>
      <x:c r="AN69" s="68" t="str">
        <x:f>IF(COLUMN()-2&lt;=$E$3,INDEX($B$10:$B$59,RANDBETWEEN(1,$E$3)),"")</x:f>
      </x:c>
      <x:c r="AO69" s="68" t="str">
        <x:f>IF(COLUMN()-2&lt;=$E$3,INDEX($B$10:$B$59,RANDBETWEEN(1,$E$3)),"")</x:f>
      </x:c>
      <x:c r="AP69" s="68" t="str">
        <x:f>IF(COLUMN()-2&lt;=$E$3,INDEX($B$10:$B$59,RANDBETWEEN(1,$E$3)),"")</x:f>
      </x:c>
      <x:c r="AQ69" s="68" t="str">
        <x:f>IF(COLUMN()-2&lt;=$E$3,INDEX($B$10:$B$59,RANDBETWEEN(1,$E$3)),"")</x:f>
      </x:c>
      <x:c r="AR69" s="68" t="str">
        <x:f>IF(COLUMN()-2&lt;=$E$3,INDEX($B$10:$B$59,RANDBETWEEN(1,$E$3)),"")</x:f>
      </x:c>
      <x:c r="AS69" s="68" t="str">
        <x:f>IF(COLUMN()-2&lt;=$E$3,INDEX($B$10:$B$59,RANDBETWEEN(1,$E$3)),"")</x:f>
      </x:c>
      <x:c r="AT69" s="68" t="str">
        <x:f>IF(COLUMN()-2&lt;=$E$3,INDEX($B$10:$B$59,RANDBETWEEN(1,$E$3)),"")</x:f>
      </x:c>
      <x:c r="AU69" s="68" t="str">
        <x:f>IF(COLUMN()-2&lt;=$E$3,INDEX($B$10:$B$59,RANDBETWEEN(1,$E$3)),"")</x:f>
      </x:c>
      <x:c r="AV69" s="68" t="str">
        <x:f>IF(COLUMN()-2&lt;=$E$3,INDEX($B$10:$B$59,RANDBETWEEN(1,$E$3)),"")</x:f>
      </x:c>
      <x:c r="AW69" s="68" t="str">
        <x:f>IF(COLUMN()-2&lt;=$E$3,INDEX($B$10:$B$59,RANDBETWEEN(1,$E$3)),"")</x:f>
      </x:c>
      <x:c r="AX69" s="68" t="str">
        <x:f>IF(COLUMN()-2&lt;=$E$3,INDEX($B$10:$B$59,RANDBETWEEN(1,$E$3)),"")</x:f>
      </x:c>
      <x:c r="AY69" s="68" t="str">
        <x:f>IF(COLUMN()-2&lt;=$E$3,INDEX($B$10:$B$59,RANDBETWEEN(1,$E$3)),"")</x:f>
      </x:c>
      <x:c r="AZ69" s="68" t="str">
        <x:f>IF(COLUMN()-2&lt;=$E$3,INDEX($B$10:$B$59,RANDBETWEEN(1,$E$3)),"")</x:f>
      </x:c>
      <x:c r="BA69" s="68" t="str">
        <x:f>IF($E$3=0,"",AVERAGE(C69:AZ69))</x:f>
      </x:c>
    </x:row>
    <x:row r="70">
      <x:c r="A70" s="76" t="n">
        <x:v>6</x:v>
      </x:c>
      <x:c r="B70" s="76"/>
      <x:c r="C70" s="104" t="str">
        <x:f>IF(COLUMN()-2&lt;=$E$3,INDEX($B$10:$B$59,RANDBETWEEN(1,$E$3)),"")</x:f>
      </x:c>
      <x:c r="D70" s="104" t="str">
        <x:f>IF(COLUMN()-2&lt;=$E$3,INDEX($B$10:$B$59,RANDBETWEEN(1,$E$3)),"")</x:f>
      </x:c>
      <x:c r="E70" s="104" t="str">
        <x:f>IF(COLUMN()-2&lt;=$E$3,INDEX($B$10:$B$59,RANDBETWEEN(1,$E$3)),"")</x:f>
      </x:c>
      <x:c r="F70" s="104" t="str">
        <x:f>IF(COLUMN()-2&lt;=$E$3,INDEX($B$10:$B$59,RANDBETWEEN(1,$E$3)),"")</x:f>
      </x:c>
      <x:c r="G70" s="104" t="str">
        <x:f>IF(COLUMN()-2&lt;=$E$3,INDEX($B$10:$B$59,RANDBETWEEN(1,$E$3)),"")</x:f>
      </x:c>
      <x:c r="H70" s="104" t="str">
        <x:f>IF(COLUMN()-2&lt;=$E$3,INDEX($B$10:$B$59,RANDBETWEEN(1,$E$3)),"")</x:f>
      </x:c>
      <x:c r="I70" s="104" t="str">
        <x:f>IF(COLUMN()-2&lt;=$E$3,INDEX($B$10:$B$59,RANDBETWEEN(1,$E$3)),"")</x:f>
      </x:c>
      <x:c r="J70" s="104" t="str">
        <x:f>IF(COLUMN()-2&lt;=$E$3,INDEX($B$10:$B$59,RANDBETWEEN(1,$E$3)),"")</x:f>
      </x:c>
      <x:c r="K70" s="68" t="str">
        <x:f>IF(COLUMN()-2&lt;=$E$3,INDEX($B$10:$B$59,RANDBETWEEN(1,$E$3)),"")</x:f>
      </x:c>
      <x:c r="L70" s="68" t="str">
        <x:f>IF(COLUMN()-2&lt;=$E$3,INDEX($B$10:$B$59,RANDBETWEEN(1,$E$3)),"")</x:f>
      </x:c>
      <x:c r="M70" s="68" t="str">
        <x:f>IF(COLUMN()-2&lt;=$E$3,INDEX($B$10:$B$59,RANDBETWEEN(1,$E$3)),"")</x:f>
      </x:c>
      <x:c r="N70" s="68" t="str">
        <x:f>IF(COLUMN()-2&lt;=$E$3,INDEX($B$10:$B$59,RANDBETWEEN(1,$E$3)),"")</x:f>
      </x:c>
      <x:c r="O70" s="68" t="str">
        <x:f>IF(COLUMN()-2&lt;=$E$3,INDEX($B$10:$B$59,RANDBETWEEN(1,$E$3)),"")</x:f>
      </x:c>
      <x:c r="P70" s="68" t="str">
        <x:f>IF(COLUMN()-2&lt;=$E$3,INDEX($B$10:$B$59,RANDBETWEEN(1,$E$3)),"")</x:f>
      </x:c>
      <x:c r="Q70" s="68" t="str">
        <x:f>IF(COLUMN()-2&lt;=$E$3,INDEX($B$10:$B$59,RANDBETWEEN(1,$E$3)),"")</x:f>
      </x:c>
      <x:c r="R70" s="68" t="str">
        <x:f>IF(COLUMN()-2&lt;=$E$3,INDEX($B$10:$B$59,RANDBETWEEN(1,$E$3)),"")</x:f>
      </x:c>
      <x:c r="S70" s="68" t="str">
        <x:f>IF(COLUMN()-2&lt;=$E$3,INDEX($B$10:$B$59,RANDBETWEEN(1,$E$3)),"")</x:f>
      </x:c>
      <x:c r="T70" s="68" t="str">
        <x:f>IF(COLUMN()-2&lt;=$E$3,INDEX($B$10:$B$59,RANDBETWEEN(1,$E$3)),"")</x:f>
      </x:c>
      <x:c r="U70" s="68" t="str">
        <x:f>IF(COLUMN()-2&lt;=$E$3,INDEX($B$10:$B$59,RANDBETWEEN(1,$E$3)),"")</x:f>
      </x:c>
      <x:c r="V70" s="68" t="str">
        <x:f>IF(COLUMN()-2&lt;=$E$3,INDEX($B$10:$B$59,RANDBETWEEN(1,$E$3)),"")</x:f>
      </x:c>
      <x:c r="W70" s="68" t="str">
        <x:f>IF(COLUMN()-2&lt;=$E$3,INDEX($B$10:$B$59,RANDBETWEEN(1,$E$3)),"")</x:f>
      </x:c>
      <x:c r="X70" s="68" t="str">
        <x:f>IF(COLUMN()-2&lt;=$E$3,INDEX($B$10:$B$59,RANDBETWEEN(1,$E$3)),"")</x:f>
      </x:c>
      <x:c r="Y70" s="68" t="str">
        <x:f>IF(COLUMN()-2&lt;=$E$3,INDEX($B$10:$B$59,RANDBETWEEN(1,$E$3)),"")</x:f>
      </x:c>
      <x:c r="Z70" s="68" t="str">
        <x:f>IF(COLUMN()-2&lt;=$E$3,INDEX($B$10:$B$59,RANDBETWEEN(1,$E$3)),"")</x:f>
      </x:c>
      <x:c r="AA70" s="68" t="str">
        <x:f>IF(COLUMN()-2&lt;=$E$3,INDEX($B$10:$B$59,RANDBETWEEN(1,$E$3)),"")</x:f>
      </x:c>
      <x:c r="AB70" s="68" t="str">
        <x:f>IF(COLUMN()-2&lt;=$E$3,INDEX($B$10:$B$59,RANDBETWEEN(1,$E$3)),"")</x:f>
      </x:c>
      <x:c r="AC70" s="68" t="str">
        <x:f>IF(COLUMN()-2&lt;=$E$3,INDEX($B$10:$B$59,RANDBETWEEN(1,$E$3)),"")</x:f>
      </x:c>
      <x:c r="AD70" s="68" t="str">
        <x:f>IF(COLUMN()-2&lt;=$E$3,INDEX($B$10:$B$59,RANDBETWEEN(1,$E$3)),"")</x:f>
      </x:c>
      <x:c r="AE70" s="68" t="str">
        <x:f>IF(COLUMN()-2&lt;=$E$3,INDEX($B$10:$B$59,RANDBETWEEN(1,$E$3)),"")</x:f>
      </x:c>
      <x:c r="AF70" s="68" t="str">
        <x:f>IF(COLUMN()-2&lt;=$E$3,INDEX($B$10:$B$59,RANDBETWEEN(1,$E$3)),"")</x:f>
      </x:c>
      <x:c r="AG70" s="68" t="str">
        <x:f>IF(COLUMN()-2&lt;=$E$3,INDEX($B$10:$B$59,RANDBETWEEN(1,$E$3)),"")</x:f>
      </x:c>
      <x:c r="AH70" s="68" t="str">
        <x:f>IF(COLUMN()-2&lt;=$E$3,INDEX($B$10:$B$59,RANDBETWEEN(1,$E$3)),"")</x:f>
      </x:c>
      <x:c r="AI70" s="68" t="str">
        <x:f>IF(COLUMN()-2&lt;=$E$3,INDEX($B$10:$B$59,RANDBETWEEN(1,$E$3)),"")</x:f>
      </x:c>
      <x:c r="AJ70" s="68" t="str">
        <x:f>IF(COLUMN()-2&lt;=$E$3,INDEX($B$10:$B$59,RANDBETWEEN(1,$E$3)),"")</x:f>
      </x:c>
      <x:c r="AK70" s="68" t="str">
        <x:f>IF(COLUMN()-2&lt;=$E$3,INDEX($B$10:$B$59,RANDBETWEEN(1,$E$3)),"")</x:f>
      </x:c>
      <x:c r="AL70" s="68" t="str">
        <x:f>IF(COLUMN()-2&lt;=$E$3,INDEX($B$10:$B$59,RANDBETWEEN(1,$E$3)),"")</x:f>
      </x:c>
      <x:c r="AM70" s="68" t="str">
        <x:f>IF(COLUMN()-2&lt;=$E$3,INDEX($B$10:$B$59,RANDBETWEEN(1,$E$3)),"")</x:f>
      </x:c>
      <x:c r="AN70" s="68" t="str">
        <x:f>IF(COLUMN()-2&lt;=$E$3,INDEX($B$10:$B$59,RANDBETWEEN(1,$E$3)),"")</x:f>
      </x:c>
      <x:c r="AO70" s="68" t="str">
        <x:f>IF(COLUMN()-2&lt;=$E$3,INDEX($B$10:$B$59,RANDBETWEEN(1,$E$3)),"")</x:f>
      </x:c>
      <x:c r="AP70" s="68" t="str">
        <x:f>IF(COLUMN()-2&lt;=$E$3,INDEX($B$10:$B$59,RANDBETWEEN(1,$E$3)),"")</x:f>
      </x:c>
      <x:c r="AQ70" s="68" t="str">
        <x:f>IF(COLUMN()-2&lt;=$E$3,INDEX($B$10:$B$59,RANDBETWEEN(1,$E$3)),"")</x:f>
      </x:c>
      <x:c r="AR70" s="68" t="str">
        <x:f>IF(COLUMN()-2&lt;=$E$3,INDEX($B$10:$B$59,RANDBETWEEN(1,$E$3)),"")</x:f>
      </x:c>
      <x:c r="AS70" s="68" t="str">
        <x:f>IF(COLUMN()-2&lt;=$E$3,INDEX($B$10:$B$59,RANDBETWEEN(1,$E$3)),"")</x:f>
      </x:c>
      <x:c r="AT70" s="68" t="str">
        <x:f>IF(COLUMN()-2&lt;=$E$3,INDEX($B$10:$B$59,RANDBETWEEN(1,$E$3)),"")</x:f>
      </x:c>
      <x:c r="AU70" s="68" t="str">
        <x:f>IF(COLUMN()-2&lt;=$E$3,INDEX($B$10:$B$59,RANDBETWEEN(1,$E$3)),"")</x:f>
      </x:c>
      <x:c r="AV70" s="68" t="str">
        <x:f>IF(COLUMN()-2&lt;=$E$3,INDEX($B$10:$B$59,RANDBETWEEN(1,$E$3)),"")</x:f>
      </x:c>
      <x:c r="AW70" s="68" t="str">
        <x:f>IF(COLUMN()-2&lt;=$E$3,INDEX($B$10:$B$59,RANDBETWEEN(1,$E$3)),"")</x:f>
      </x:c>
      <x:c r="AX70" s="68" t="str">
        <x:f>IF(COLUMN()-2&lt;=$E$3,INDEX($B$10:$B$59,RANDBETWEEN(1,$E$3)),"")</x:f>
      </x:c>
      <x:c r="AY70" s="68" t="str">
        <x:f>IF(COLUMN()-2&lt;=$E$3,INDEX($B$10:$B$59,RANDBETWEEN(1,$E$3)),"")</x:f>
      </x:c>
      <x:c r="AZ70" s="68" t="str">
        <x:f>IF(COLUMN()-2&lt;=$E$3,INDEX($B$10:$B$59,RANDBETWEEN(1,$E$3)),"")</x:f>
      </x:c>
      <x:c r="BA70" s="68" t="str">
        <x:f>IF($E$3=0,"",AVERAGE(C70:AZ70))</x:f>
      </x:c>
    </x:row>
    <x:row r="71">
      <x:c r="A71" s="76" t="n">
        <x:v>7</x:v>
      </x:c>
      <x:c r="B71" s="76"/>
      <x:c r="C71" s="104" t="str">
        <x:f>IF(COLUMN()-2&lt;=$E$3,INDEX($B$10:$B$59,RANDBETWEEN(1,$E$3)),"")</x:f>
      </x:c>
      <x:c r="D71" s="104" t="str">
        <x:f>IF(COLUMN()-2&lt;=$E$3,INDEX($B$10:$B$59,RANDBETWEEN(1,$E$3)),"")</x:f>
      </x:c>
      <x:c r="E71" s="104" t="str">
        <x:f>IF(COLUMN()-2&lt;=$E$3,INDEX($B$10:$B$59,RANDBETWEEN(1,$E$3)),"")</x:f>
      </x:c>
      <x:c r="F71" s="104" t="str">
        <x:f>IF(COLUMN()-2&lt;=$E$3,INDEX($B$10:$B$59,RANDBETWEEN(1,$E$3)),"")</x:f>
      </x:c>
      <x:c r="G71" s="104" t="str">
        <x:f>IF(COLUMN()-2&lt;=$E$3,INDEX($B$10:$B$59,RANDBETWEEN(1,$E$3)),"")</x:f>
      </x:c>
      <x:c r="H71" s="104" t="str">
        <x:f>IF(COLUMN()-2&lt;=$E$3,INDEX($B$10:$B$59,RANDBETWEEN(1,$E$3)),"")</x:f>
      </x:c>
      <x:c r="I71" s="104" t="str">
        <x:f>IF(COLUMN()-2&lt;=$E$3,INDEX($B$10:$B$59,RANDBETWEEN(1,$E$3)),"")</x:f>
      </x:c>
      <x:c r="J71" s="104" t="str">
        <x:f>IF(COLUMN()-2&lt;=$E$3,INDEX($B$10:$B$59,RANDBETWEEN(1,$E$3)),"")</x:f>
      </x:c>
      <x:c r="K71" s="68" t="str">
        <x:f>IF(COLUMN()-2&lt;=$E$3,INDEX($B$10:$B$59,RANDBETWEEN(1,$E$3)),"")</x:f>
      </x:c>
      <x:c r="L71" s="68" t="str">
        <x:f>IF(COLUMN()-2&lt;=$E$3,INDEX($B$10:$B$59,RANDBETWEEN(1,$E$3)),"")</x:f>
      </x:c>
      <x:c r="M71" s="68" t="str">
        <x:f>IF(COLUMN()-2&lt;=$E$3,INDEX($B$10:$B$59,RANDBETWEEN(1,$E$3)),"")</x:f>
      </x:c>
      <x:c r="N71" s="68" t="str">
        <x:f>IF(COLUMN()-2&lt;=$E$3,INDEX($B$10:$B$59,RANDBETWEEN(1,$E$3)),"")</x:f>
      </x:c>
      <x:c r="O71" s="68" t="str">
        <x:f>IF(COLUMN()-2&lt;=$E$3,INDEX($B$10:$B$59,RANDBETWEEN(1,$E$3)),"")</x:f>
      </x:c>
      <x:c r="P71" s="68" t="str">
        <x:f>IF(COLUMN()-2&lt;=$E$3,INDEX($B$10:$B$59,RANDBETWEEN(1,$E$3)),"")</x:f>
      </x:c>
      <x:c r="Q71" s="68" t="str">
        <x:f>IF(COLUMN()-2&lt;=$E$3,INDEX($B$10:$B$59,RANDBETWEEN(1,$E$3)),"")</x:f>
      </x:c>
      <x:c r="R71" s="68" t="str">
        <x:f>IF(COLUMN()-2&lt;=$E$3,INDEX($B$10:$B$59,RANDBETWEEN(1,$E$3)),"")</x:f>
      </x:c>
      <x:c r="S71" s="68" t="str">
        <x:f>IF(COLUMN()-2&lt;=$E$3,INDEX($B$10:$B$59,RANDBETWEEN(1,$E$3)),"")</x:f>
      </x:c>
      <x:c r="T71" s="68" t="str">
        <x:f>IF(COLUMN()-2&lt;=$E$3,INDEX($B$10:$B$59,RANDBETWEEN(1,$E$3)),"")</x:f>
      </x:c>
      <x:c r="U71" s="68" t="str">
        <x:f>IF(COLUMN()-2&lt;=$E$3,INDEX($B$10:$B$59,RANDBETWEEN(1,$E$3)),"")</x:f>
      </x:c>
      <x:c r="V71" s="68" t="str">
        <x:f>IF(COLUMN()-2&lt;=$E$3,INDEX($B$10:$B$59,RANDBETWEEN(1,$E$3)),"")</x:f>
      </x:c>
      <x:c r="W71" s="68" t="str">
        <x:f>IF(COLUMN()-2&lt;=$E$3,INDEX($B$10:$B$59,RANDBETWEEN(1,$E$3)),"")</x:f>
      </x:c>
      <x:c r="X71" s="68" t="str">
        <x:f>IF(COLUMN()-2&lt;=$E$3,INDEX($B$10:$B$59,RANDBETWEEN(1,$E$3)),"")</x:f>
      </x:c>
      <x:c r="Y71" s="68" t="str">
        <x:f>IF(COLUMN()-2&lt;=$E$3,INDEX($B$10:$B$59,RANDBETWEEN(1,$E$3)),"")</x:f>
      </x:c>
      <x:c r="Z71" s="68" t="str">
        <x:f>IF(COLUMN()-2&lt;=$E$3,INDEX($B$10:$B$59,RANDBETWEEN(1,$E$3)),"")</x:f>
      </x:c>
      <x:c r="AA71" s="68" t="str">
        <x:f>IF(COLUMN()-2&lt;=$E$3,INDEX($B$10:$B$59,RANDBETWEEN(1,$E$3)),"")</x:f>
      </x:c>
      <x:c r="AB71" s="68" t="str">
        <x:f>IF(COLUMN()-2&lt;=$E$3,INDEX($B$10:$B$59,RANDBETWEEN(1,$E$3)),"")</x:f>
      </x:c>
      <x:c r="AC71" s="68" t="str">
        <x:f>IF(COLUMN()-2&lt;=$E$3,INDEX($B$10:$B$59,RANDBETWEEN(1,$E$3)),"")</x:f>
      </x:c>
      <x:c r="AD71" s="68" t="str">
        <x:f>IF(COLUMN()-2&lt;=$E$3,INDEX($B$10:$B$59,RANDBETWEEN(1,$E$3)),"")</x:f>
      </x:c>
      <x:c r="AE71" s="68" t="str">
        <x:f>IF(COLUMN()-2&lt;=$E$3,INDEX($B$10:$B$59,RANDBETWEEN(1,$E$3)),"")</x:f>
      </x:c>
      <x:c r="AF71" s="68" t="str">
        <x:f>IF(COLUMN()-2&lt;=$E$3,INDEX($B$10:$B$59,RANDBETWEEN(1,$E$3)),"")</x:f>
      </x:c>
      <x:c r="AG71" s="68" t="str">
        <x:f>IF(COLUMN()-2&lt;=$E$3,INDEX($B$10:$B$59,RANDBETWEEN(1,$E$3)),"")</x:f>
      </x:c>
      <x:c r="AH71" s="68" t="str">
        <x:f>IF(COLUMN()-2&lt;=$E$3,INDEX($B$10:$B$59,RANDBETWEEN(1,$E$3)),"")</x:f>
      </x:c>
      <x:c r="AI71" s="68" t="str">
        <x:f>IF(COLUMN()-2&lt;=$E$3,INDEX($B$10:$B$59,RANDBETWEEN(1,$E$3)),"")</x:f>
      </x:c>
      <x:c r="AJ71" s="68" t="str">
        <x:f>IF(COLUMN()-2&lt;=$E$3,INDEX($B$10:$B$59,RANDBETWEEN(1,$E$3)),"")</x:f>
      </x:c>
      <x:c r="AK71" s="68" t="str">
        <x:f>IF(COLUMN()-2&lt;=$E$3,INDEX($B$10:$B$59,RANDBETWEEN(1,$E$3)),"")</x:f>
      </x:c>
      <x:c r="AL71" s="68" t="str">
        <x:f>IF(COLUMN()-2&lt;=$E$3,INDEX($B$10:$B$59,RANDBETWEEN(1,$E$3)),"")</x:f>
      </x:c>
      <x:c r="AM71" s="68" t="str">
        <x:f>IF(COLUMN()-2&lt;=$E$3,INDEX($B$10:$B$59,RANDBETWEEN(1,$E$3)),"")</x:f>
      </x:c>
      <x:c r="AN71" s="68" t="str">
        <x:f>IF(COLUMN()-2&lt;=$E$3,INDEX($B$10:$B$59,RANDBETWEEN(1,$E$3)),"")</x:f>
      </x:c>
      <x:c r="AO71" s="68" t="str">
        <x:f>IF(COLUMN()-2&lt;=$E$3,INDEX($B$10:$B$59,RANDBETWEEN(1,$E$3)),"")</x:f>
      </x:c>
      <x:c r="AP71" s="68" t="str">
        <x:f>IF(COLUMN()-2&lt;=$E$3,INDEX($B$10:$B$59,RANDBETWEEN(1,$E$3)),"")</x:f>
      </x:c>
      <x:c r="AQ71" s="68" t="str">
        <x:f>IF(COLUMN()-2&lt;=$E$3,INDEX($B$10:$B$59,RANDBETWEEN(1,$E$3)),"")</x:f>
      </x:c>
      <x:c r="AR71" s="68" t="str">
        <x:f>IF(COLUMN()-2&lt;=$E$3,INDEX($B$10:$B$59,RANDBETWEEN(1,$E$3)),"")</x:f>
      </x:c>
      <x:c r="AS71" s="68" t="str">
        <x:f>IF(COLUMN()-2&lt;=$E$3,INDEX($B$10:$B$59,RANDBETWEEN(1,$E$3)),"")</x:f>
      </x:c>
      <x:c r="AT71" s="68" t="str">
        <x:f>IF(COLUMN()-2&lt;=$E$3,INDEX($B$10:$B$59,RANDBETWEEN(1,$E$3)),"")</x:f>
      </x:c>
      <x:c r="AU71" s="68" t="str">
        <x:f>IF(COLUMN()-2&lt;=$E$3,INDEX($B$10:$B$59,RANDBETWEEN(1,$E$3)),"")</x:f>
      </x:c>
      <x:c r="AV71" s="68" t="str">
        <x:f>IF(COLUMN()-2&lt;=$E$3,INDEX($B$10:$B$59,RANDBETWEEN(1,$E$3)),"")</x:f>
      </x:c>
      <x:c r="AW71" s="68" t="str">
        <x:f>IF(COLUMN()-2&lt;=$E$3,INDEX($B$10:$B$59,RANDBETWEEN(1,$E$3)),"")</x:f>
      </x:c>
      <x:c r="AX71" s="68" t="str">
        <x:f>IF(COLUMN()-2&lt;=$E$3,INDEX($B$10:$B$59,RANDBETWEEN(1,$E$3)),"")</x:f>
      </x:c>
      <x:c r="AY71" s="68" t="str">
        <x:f>IF(COLUMN()-2&lt;=$E$3,INDEX($B$10:$B$59,RANDBETWEEN(1,$E$3)),"")</x:f>
      </x:c>
      <x:c r="AZ71" s="68" t="str">
        <x:f>IF(COLUMN()-2&lt;=$E$3,INDEX($B$10:$B$59,RANDBETWEEN(1,$E$3)),"")</x:f>
      </x:c>
      <x:c r="BA71" s="68" t="str">
        <x:f>IF($E$3=0,"",AVERAGE(C71:AZ71))</x:f>
      </x:c>
    </x:row>
    <x:row r="72">
      <x:c r="A72" s="76" t="n">
        <x:v>8</x:v>
      </x:c>
      <x:c r="B72" s="76"/>
      <x:c r="C72" s="104" t="str">
        <x:f>IF(COLUMN()-2&lt;=$E$3,INDEX($B$10:$B$59,RANDBETWEEN(1,$E$3)),"")</x:f>
      </x:c>
      <x:c r="D72" s="104" t="str">
        <x:f>IF(COLUMN()-2&lt;=$E$3,INDEX($B$10:$B$59,RANDBETWEEN(1,$E$3)),"")</x:f>
      </x:c>
      <x:c r="E72" s="104" t="str">
        <x:f>IF(COLUMN()-2&lt;=$E$3,INDEX($B$10:$B$59,RANDBETWEEN(1,$E$3)),"")</x:f>
      </x:c>
      <x:c r="F72" s="104" t="str">
        <x:f>IF(COLUMN()-2&lt;=$E$3,INDEX($B$10:$B$59,RANDBETWEEN(1,$E$3)),"")</x:f>
      </x:c>
      <x:c r="G72" s="104" t="str">
        <x:f>IF(COLUMN()-2&lt;=$E$3,INDEX($B$10:$B$59,RANDBETWEEN(1,$E$3)),"")</x:f>
      </x:c>
      <x:c r="H72" s="104" t="str">
        <x:f>IF(COLUMN()-2&lt;=$E$3,INDEX($B$10:$B$59,RANDBETWEEN(1,$E$3)),"")</x:f>
      </x:c>
      <x:c r="I72" s="104" t="str">
        <x:f>IF(COLUMN()-2&lt;=$E$3,INDEX($B$10:$B$59,RANDBETWEEN(1,$E$3)),"")</x:f>
      </x:c>
      <x:c r="J72" s="104" t="str">
        <x:f>IF(COLUMN()-2&lt;=$E$3,INDEX($B$10:$B$59,RANDBETWEEN(1,$E$3)),"")</x:f>
      </x:c>
      <x:c r="K72" s="68" t="str">
        <x:f>IF(COLUMN()-2&lt;=$E$3,INDEX($B$10:$B$59,RANDBETWEEN(1,$E$3)),"")</x:f>
      </x:c>
      <x:c r="L72" s="68" t="str">
        <x:f>IF(COLUMN()-2&lt;=$E$3,INDEX($B$10:$B$59,RANDBETWEEN(1,$E$3)),"")</x:f>
      </x:c>
      <x:c r="M72" s="68" t="str">
        <x:f>IF(COLUMN()-2&lt;=$E$3,INDEX($B$10:$B$59,RANDBETWEEN(1,$E$3)),"")</x:f>
      </x:c>
      <x:c r="N72" s="68" t="str">
        <x:f>IF(COLUMN()-2&lt;=$E$3,INDEX($B$10:$B$59,RANDBETWEEN(1,$E$3)),"")</x:f>
      </x:c>
      <x:c r="O72" s="68" t="str">
        <x:f>IF(COLUMN()-2&lt;=$E$3,INDEX($B$10:$B$59,RANDBETWEEN(1,$E$3)),"")</x:f>
      </x:c>
      <x:c r="P72" s="68" t="str">
        <x:f>IF(COLUMN()-2&lt;=$E$3,INDEX($B$10:$B$59,RANDBETWEEN(1,$E$3)),"")</x:f>
      </x:c>
      <x:c r="Q72" s="68" t="str">
        <x:f>IF(COLUMN()-2&lt;=$E$3,INDEX($B$10:$B$59,RANDBETWEEN(1,$E$3)),"")</x:f>
      </x:c>
      <x:c r="R72" s="68" t="str">
        <x:f>IF(COLUMN()-2&lt;=$E$3,INDEX($B$10:$B$59,RANDBETWEEN(1,$E$3)),"")</x:f>
      </x:c>
      <x:c r="S72" s="68" t="str">
        <x:f>IF(COLUMN()-2&lt;=$E$3,INDEX($B$10:$B$59,RANDBETWEEN(1,$E$3)),"")</x:f>
      </x:c>
      <x:c r="T72" s="68" t="str">
        <x:f>IF(COLUMN()-2&lt;=$E$3,INDEX($B$10:$B$59,RANDBETWEEN(1,$E$3)),"")</x:f>
      </x:c>
      <x:c r="U72" s="68" t="str">
        <x:f>IF(COLUMN()-2&lt;=$E$3,INDEX($B$10:$B$59,RANDBETWEEN(1,$E$3)),"")</x:f>
      </x:c>
      <x:c r="V72" s="68" t="str">
        <x:f>IF(COLUMN()-2&lt;=$E$3,INDEX($B$10:$B$59,RANDBETWEEN(1,$E$3)),"")</x:f>
      </x:c>
      <x:c r="W72" s="68" t="str">
        <x:f>IF(COLUMN()-2&lt;=$E$3,INDEX($B$10:$B$59,RANDBETWEEN(1,$E$3)),"")</x:f>
      </x:c>
      <x:c r="X72" s="68" t="str">
        <x:f>IF(COLUMN()-2&lt;=$E$3,INDEX($B$10:$B$59,RANDBETWEEN(1,$E$3)),"")</x:f>
      </x:c>
      <x:c r="Y72" s="68" t="str">
        <x:f>IF(COLUMN()-2&lt;=$E$3,INDEX($B$10:$B$59,RANDBETWEEN(1,$E$3)),"")</x:f>
      </x:c>
      <x:c r="Z72" s="68" t="str">
        <x:f>IF(COLUMN()-2&lt;=$E$3,INDEX($B$10:$B$59,RANDBETWEEN(1,$E$3)),"")</x:f>
      </x:c>
      <x:c r="AA72" s="68" t="str">
        <x:f>IF(COLUMN()-2&lt;=$E$3,INDEX($B$10:$B$59,RANDBETWEEN(1,$E$3)),"")</x:f>
      </x:c>
      <x:c r="AB72" s="68" t="str">
        <x:f>IF(COLUMN()-2&lt;=$E$3,INDEX($B$10:$B$59,RANDBETWEEN(1,$E$3)),"")</x:f>
      </x:c>
      <x:c r="AC72" s="68" t="str">
        <x:f>IF(COLUMN()-2&lt;=$E$3,INDEX($B$10:$B$59,RANDBETWEEN(1,$E$3)),"")</x:f>
      </x:c>
      <x:c r="AD72" s="68" t="str">
        <x:f>IF(COLUMN()-2&lt;=$E$3,INDEX($B$10:$B$59,RANDBETWEEN(1,$E$3)),"")</x:f>
      </x:c>
      <x:c r="AE72" s="68" t="str">
        <x:f>IF(COLUMN()-2&lt;=$E$3,INDEX($B$10:$B$59,RANDBETWEEN(1,$E$3)),"")</x:f>
      </x:c>
      <x:c r="AF72" s="68" t="str">
        <x:f>IF(COLUMN()-2&lt;=$E$3,INDEX($B$10:$B$59,RANDBETWEEN(1,$E$3)),"")</x:f>
      </x:c>
      <x:c r="AG72" s="68" t="str">
        <x:f>IF(COLUMN()-2&lt;=$E$3,INDEX($B$10:$B$59,RANDBETWEEN(1,$E$3)),"")</x:f>
      </x:c>
      <x:c r="AH72" s="68" t="str">
        <x:f>IF(COLUMN()-2&lt;=$E$3,INDEX($B$10:$B$59,RANDBETWEEN(1,$E$3)),"")</x:f>
      </x:c>
      <x:c r="AI72" s="68" t="str">
        <x:f>IF(COLUMN()-2&lt;=$E$3,INDEX($B$10:$B$59,RANDBETWEEN(1,$E$3)),"")</x:f>
      </x:c>
      <x:c r="AJ72" s="68" t="str">
        <x:f>IF(COLUMN()-2&lt;=$E$3,INDEX($B$10:$B$59,RANDBETWEEN(1,$E$3)),"")</x:f>
      </x:c>
      <x:c r="AK72" s="68" t="str">
        <x:f>IF(COLUMN()-2&lt;=$E$3,INDEX($B$10:$B$59,RANDBETWEEN(1,$E$3)),"")</x:f>
      </x:c>
      <x:c r="AL72" s="68" t="str">
        <x:f>IF(COLUMN()-2&lt;=$E$3,INDEX($B$10:$B$59,RANDBETWEEN(1,$E$3)),"")</x:f>
      </x:c>
      <x:c r="AM72" s="68" t="str">
        <x:f>IF(COLUMN()-2&lt;=$E$3,INDEX($B$10:$B$59,RANDBETWEEN(1,$E$3)),"")</x:f>
      </x:c>
      <x:c r="AN72" s="68" t="str">
        <x:f>IF(COLUMN()-2&lt;=$E$3,INDEX($B$10:$B$59,RANDBETWEEN(1,$E$3)),"")</x:f>
      </x:c>
      <x:c r="AO72" s="68" t="str">
        <x:f>IF(COLUMN()-2&lt;=$E$3,INDEX($B$10:$B$59,RANDBETWEEN(1,$E$3)),"")</x:f>
      </x:c>
      <x:c r="AP72" s="68" t="str">
        <x:f>IF(COLUMN()-2&lt;=$E$3,INDEX($B$10:$B$59,RANDBETWEEN(1,$E$3)),"")</x:f>
      </x:c>
      <x:c r="AQ72" s="68" t="str">
        <x:f>IF(COLUMN()-2&lt;=$E$3,INDEX($B$10:$B$59,RANDBETWEEN(1,$E$3)),"")</x:f>
      </x:c>
      <x:c r="AR72" s="68" t="str">
        <x:f>IF(COLUMN()-2&lt;=$E$3,INDEX($B$10:$B$59,RANDBETWEEN(1,$E$3)),"")</x:f>
      </x:c>
      <x:c r="AS72" s="68" t="str">
        <x:f>IF(COLUMN()-2&lt;=$E$3,INDEX($B$10:$B$59,RANDBETWEEN(1,$E$3)),"")</x:f>
      </x:c>
      <x:c r="AT72" s="68" t="str">
        <x:f>IF(COLUMN()-2&lt;=$E$3,INDEX($B$10:$B$59,RANDBETWEEN(1,$E$3)),"")</x:f>
      </x:c>
      <x:c r="AU72" s="68" t="str">
        <x:f>IF(COLUMN()-2&lt;=$E$3,INDEX($B$10:$B$59,RANDBETWEEN(1,$E$3)),"")</x:f>
      </x:c>
      <x:c r="AV72" s="68" t="str">
        <x:f>IF(COLUMN()-2&lt;=$E$3,INDEX($B$10:$B$59,RANDBETWEEN(1,$E$3)),"")</x:f>
      </x:c>
      <x:c r="AW72" s="68" t="str">
        <x:f>IF(COLUMN()-2&lt;=$E$3,INDEX($B$10:$B$59,RANDBETWEEN(1,$E$3)),"")</x:f>
      </x:c>
      <x:c r="AX72" s="68" t="str">
        <x:f>IF(COLUMN()-2&lt;=$E$3,INDEX($B$10:$B$59,RANDBETWEEN(1,$E$3)),"")</x:f>
      </x:c>
      <x:c r="AY72" s="68" t="str">
        <x:f>IF(COLUMN()-2&lt;=$E$3,INDEX($B$10:$B$59,RANDBETWEEN(1,$E$3)),"")</x:f>
      </x:c>
      <x:c r="AZ72" s="68" t="str">
        <x:f>IF(COLUMN()-2&lt;=$E$3,INDEX($B$10:$B$59,RANDBETWEEN(1,$E$3)),"")</x:f>
      </x:c>
      <x:c r="BA72" s="68" t="str">
        <x:f>IF($E$3=0,"",AVERAGE(C72:AZ72))</x:f>
      </x:c>
    </x:row>
    <x:row r="73">
      <x:c r="A73" s="76" t="n">
        <x:v>9</x:v>
      </x:c>
      <x:c r="B73" s="76"/>
      <x:c r="C73" s="104" t="str">
        <x:f>IF(COLUMN()-2&lt;=$E$3,INDEX($B$10:$B$59,RANDBETWEEN(1,$E$3)),"")</x:f>
      </x:c>
      <x:c r="D73" s="104" t="str">
        <x:f>IF(COLUMN()-2&lt;=$E$3,INDEX($B$10:$B$59,RANDBETWEEN(1,$E$3)),"")</x:f>
      </x:c>
      <x:c r="E73" s="104" t="str">
        <x:f>IF(COLUMN()-2&lt;=$E$3,INDEX($B$10:$B$59,RANDBETWEEN(1,$E$3)),"")</x:f>
      </x:c>
      <x:c r="F73" s="104" t="str">
        <x:f>IF(COLUMN()-2&lt;=$E$3,INDEX($B$10:$B$59,RANDBETWEEN(1,$E$3)),"")</x:f>
      </x:c>
      <x:c r="G73" s="104" t="str">
        <x:f>IF(COLUMN()-2&lt;=$E$3,INDEX($B$10:$B$59,RANDBETWEEN(1,$E$3)),"")</x:f>
      </x:c>
      <x:c r="H73" s="104" t="str">
        <x:f>IF(COLUMN()-2&lt;=$E$3,INDEX($B$10:$B$59,RANDBETWEEN(1,$E$3)),"")</x:f>
      </x:c>
      <x:c r="I73" s="104" t="str">
        <x:f>IF(COLUMN()-2&lt;=$E$3,INDEX($B$10:$B$59,RANDBETWEEN(1,$E$3)),"")</x:f>
      </x:c>
      <x:c r="J73" s="104" t="str">
        <x:f>IF(COLUMN()-2&lt;=$E$3,INDEX($B$10:$B$59,RANDBETWEEN(1,$E$3)),"")</x:f>
      </x:c>
      <x:c r="K73" s="68" t="str">
        <x:f>IF(COLUMN()-2&lt;=$E$3,INDEX($B$10:$B$59,RANDBETWEEN(1,$E$3)),"")</x:f>
      </x:c>
      <x:c r="L73" s="68" t="str">
        <x:f>IF(COLUMN()-2&lt;=$E$3,INDEX($B$10:$B$59,RANDBETWEEN(1,$E$3)),"")</x:f>
      </x:c>
      <x:c r="M73" s="68" t="str">
        <x:f>IF(COLUMN()-2&lt;=$E$3,INDEX($B$10:$B$59,RANDBETWEEN(1,$E$3)),"")</x:f>
      </x:c>
      <x:c r="N73" s="68" t="str">
        <x:f>IF(COLUMN()-2&lt;=$E$3,INDEX($B$10:$B$59,RANDBETWEEN(1,$E$3)),"")</x:f>
      </x:c>
      <x:c r="O73" s="68" t="str">
        <x:f>IF(COLUMN()-2&lt;=$E$3,INDEX($B$10:$B$59,RANDBETWEEN(1,$E$3)),"")</x:f>
      </x:c>
      <x:c r="P73" s="68" t="str">
        <x:f>IF(COLUMN()-2&lt;=$E$3,INDEX($B$10:$B$59,RANDBETWEEN(1,$E$3)),"")</x:f>
      </x:c>
      <x:c r="Q73" s="68" t="str">
        <x:f>IF(COLUMN()-2&lt;=$E$3,INDEX($B$10:$B$59,RANDBETWEEN(1,$E$3)),"")</x:f>
      </x:c>
      <x:c r="R73" s="68" t="str">
        <x:f>IF(COLUMN()-2&lt;=$E$3,INDEX($B$10:$B$59,RANDBETWEEN(1,$E$3)),"")</x:f>
      </x:c>
      <x:c r="S73" s="68" t="str">
        <x:f>IF(COLUMN()-2&lt;=$E$3,INDEX($B$10:$B$59,RANDBETWEEN(1,$E$3)),"")</x:f>
      </x:c>
      <x:c r="T73" s="68" t="str">
        <x:f>IF(COLUMN()-2&lt;=$E$3,INDEX($B$10:$B$59,RANDBETWEEN(1,$E$3)),"")</x:f>
      </x:c>
      <x:c r="U73" s="68" t="str">
        <x:f>IF(COLUMN()-2&lt;=$E$3,INDEX($B$10:$B$59,RANDBETWEEN(1,$E$3)),"")</x:f>
      </x:c>
      <x:c r="V73" s="68" t="str">
        <x:f>IF(COLUMN()-2&lt;=$E$3,INDEX($B$10:$B$59,RANDBETWEEN(1,$E$3)),"")</x:f>
      </x:c>
      <x:c r="W73" s="68" t="str">
        <x:f>IF(COLUMN()-2&lt;=$E$3,INDEX($B$10:$B$59,RANDBETWEEN(1,$E$3)),"")</x:f>
      </x:c>
      <x:c r="X73" s="68" t="str">
        <x:f>IF(COLUMN()-2&lt;=$E$3,INDEX($B$10:$B$59,RANDBETWEEN(1,$E$3)),"")</x:f>
      </x:c>
      <x:c r="Y73" s="68" t="str">
        <x:f>IF(COLUMN()-2&lt;=$E$3,INDEX($B$10:$B$59,RANDBETWEEN(1,$E$3)),"")</x:f>
      </x:c>
      <x:c r="Z73" s="68" t="str">
        <x:f>IF(COLUMN()-2&lt;=$E$3,INDEX($B$10:$B$59,RANDBETWEEN(1,$E$3)),"")</x:f>
      </x:c>
      <x:c r="AA73" s="68" t="str">
        <x:f>IF(COLUMN()-2&lt;=$E$3,INDEX($B$10:$B$59,RANDBETWEEN(1,$E$3)),"")</x:f>
      </x:c>
      <x:c r="AB73" s="68" t="str">
        <x:f>IF(COLUMN()-2&lt;=$E$3,INDEX($B$10:$B$59,RANDBETWEEN(1,$E$3)),"")</x:f>
      </x:c>
      <x:c r="AC73" s="68" t="str">
        <x:f>IF(COLUMN()-2&lt;=$E$3,INDEX($B$10:$B$59,RANDBETWEEN(1,$E$3)),"")</x:f>
      </x:c>
      <x:c r="AD73" s="68" t="str">
        <x:f>IF(COLUMN()-2&lt;=$E$3,INDEX($B$10:$B$59,RANDBETWEEN(1,$E$3)),"")</x:f>
      </x:c>
      <x:c r="AE73" s="68" t="str">
        <x:f>IF(COLUMN()-2&lt;=$E$3,INDEX($B$10:$B$59,RANDBETWEEN(1,$E$3)),"")</x:f>
      </x:c>
      <x:c r="AF73" s="68" t="str">
        <x:f>IF(COLUMN()-2&lt;=$E$3,INDEX($B$10:$B$59,RANDBETWEEN(1,$E$3)),"")</x:f>
      </x:c>
      <x:c r="AG73" s="68" t="str">
        <x:f>IF(COLUMN()-2&lt;=$E$3,INDEX($B$10:$B$59,RANDBETWEEN(1,$E$3)),"")</x:f>
      </x:c>
      <x:c r="AH73" s="68" t="str">
        <x:f>IF(COLUMN()-2&lt;=$E$3,INDEX($B$10:$B$59,RANDBETWEEN(1,$E$3)),"")</x:f>
      </x:c>
      <x:c r="AI73" s="68" t="str">
        <x:f>IF(COLUMN()-2&lt;=$E$3,INDEX($B$10:$B$59,RANDBETWEEN(1,$E$3)),"")</x:f>
      </x:c>
      <x:c r="AJ73" s="68" t="str">
        <x:f>IF(COLUMN()-2&lt;=$E$3,INDEX($B$10:$B$59,RANDBETWEEN(1,$E$3)),"")</x:f>
      </x:c>
      <x:c r="AK73" s="68" t="str">
        <x:f>IF(COLUMN()-2&lt;=$E$3,INDEX($B$10:$B$59,RANDBETWEEN(1,$E$3)),"")</x:f>
      </x:c>
      <x:c r="AL73" s="68" t="str">
        <x:f>IF(COLUMN()-2&lt;=$E$3,INDEX($B$10:$B$59,RANDBETWEEN(1,$E$3)),"")</x:f>
      </x:c>
      <x:c r="AM73" s="68" t="str">
        <x:f>IF(COLUMN()-2&lt;=$E$3,INDEX($B$10:$B$59,RANDBETWEEN(1,$E$3)),"")</x:f>
      </x:c>
      <x:c r="AN73" s="68" t="str">
        <x:f>IF(COLUMN()-2&lt;=$E$3,INDEX($B$10:$B$59,RANDBETWEEN(1,$E$3)),"")</x:f>
      </x:c>
      <x:c r="AO73" s="68" t="str">
        <x:f>IF(COLUMN()-2&lt;=$E$3,INDEX($B$10:$B$59,RANDBETWEEN(1,$E$3)),"")</x:f>
      </x:c>
      <x:c r="AP73" s="68" t="str">
        <x:f>IF(COLUMN()-2&lt;=$E$3,INDEX($B$10:$B$59,RANDBETWEEN(1,$E$3)),"")</x:f>
      </x:c>
      <x:c r="AQ73" s="68" t="str">
        <x:f>IF(COLUMN()-2&lt;=$E$3,INDEX($B$10:$B$59,RANDBETWEEN(1,$E$3)),"")</x:f>
      </x:c>
      <x:c r="AR73" s="68" t="str">
        <x:f>IF(COLUMN()-2&lt;=$E$3,INDEX($B$10:$B$59,RANDBETWEEN(1,$E$3)),"")</x:f>
      </x:c>
      <x:c r="AS73" s="68" t="str">
        <x:f>IF(COLUMN()-2&lt;=$E$3,INDEX($B$10:$B$59,RANDBETWEEN(1,$E$3)),"")</x:f>
      </x:c>
      <x:c r="AT73" s="68" t="str">
        <x:f>IF(COLUMN()-2&lt;=$E$3,INDEX($B$10:$B$59,RANDBETWEEN(1,$E$3)),"")</x:f>
      </x:c>
      <x:c r="AU73" s="68" t="str">
        <x:f>IF(COLUMN()-2&lt;=$E$3,INDEX($B$10:$B$59,RANDBETWEEN(1,$E$3)),"")</x:f>
      </x:c>
      <x:c r="AV73" s="68" t="str">
        <x:f>IF(COLUMN()-2&lt;=$E$3,INDEX($B$10:$B$59,RANDBETWEEN(1,$E$3)),"")</x:f>
      </x:c>
      <x:c r="AW73" s="68" t="str">
        <x:f>IF(COLUMN()-2&lt;=$E$3,INDEX($B$10:$B$59,RANDBETWEEN(1,$E$3)),"")</x:f>
      </x:c>
      <x:c r="AX73" s="68" t="str">
        <x:f>IF(COLUMN()-2&lt;=$E$3,INDEX($B$10:$B$59,RANDBETWEEN(1,$E$3)),"")</x:f>
      </x:c>
      <x:c r="AY73" s="68" t="str">
        <x:f>IF(COLUMN()-2&lt;=$E$3,INDEX($B$10:$B$59,RANDBETWEEN(1,$E$3)),"")</x:f>
      </x:c>
      <x:c r="AZ73" s="68" t="str">
        <x:f>IF(COLUMN()-2&lt;=$E$3,INDEX($B$10:$B$59,RANDBETWEEN(1,$E$3)),"")</x:f>
      </x:c>
      <x:c r="BA73" s="68" t="str">
        <x:f>IF($E$3=0,"",AVERAGE(C73:AZ73))</x:f>
      </x:c>
    </x:row>
    <x:row r="74">
      <x:c r="A74" s="76" t="n">
        <x:v>10</x:v>
      </x:c>
      <x:c r="B74" s="76"/>
      <x:c r="C74" s="104" t="str">
        <x:f>IF(COLUMN()-2&lt;=$E$3,INDEX($B$10:$B$59,RANDBETWEEN(1,$E$3)),"")</x:f>
      </x:c>
      <x:c r="D74" s="104" t="str">
        <x:f>IF(COLUMN()-2&lt;=$E$3,INDEX($B$10:$B$59,RANDBETWEEN(1,$E$3)),"")</x:f>
      </x:c>
      <x:c r="E74" s="104" t="str">
        <x:f>IF(COLUMN()-2&lt;=$E$3,INDEX($B$10:$B$59,RANDBETWEEN(1,$E$3)),"")</x:f>
      </x:c>
      <x:c r="F74" s="104" t="str">
        <x:f>IF(COLUMN()-2&lt;=$E$3,INDEX($B$10:$B$59,RANDBETWEEN(1,$E$3)),"")</x:f>
      </x:c>
      <x:c r="G74" s="104" t="str">
        <x:f>IF(COLUMN()-2&lt;=$E$3,INDEX($B$10:$B$59,RANDBETWEEN(1,$E$3)),"")</x:f>
      </x:c>
      <x:c r="H74" s="104" t="str">
        <x:f>IF(COLUMN()-2&lt;=$E$3,INDEX($B$10:$B$59,RANDBETWEEN(1,$E$3)),"")</x:f>
      </x:c>
      <x:c r="I74" s="104" t="str">
        <x:f>IF(COLUMN()-2&lt;=$E$3,INDEX($B$10:$B$59,RANDBETWEEN(1,$E$3)),"")</x:f>
      </x:c>
      <x:c r="J74" s="104" t="str">
        <x:f>IF(COLUMN()-2&lt;=$E$3,INDEX($B$10:$B$59,RANDBETWEEN(1,$E$3)),"")</x:f>
      </x:c>
      <x:c r="K74" s="68" t="str">
        <x:f>IF(COLUMN()-2&lt;=$E$3,INDEX($B$10:$B$59,RANDBETWEEN(1,$E$3)),"")</x:f>
      </x:c>
      <x:c r="L74" s="68" t="str">
        <x:f>IF(COLUMN()-2&lt;=$E$3,INDEX($B$10:$B$59,RANDBETWEEN(1,$E$3)),"")</x:f>
      </x:c>
      <x:c r="M74" s="68" t="str">
        <x:f>IF(COLUMN()-2&lt;=$E$3,INDEX($B$10:$B$59,RANDBETWEEN(1,$E$3)),"")</x:f>
      </x:c>
      <x:c r="N74" s="68" t="str">
        <x:f>IF(COLUMN()-2&lt;=$E$3,INDEX($B$10:$B$59,RANDBETWEEN(1,$E$3)),"")</x:f>
      </x:c>
      <x:c r="O74" s="68" t="str">
        <x:f>IF(COLUMN()-2&lt;=$E$3,INDEX($B$10:$B$59,RANDBETWEEN(1,$E$3)),"")</x:f>
      </x:c>
      <x:c r="P74" s="68" t="str">
        <x:f>IF(COLUMN()-2&lt;=$E$3,INDEX($B$10:$B$59,RANDBETWEEN(1,$E$3)),"")</x:f>
      </x:c>
      <x:c r="Q74" s="68" t="str">
        <x:f>IF(COLUMN()-2&lt;=$E$3,INDEX($B$10:$B$59,RANDBETWEEN(1,$E$3)),"")</x:f>
      </x:c>
      <x:c r="R74" s="68" t="str">
        <x:f>IF(COLUMN()-2&lt;=$E$3,INDEX($B$10:$B$59,RANDBETWEEN(1,$E$3)),"")</x:f>
      </x:c>
      <x:c r="S74" s="68" t="str">
        <x:f>IF(COLUMN()-2&lt;=$E$3,INDEX($B$10:$B$59,RANDBETWEEN(1,$E$3)),"")</x:f>
      </x:c>
      <x:c r="T74" s="68" t="str">
        <x:f>IF(COLUMN()-2&lt;=$E$3,INDEX($B$10:$B$59,RANDBETWEEN(1,$E$3)),"")</x:f>
      </x:c>
      <x:c r="U74" s="68" t="str">
        <x:f>IF(COLUMN()-2&lt;=$E$3,INDEX($B$10:$B$59,RANDBETWEEN(1,$E$3)),"")</x:f>
      </x:c>
      <x:c r="V74" s="68" t="str">
        <x:f>IF(COLUMN()-2&lt;=$E$3,INDEX($B$10:$B$59,RANDBETWEEN(1,$E$3)),"")</x:f>
      </x:c>
      <x:c r="W74" s="68" t="str">
        <x:f>IF(COLUMN()-2&lt;=$E$3,INDEX($B$10:$B$59,RANDBETWEEN(1,$E$3)),"")</x:f>
      </x:c>
      <x:c r="X74" s="68" t="str">
        <x:f>IF(COLUMN()-2&lt;=$E$3,INDEX($B$10:$B$59,RANDBETWEEN(1,$E$3)),"")</x:f>
      </x:c>
      <x:c r="Y74" s="68" t="str">
        <x:f>IF(COLUMN()-2&lt;=$E$3,INDEX($B$10:$B$59,RANDBETWEEN(1,$E$3)),"")</x:f>
      </x:c>
      <x:c r="Z74" s="68" t="str">
        <x:f>IF(COLUMN()-2&lt;=$E$3,INDEX($B$10:$B$59,RANDBETWEEN(1,$E$3)),"")</x:f>
      </x:c>
      <x:c r="AA74" s="68" t="str">
        <x:f>IF(COLUMN()-2&lt;=$E$3,INDEX($B$10:$B$59,RANDBETWEEN(1,$E$3)),"")</x:f>
      </x:c>
      <x:c r="AB74" s="68" t="str">
        <x:f>IF(COLUMN()-2&lt;=$E$3,INDEX($B$10:$B$59,RANDBETWEEN(1,$E$3)),"")</x:f>
      </x:c>
      <x:c r="AC74" s="68" t="str">
        <x:f>IF(COLUMN()-2&lt;=$E$3,INDEX($B$10:$B$59,RANDBETWEEN(1,$E$3)),"")</x:f>
      </x:c>
      <x:c r="AD74" s="68" t="str">
        <x:f>IF(COLUMN()-2&lt;=$E$3,INDEX($B$10:$B$59,RANDBETWEEN(1,$E$3)),"")</x:f>
      </x:c>
      <x:c r="AE74" s="68" t="str">
        <x:f>IF(COLUMN()-2&lt;=$E$3,INDEX($B$10:$B$59,RANDBETWEEN(1,$E$3)),"")</x:f>
      </x:c>
      <x:c r="AF74" s="68" t="str">
        <x:f>IF(COLUMN()-2&lt;=$E$3,INDEX($B$10:$B$59,RANDBETWEEN(1,$E$3)),"")</x:f>
      </x:c>
      <x:c r="AG74" s="68" t="str">
        <x:f>IF(COLUMN()-2&lt;=$E$3,INDEX($B$10:$B$59,RANDBETWEEN(1,$E$3)),"")</x:f>
      </x:c>
      <x:c r="AH74" s="68" t="str">
        <x:f>IF(COLUMN()-2&lt;=$E$3,INDEX($B$10:$B$59,RANDBETWEEN(1,$E$3)),"")</x:f>
      </x:c>
      <x:c r="AI74" s="68" t="str">
        <x:f>IF(COLUMN()-2&lt;=$E$3,INDEX($B$10:$B$59,RANDBETWEEN(1,$E$3)),"")</x:f>
      </x:c>
      <x:c r="AJ74" s="68" t="str">
        <x:f>IF(COLUMN()-2&lt;=$E$3,INDEX($B$10:$B$59,RANDBETWEEN(1,$E$3)),"")</x:f>
      </x:c>
      <x:c r="AK74" s="68" t="str">
        <x:f>IF(COLUMN()-2&lt;=$E$3,INDEX($B$10:$B$59,RANDBETWEEN(1,$E$3)),"")</x:f>
      </x:c>
      <x:c r="AL74" s="68" t="str">
        <x:f>IF(COLUMN()-2&lt;=$E$3,INDEX($B$10:$B$59,RANDBETWEEN(1,$E$3)),"")</x:f>
      </x:c>
      <x:c r="AM74" s="68" t="str">
        <x:f>IF(COLUMN()-2&lt;=$E$3,INDEX($B$10:$B$59,RANDBETWEEN(1,$E$3)),"")</x:f>
      </x:c>
      <x:c r="AN74" s="68" t="str">
        <x:f>IF(COLUMN()-2&lt;=$E$3,INDEX($B$10:$B$59,RANDBETWEEN(1,$E$3)),"")</x:f>
      </x:c>
      <x:c r="AO74" s="68" t="str">
        <x:f>IF(COLUMN()-2&lt;=$E$3,INDEX($B$10:$B$59,RANDBETWEEN(1,$E$3)),"")</x:f>
      </x:c>
      <x:c r="AP74" s="68" t="str">
        <x:f>IF(COLUMN()-2&lt;=$E$3,INDEX($B$10:$B$59,RANDBETWEEN(1,$E$3)),"")</x:f>
      </x:c>
      <x:c r="AQ74" s="68" t="str">
        <x:f>IF(COLUMN()-2&lt;=$E$3,INDEX($B$10:$B$59,RANDBETWEEN(1,$E$3)),"")</x:f>
      </x:c>
      <x:c r="AR74" s="68" t="str">
        <x:f>IF(COLUMN()-2&lt;=$E$3,INDEX($B$10:$B$59,RANDBETWEEN(1,$E$3)),"")</x:f>
      </x:c>
      <x:c r="AS74" s="68" t="str">
        <x:f>IF(COLUMN()-2&lt;=$E$3,INDEX($B$10:$B$59,RANDBETWEEN(1,$E$3)),"")</x:f>
      </x:c>
      <x:c r="AT74" s="68" t="str">
        <x:f>IF(COLUMN()-2&lt;=$E$3,INDEX($B$10:$B$59,RANDBETWEEN(1,$E$3)),"")</x:f>
      </x:c>
      <x:c r="AU74" s="68" t="str">
        <x:f>IF(COLUMN()-2&lt;=$E$3,INDEX($B$10:$B$59,RANDBETWEEN(1,$E$3)),"")</x:f>
      </x:c>
      <x:c r="AV74" s="68" t="str">
        <x:f>IF(COLUMN()-2&lt;=$E$3,INDEX($B$10:$B$59,RANDBETWEEN(1,$E$3)),"")</x:f>
      </x:c>
      <x:c r="AW74" s="68" t="str">
        <x:f>IF(COLUMN()-2&lt;=$E$3,INDEX($B$10:$B$59,RANDBETWEEN(1,$E$3)),"")</x:f>
      </x:c>
      <x:c r="AX74" s="68" t="str">
        <x:f>IF(COLUMN()-2&lt;=$E$3,INDEX($B$10:$B$59,RANDBETWEEN(1,$E$3)),"")</x:f>
      </x:c>
      <x:c r="AY74" s="68" t="str">
        <x:f>IF(COLUMN()-2&lt;=$E$3,INDEX($B$10:$B$59,RANDBETWEEN(1,$E$3)),"")</x:f>
      </x:c>
      <x:c r="AZ74" s="68" t="str">
        <x:f>IF(COLUMN()-2&lt;=$E$3,INDEX($B$10:$B$59,RANDBETWEEN(1,$E$3)),"")</x:f>
      </x:c>
      <x:c r="BA74" s="68" t="str">
        <x:f>IF($E$3=0,"",AVERAGE(C74:AZ74))</x:f>
      </x:c>
    </x:row>
    <x:row r="75">
      <x:c r="A75" s="76" t="n">
        <x:v>11</x:v>
      </x:c>
      <x:c r="B75" s="76"/>
      <x:c r="C75" s="104" t="str">
        <x:f>IF(COLUMN()-2&lt;=$E$3,INDEX($B$10:$B$59,RANDBETWEEN(1,$E$3)),"")</x:f>
      </x:c>
      <x:c r="D75" s="104" t="str">
        <x:f>IF(COLUMN()-2&lt;=$E$3,INDEX($B$10:$B$59,RANDBETWEEN(1,$E$3)),"")</x:f>
      </x:c>
      <x:c r="E75" s="104" t="str">
        <x:f>IF(COLUMN()-2&lt;=$E$3,INDEX($B$10:$B$59,RANDBETWEEN(1,$E$3)),"")</x:f>
      </x:c>
      <x:c r="F75" s="104" t="str">
        <x:f>IF(COLUMN()-2&lt;=$E$3,INDEX($B$10:$B$59,RANDBETWEEN(1,$E$3)),"")</x:f>
      </x:c>
      <x:c r="G75" s="104" t="str">
        <x:f>IF(COLUMN()-2&lt;=$E$3,INDEX($B$10:$B$59,RANDBETWEEN(1,$E$3)),"")</x:f>
      </x:c>
      <x:c r="H75" s="104" t="str">
        <x:f>IF(COLUMN()-2&lt;=$E$3,INDEX($B$10:$B$59,RANDBETWEEN(1,$E$3)),"")</x:f>
      </x:c>
      <x:c r="I75" s="104" t="str">
        <x:f>IF(COLUMN()-2&lt;=$E$3,INDEX($B$10:$B$59,RANDBETWEEN(1,$E$3)),"")</x:f>
      </x:c>
      <x:c r="J75" s="104" t="str">
        <x:f>IF(COLUMN()-2&lt;=$E$3,INDEX($B$10:$B$59,RANDBETWEEN(1,$E$3)),"")</x:f>
      </x:c>
      <x:c r="K75" s="68" t="str">
        <x:f>IF(COLUMN()-2&lt;=$E$3,INDEX($B$10:$B$59,RANDBETWEEN(1,$E$3)),"")</x:f>
      </x:c>
      <x:c r="L75" s="68" t="str">
        <x:f>IF(COLUMN()-2&lt;=$E$3,INDEX($B$10:$B$59,RANDBETWEEN(1,$E$3)),"")</x:f>
      </x:c>
      <x:c r="M75" s="68" t="str">
        <x:f>IF(COLUMN()-2&lt;=$E$3,INDEX($B$10:$B$59,RANDBETWEEN(1,$E$3)),"")</x:f>
      </x:c>
      <x:c r="N75" s="68" t="str">
        <x:f>IF(COLUMN()-2&lt;=$E$3,INDEX($B$10:$B$59,RANDBETWEEN(1,$E$3)),"")</x:f>
      </x:c>
      <x:c r="O75" s="68" t="str">
        <x:f>IF(COLUMN()-2&lt;=$E$3,INDEX($B$10:$B$59,RANDBETWEEN(1,$E$3)),"")</x:f>
      </x:c>
      <x:c r="P75" s="68" t="str">
        <x:f>IF(COLUMN()-2&lt;=$E$3,INDEX($B$10:$B$59,RANDBETWEEN(1,$E$3)),"")</x:f>
      </x:c>
      <x:c r="Q75" s="68" t="str">
        <x:f>IF(COLUMN()-2&lt;=$E$3,INDEX($B$10:$B$59,RANDBETWEEN(1,$E$3)),"")</x:f>
      </x:c>
      <x:c r="R75" s="68" t="str">
        <x:f>IF(COLUMN()-2&lt;=$E$3,INDEX($B$10:$B$59,RANDBETWEEN(1,$E$3)),"")</x:f>
      </x:c>
      <x:c r="S75" s="68" t="str">
        <x:f>IF(COLUMN()-2&lt;=$E$3,INDEX($B$10:$B$59,RANDBETWEEN(1,$E$3)),"")</x:f>
      </x:c>
      <x:c r="T75" s="68" t="str">
        <x:f>IF(COLUMN()-2&lt;=$E$3,INDEX($B$10:$B$59,RANDBETWEEN(1,$E$3)),"")</x:f>
      </x:c>
      <x:c r="U75" s="68" t="str">
        <x:f>IF(COLUMN()-2&lt;=$E$3,INDEX($B$10:$B$59,RANDBETWEEN(1,$E$3)),"")</x:f>
      </x:c>
      <x:c r="V75" s="68" t="str">
        <x:f>IF(COLUMN()-2&lt;=$E$3,INDEX($B$10:$B$59,RANDBETWEEN(1,$E$3)),"")</x:f>
      </x:c>
      <x:c r="W75" s="68" t="str">
        <x:f>IF(COLUMN()-2&lt;=$E$3,INDEX($B$10:$B$59,RANDBETWEEN(1,$E$3)),"")</x:f>
      </x:c>
      <x:c r="X75" s="68" t="str">
        <x:f>IF(COLUMN()-2&lt;=$E$3,INDEX($B$10:$B$59,RANDBETWEEN(1,$E$3)),"")</x:f>
      </x:c>
      <x:c r="Y75" s="68" t="str">
        <x:f>IF(COLUMN()-2&lt;=$E$3,INDEX($B$10:$B$59,RANDBETWEEN(1,$E$3)),"")</x:f>
      </x:c>
      <x:c r="Z75" s="68" t="str">
        <x:f>IF(COLUMN()-2&lt;=$E$3,INDEX($B$10:$B$59,RANDBETWEEN(1,$E$3)),"")</x:f>
      </x:c>
      <x:c r="AA75" s="68" t="str">
        <x:f>IF(COLUMN()-2&lt;=$E$3,INDEX($B$10:$B$59,RANDBETWEEN(1,$E$3)),"")</x:f>
      </x:c>
      <x:c r="AB75" s="68" t="str">
        <x:f>IF(COLUMN()-2&lt;=$E$3,INDEX($B$10:$B$59,RANDBETWEEN(1,$E$3)),"")</x:f>
      </x:c>
      <x:c r="AC75" s="68" t="str">
        <x:f>IF(COLUMN()-2&lt;=$E$3,INDEX($B$10:$B$59,RANDBETWEEN(1,$E$3)),"")</x:f>
      </x:c>
      <x:c r="AD75" s="68" t="str">
        <x:f>IF(COLUMN()-2&lt;=$E$3,INDEX($B$10:$B$59,RANDBETWEEN(1,$E$3)),"")</x:f>
      </x:c>
      <x:c r="AE75" s="68" t="str">
        <x:f>IF(COLUMN()-2&lt;=$E$3,INDEX($B$10:$B$59,RANDBETWEEN(1,$E$3)),"")</x:f>
      </x:c>
      <x:c r="AF75" s="68" t="str">
        <x:f>IF(COLUMN()-2&lt;=$E$3,INDEX($B$10:$B$59,RANDBETWEEN(1,$E$3)),"")</x:f>
      </x:c>
      <x:c r="AG75" s="68" t="str">
        <x:f>IF(COLUMN()-2&lt;=$E$3,INDEX($B$10:$B$59,RANDBETWEEN(1,$E$3)),"")</x:f>
      </x:c>
      <x:c r="AH75" s="68" t="str">
        <x:f>IF(COLUMN()-2&lt;=$E$3,INDEX($B$10:$B$59,RANDBETWEEN(1,$E$3)),"")</x:f>
      </x:c>
      <x:c r="AI75" s="68" t="str">
        <x:f>IF(COLUMN()-2&lt;=$E$3,INDEX($B$10:$B$59,RANDBETWEEN(1,$E$3)),"")</x:f>
      </x:c>
      <x:c r="AJ75" s="68" t="str">
        <x:f>IF(COLUMN()-2&lt;=$E$3,INDEX($B$10:$B$59,RANDBETWEEN(1,$E$3)),"")</x:f>
      </x:c>
      <x:c r="AK75" s="68" t="str">
        <x:f>IF(COLUMN()-2&lt;=$E$3,INDEX($B$10:$B$59,RANDBETWEEN(1,$E$3)),"")</x:f>
      </x:c>
      <x:c r="AL75" s="68" t="str">
        <x:f>IF(COLUMN()-2&lt;=$E$3,INDEX($B$10:$B$59,RANDBETWEEN(1,$E$3)),"")</x:f>
      </x:c>
      <x:c r="AM75" s="68" t="str">
        <x:f>IF(COLUMN()-2&lt;=$E$3,INDEX($B$10:$B$59,RANDBETWEEN(1,$E$3)),"")</x:f>
      </x:c>
      <x:c r="AN75" s="68" t="str">
        <x:f>IF(COLUMN()-2&lt;=$E$3,INDEX($B$10:$B$59,RANDBETWEEN(1,$E$3)),"")</x:f>
      </x:c>
      <x:c r="AO75" s="68" t="str">
        <x:f>IF(COLUMN()-2&lt;=$E$3,INDEX($B$10:$B$59,RANDBETWEEN(1,$E$3)),"")</x:f>
      </x:c>
      <x:c r="AP75" s="68" t="str">
        <x:f>IF(COLUMN()-2&lt;=$E$3,INDEX($B$10:$B$59,RANDBETWEEN(1,$E$3)),"")</x:f>
      </x:c>
      <x:c r="AQ75" s="68" t="str">
        <x:f>IF(COLUMN()-2&lt;=$E$3,INDEX($B$10:$B$59,RANDBETWEEN(1,$E$3)),"")</x:f>
      </x:c>
      <x:c r="AR75" s="68" t="str">
        <x:f>IF(COLUMN()-2&lt;=$E$3,INDEX($B$10:$B$59,RANDBETWEEN(1,$E$3)),"")</x:f>
      </x:c>
      <x:c r="AS75" s="68" t="str">
        <x:f>IF(COLUMN()-2&lt;=$E$3,INDEX($B$10:$B$59,RANDBETWEEN(1,$E$3)),"")</x:f>
      </x:c>
      <x:c r="AT75" s="68" t="str">
        <x:f>IF(COLUMN()-2&lt;=$E$3,INDEX($B$10:$B$59,RANDBETWEEN(1,$E$3)),"")</x:f>
      </x:c>
      <x:c r="AU75" s="68" t="str">
        <x:f>IF(COLUMN()-2&lt;=$E$3,INDEX($B$10:$B$59,RANDBETWEEN(1,$E$3)),"")</x:f>
      </x:c>
      <x:c r="AV75" s="68" t="str">
        <x:f>IF(COLUMN()-2&lt;=$E$3,INDEX($B$10:$B$59,RANDBETWEEN(1,$E$3)),"")</x:f>
      </x:c>
      <x:c r="AW75" s="68" t="str">
        <x:f>IF(COLUMN()-2&lt;=$E$3,INDEX($B$10:$B$59,RANDBETWEEN(1,$E$3)),"")</x:f>
      </x:c>
      <x:c r="AX75" s="68" t="str">
        <x:f>IF(COLUMN()-2&lt;=$E$3,INDEX($B$10:$B$59,RANDBETWEEN(1,$E$3)),"")</x:f>
      </x:c>
      <x:c r="AY75" s="68" t="str">
        <x:f>IF(COLUMN()-2&lt;=$E$3,INDEX($B$10:$B$59,RANDBETWEEN(1,$E$3)),"")</x:f>
      </x:c>
      <x:c r="AZ75" s="68" t="str">
        <x:f>IF(COLUMN()-2&lt;=$E$3,INDEX($B$10:$B$59,RANDBETWEEN(1,$E$3)),"")</x:f>
      </x:c>
      <x:c r="BA75" s="68" t="str">
        <x:f>IF($E$3=0,"",AVERAGE(C75:AZ75))</x:f>
      </x:c>
    </x:row>
    <x:row r="76">
      <x:c r="A76" s="76" t="n">
        <x:v>12</x:v>
      </x:c>
      <x:c r="B76" s="76"/>
      <x:c r="C76" s="104" t="str">
        <x:f>IF(COLUMN()-2&lt;=$E$3,INDEX($B$10:$B$59,RANDBETWEEN(1,$E$3)),"")</x:f>
      </x:c>
      <x:c r="D76" s="104" t="str">
        <x:f>IF(COLUMN()-2&lt;=$E$3,INDEX($B$10:$B$59,RANDBETWEEN(1,$E$3)),"")</x:f>
      </x:c>
      <x:c r="E76" s="104" t="str">
        <x:f>IF(COLUMN()-2&lt;=$E$3,INDEX($B$10:$B$59,RANDBETWEEN(1,$E$3)),"")</x:f>
      </x:c>
      <x:c r="F76" s="104" t="str">
        <x:f>IF(COLUMN()-2&lt;=$E$3,INDEX($B$10:$B$59,RANDBETWEEN(1,$E$3)),"")</x:f>
      </x:c>
      <x:c r="G76" s="104" t="str">
        <x:f>IF(COLUMN()-2&lt;=$E$3,INDEX($B$10:$B$59,RANDBETWEEN(1,$E$3)),"")</x:f>
      </x:c>
      <x:c r="H76" s="104" t="str">
        <x:f>IF(COLUMN()-2&lt;=$E$3,INDEX($B$10:$B$59,RANDBETWEEN(1,$E$3)),"")</x:f>
      </x:c>
      <x:c r="I76" s="104" t="str">
        <x:f>IF(COLUMN()-2&lt;=$E$3,INDEX($B$10:$B$59,RANDBETWEEN(1,$E$3)),"")</x:f>
      </x:c>
      <x:c r="J76" s="104" t="str">
        <x:f>IF(COLUMN()-2&lt;=$E$3,INDEX($B$10:$B$59,RANDBETWEEN(1,$E$3)),"")</x:f>
      </x:c>
      <x:c r="K76" s="68" t="str">
        <x:f>IF(COLUMN()-2&lt;=$E$3,INDEX($B$10:$B$59,RANDBETWEEN(1,$E$3)),"")</x:f>
      </x:c>
      <x:c r="L76" s="68" t="str">
        <x:f>IF(COLUMN()-2&lt;=$E$3,INDEX($B$10:$B$59,RANDBETWEEN(1,$E$3)),"")</x:f>
      </x:c>
      <x:c r="M76" s="68" t="str">
        <x:f>IF(COLUMN()-2&lt;=$E$3,INDEX($B$10:$B$59,RANDBETWEEN(1,$E$3)),"")</x:f>
      </x:c>
      <x:c r="N76" s="68" t="str">
        <x:f>IF(COLUMN()-2&lt;=$E$3,INDEX($B$10:$B$59,RANDBETWEEN(1,$E$3)),"")</x:f>
      </x:c>
      <x:c r="O76" s="68" t="str">
        <x:f>IF(COLUMN()-2&lt;=$E$3,INDEX($B$10:$B$59,RANDBETWEEN(1,$E$3)),"")</x:f>
      </x:c>
      <x:c r="P76" s="68" t="str">
        <x:f>IF(COLUMN()-2&lt;=$E$3,INDEX($B$10:$B$59,RANDBETWEEN(1,$E$3)),"")</x:f>
      </x:c>
      <x:c r="Q76" s="68" t="str">
        <x:f>IF(COLUMN()-2&lt;=$E$3,INDEX($B$10:$B$59,RANDBETWEEN(1,$E$3)),"")</x:f>
      </x:c>
      <x:c r="R76" s="68" t="str">
        <x:f>IF(COLUMN()-2&lt;=$E$3,INDEX($B$10:$B$59,RANDBETWEEN(1,$E$3)),"")</x:f>
      </x:c>
      <x:c r="S76" s="68" t="str">
        <x:f>IF(COLUMN()-2&lt;=$E$3,INDEX($B$10:$B$59,RANDBETWEEN(1,$E$3)),"")</x:f>
      </x:c>
      <x:c r="T76" s="68" t="str">
        <x:f>IF(COLUMN()-2&lt;=$E$3,INDEX($B$10:$B$59,RANDBETWEEN(1,$E$3)),"")</x:f>
      </x:c>
      <x:c r="U76" s="68" t="str">
        <x:f>IF(COLUMN()-2&lt;=$E$3,INDEX($B$10:$B$59,RANDBETWEEN(1,$E$3)),"")</x:f>
      </x:c>
      <x:c r="V76" s="68" t="str">
        <x:f>IF(COLUMN()-2&lt;=$E$3,INDEX($B$10:$B$59,RANDBETWEEN(1,$E$3)),"")</x:f>
      </x:c>
      <x:c r="W76" s="68" t="str">
        <x:f>IF(COLUMN()-2&lt;=$E$3,INDEX($B$10:$B$59,RANDBETWEEN(1,$E$3)),"")</x:f>
      </x:c>
      <x:c r="X76" s="68" t="str">
        <x:f>IF(COLUMN()-2&lt;=$E$3,INDEX($B$10:$B$59,RANDBETWEEN(1,$E$3)),"")</x:f>
      </x:c>
      <x:c r="Y76" s="68" t="str">
        <x:f>IF(COLUMN()-2&lt;=$E$3,INDEX($B$10:$B$59,RANDBETWEEN(1,$E$3)),"")</x:f>
      </x:c>
      <x:c r="Z76" s="68" t="str">
        <x:f>IF(COLUMN()-2&lt;=$E$3,INDEX($B$10:$B$59,RANDBETWEEN(1,$E$3)),"")</x:f>
      </x:c>
      <x:c r="AA76" s="68" t="str">
        <x:f>IF(COLUMN()-2&lt;=$E$3,INDEX($B$10:$B$59,RANDBETWEEN(1,$E$3)),"")</x:f>
      </x:c>
      <x:c r="AB76" s="68" t="str">
        <x:f>IF(COLUMN()-2&lt;=$E$3,INDEX($B$10:$B$59,RANDBETWEEN(1,$E$3)),"")</x:f>
      </x:c>
      <x:c r="AC76" s="68" t="str">
        <x:f>IF(COLUMN()-2&lt;=$E$3,INDEX($B$10:$B$59,RANDBETWEEN(1,$E$3)),"")</x:f>
      </x:c>
      <x:c r="AD76" s="68" t="str">
        <x:f>IF(COLUMN()-2&lt;=$E$3,INDEX($B$10:$B$59,RANDBETWEEN(1,$E$3)),"")</x:f>
      </x:c>
      <x:c r="AE76" s="68" t="str">
        <x:f>IF(COLUMN()-2&lt;=$E$3,INDEX($B$10:$B$59,RANDBETWEEN(1,$E$3)),"")</x:f>
      </x:c>
      <x:c r="AF76" s="68" t="str">
        <x:f>IF(COLUMN()-2&lt;=$E$3,INDEX($B$10:$B$59,RANDBETWEEN(1,$E$3)),"")</x:f>
      </x:c>
      <x:c r="AG76" s="68" t="str">
        <x:f>IF(COLUMN()-2&lt;=$E$3,INDEX($B$10:$B$59,RANDBETWEEN(1,$E$3)),"")</x:f>
      </x:c>
      <x:c r="AH76" s="68" t="str">
        <x:f>IF(COLUMN()-2&lt;=$E$3,INDEX($B$10:$B$59,RANDBETWEEN(1,$E$3)),"")</x:f>
      </x:c>
      <x:c r="AI76" s="68" t="str">
        <x:f>IF(COLUMN()-2&lt;=$E$3,INDEX($B$10:$B$59,RANDBETWEEN(1,$E$3)),"")</x:f>
      </x:c>
      <x:c r="AJ76" s="68" t="str">
        <x:f>IF(COLUMN()-2&lt;=$E$3,INDEX($B$10:$B$59,RANDBETWEEN(1,$E$3)),"")</x:f>
      </x:c>
      <x:c r="AK76" s="68" t="str">
        <x:f>IF(COLUMN()-2&lt;=$E$3,INDEX($B$10:$B$59,RANDBETWEEN(1,$E$3)),"")</x:f>
      </x:c>
      <x:c r="AL76" s="68" t="str">
        <x:f>IF(COLUMN()-2&lt;=$E$3,INDEX($B$10:$B$59,RANDBETWEEN(1,$E$3)),"")</x:f>
      </x:c>
      <x:c r="AM76" s="68" t="str">
        <x:f>IF(COLUMN()-2&lt;=$E$3,INDEX($B$10:$B$59,RANDBETWEEN(1,$E$3)),"")</x:f>
      </x:c>
      <x:c r="AN76" s="68" t="str">
        <x:f>IF(COLUMN()-2&lt;=$E$3,INDEX($B$10:$B$59,RANDBETWEEN(1,$E$3)),"")</x:f>
      </x:c>
      <x:c r="AO76" s="68" t="str">
        <x:f>IF(COLUMN()-2&lt;=$E$3,INDEX($B$10:$B$59,RANDBETWEEN(1,$E$3)),"")</x:f>
      </x:c>
      <x:c r="AP76" s="68" t="str">
        <x:f>IF(COLUMN()-2&lt;=$E$3,INDEX($B$10:$B$59,RANDBETWEEN(1,$E$3)),"")</x:f>
      </x:c>
      <x:c r="AQ76" s="68" t="str">
        <x:f>IF(COLUMN()-2&lt;=$E$3,INDEX($B$10:$B$59,RANDBETWEEN(1,$E$3)),"")</x:f>
      </x:c>
      <x:c r="AR76" s="68" t="str">
        <x:f>IF(COLUMN()-2&lt;=$E$3,INDEX($B$10:$B$59,RANDBETWEEN(1,$E$3)),"")</x:f>
      </x:c>
      <x:c r="AS76" s="68" t="str">
        <x:f>IF(COLUMN()-2&lt;=$E$3,INDEX($B$10:$B$59,RANDBETWEEN(1,$E$3)),"")</x:f>
      </x:c>
      <x:c r="AT76" s="68" t="str">
        <x:f>IF(COLUMN()-2&lt;=$E$3,INDEX($B$10:$B$59,RANDBETWEEN(1,$E$3)),"")</x:f>
      </x:c>
      <x:c r="AU76" s="68" t="str">
        <x:f>IF(COLUMN()-2&lt;=$E$3,INDEX($B$10:$B$59,RANDBETWEEN(1,$E$3)),"")</x:f>
      </x:c>
      <x:c r="AV76" s="68" t="str">
        <x:f>IF(COLUMN()-2&lt;=$E$3,INDEX($B$10:$B$59,RANDBETWEEN(1,$E$3)),"")</x:f>
      </x:c>
      <x:c r="AW76" s="68" t="str">
        <x:f>IF(COLUMN()-2&lt;=$E$3,INDEX($B$10:$B$59,RANDBETWEEN(1,$E$3)),"")</x:f>
      </x:c>
      <x:c r="AX76" s="68" t="str">
        <x:f>IF(COLUMN()-2&lt;=$E$3,INDEX($B$10:$B$59,RANDBETWEEN(1,$E$3)),"")</x:f>
      </x:c>
      <x:c r="AY76" s="68" t="str">
        <x:f>IF(COLUMN()-2&lt;=$E$3,INDEX($B$10:$B$59,RANDBETWEEN(1,$E$3)),"")</x:f>
      </x:c>
      <x:c r="AZ76" s="68" t="str">
        <x:f>IF(COLUMN()-2&lt;=$E$3,INDEX($B$10:$B$59,RANDBETWEEN(1,$E$3)),"")</x:f>
      </x:c>
      <x:c r="BA76" s="68" t="str">
        <x:f>IF($E$3=0,"",AVERAGE(C76:AZ76))</x:f>
      </x:c>
    </x:row>
    <x:row r="77">
      <x:c r="A77" s="76" t="n">
        <x:v>13</x:v>
      </x:c>
      <x:c r="B77" s="76"/>
      <x:c r="C77" s="104" t="str">
        <x:f>IF(COLUMN()-2&lt;=$E$3,INDEX($B$10:$B$59,RANDBETWEEN(1,$E$3)),"")</x:f>
      </x:c>
      <x:c r="D77" s="104" t="str">
        <x:f>IF(COLUMN()-2&lt;=$E$3,INDEX($B$10:$B$59,RANDBETWEEN(1,$E$3)),"")</x:f>
      </x:c>
      <x:c r="E77" s="104" t="str">
        <x:f>IF(COLUMN()-2&lt;=$E$3,INDEX($B$10:$B$59,RANDBETWEEN(1,$E$3)),"")</x:f>
      </x:c>
      <x:c r="F77" s="104" t="str">
        <x:f>IF(COLUMN()-2&lt;=$E$3,INDEX($B$10:$B$59,RANDBETWEEN(1,$E$3)),"")</x:f>
      </x:c>
      <x:c r="G77" s="104" t="str">
        <x:f>IF(COLUMN()-2&lt;=$E$3,INDEX($B$10:$B$59,RANDBETWEEN(1,$E$3)),"")</x:f>
      </x:c>
      <x:c r="H77" s="104" t="str">
        <x:f>IF(COLUMN()-2&lt;=$E$3,INDEX($B$10:$B$59,RANDBETWEEN(1,$E$3)),"")</x:f>
      </x:c>
      <x:c r="I77" s="104" t="str">
        <x:f>IF(COLUMN()-2&lt;=$E$3,INDEX($B$10:$B$59,RANDBETWEEN(1,$E$3)),"")</x:f>
      </x:c>
      <x:c r="J77" s="104" t="str">
        <x:f>IF(COLUMN()-2&lt;=$E$3,INDEX($B$10:$B$59,RANDBETWEEN(1,$E$3)),"")</x:f>
      </x:c>
      <x:c r="K77" s="68" t="str">
        <x:f>IF(COLUMN()-2&lt;=$E$3,INDEX($B$10:$B$59,RANDBETWEEN(1,$E$3)),"")</x:f>
      </x:c>
      <x:c r="L77" s="68" t="str">
        <x:f>IF(COLUMN()-2&lt;=$E$3,INDEX($B$10:$B$59,RANDBETWEEN(1,$E$3)),"")</x:f>
      </x:c>
      <x:c r="M77" s="68" t="str">
        <x:f>IF(COLUMN()-2&lt;=$E$3,INDEX($B$10:$B$59,RANDBETWEEN(1,$E$3)),"")</x:f>
      </x:c>
      <x:c r="N77" s="68" t="str">
        <x:f>IF(COLUMN()-2&lt;=$E$3,INDEX($B$10:$B$59,RANDBETWEEN(1,$E$3)),"")</x:f>
      </x:c>
      <x:c r="O77" s="68" t="str">
        <x:f>IF(COLUMN()-2&lt;=$E$3,INDEX($B$10:$B$59,RANDBETWEEN(1,$E$3)),"")</x:f>
      </x:c>
      <x:c r="P77" s="68" t="str">
        <x:f>IF(COLUMN()-2&lt;=$E$3,INDEX($B$10:$B$59,RANDBETWEEN(1,$E$3)),"")</x:f>
      </x:c>
      <x:c r="Q77" s="68" t="str">
        <x:f>IF(COLUMN()-2&lt;=$E$3,INDEX($B$10:$B$59,RANDBETWEEN(1,$E$3)),"")</x:f>
      </x:c>
      <x:c r="R77" s="68" t="str">
        <x:f>IF(COLUMN()-2&lt;=$E$3,INDEX($B$10:$B$59,RANDBETWEEN(1,$E$3)),"")</x:f>
      </x:c>
      <x:c r="S77" s="68" t="str">
        <x:f>IF(COLUMN()-2&lt;=$E$3,INDEX($B$10:$B$59,RANDBETWEEN(1,$E$3)),"")</x:f>
      </x:c>
      <x:c r="T77" s="68" t="str">
        <x:f>IF(COLUMN()-2&lt;=$E$3,INDEX($B$10:$B$59,RANDBETWEEN(1,$E$3)),"")</x:f>
      </x:c>
      <x:c r="U77" s="68" t="str">
        <x:f>IF(COLUMN()-2&lt;=$E$3,INDEX($B$10:$B$59,RANDBETWEEN(1,$E$3)),"")</x:f>
      </x:c>
      <x:c r="V77" s="68" t="str">
        <x:f>IF(COLUMN()-2&lt;=$E$3,INDEX($B$10:$B$59,RANDBETWEEN(1,$E$3)),"")</x:f>
      </x:c>
      <x:c r="W77" s="68" t="str">
        <x:f>IF(COLUMN()-2&lt;=$E$3,INDEX($B$10:$B$59,RANDBETWEEN(1,$E$3)),"")</x:f>
      </x:c>
      <x:c r="X77" s="68" t="str">
        <x:f>IF(COLUMN()-2&lt;=$E$3,INDEX($B$10:$B$59,RANDBETWEEN(1,$E$3)),"")</x:f>
      </x:c>
      <x:c r="Y77" s="68" t="str">
        <x:f>IF(COLUMN()-2&lt;=$E$3,INDEX($B$10:$B$59,RANDBETWEEN(1,$E$3)),"")</x:f>
      </x:c>
      <x:c r="Z77" s="68" t="str">
        <x:f>IF(COLUMN()-2&lt;=$E$3,INDEX($B$10:$B$59,RANDBETWEEN(1,$E$3)),"")</x:f>
      </x:c>
      <x:c r="AA77" s="68" t="str">
        <x:f>IF(COLUMN()-2&lt;=$E$3,INDEX($B$10:$B$59,RANDBETWEEN(1,$E$3)),"")</x:f>
      </x:c>
      <x:c r="AB77" s="68" t="str">
        <x:f>IF(COLUMN()-2&lt;=$E$3,INDEX($B$10:$B$59,RANDBETWEEN(1,$E$3)),"")</x:f>
      </x:c>
      <x:c r="AC77" s="68" t="str">
        <x:f>IF(COLUMN()-2&lt;=$E$3,INDEX($B$10:$B$59,RANDBETWEEN(1,$E$3)),"")</x:f>
      </x:c>
      <x:c r="AD77" s="68" t="str">
        <x:f>IF(COLUMN()-2&lt;=$E$3,INDEX($B$10:$B$59,RANDBETWEEN(1,$E$3)),"")</x:f>
      </x:c>
      <x:c r="AE77" s="68" t="str">
        <x:f>IF(COLUMN()-2&lt;=$E$3,INDEX($B$10:$B$59,RANDBETWEEN(1,$E$3)),"")</x:f>
      </x:c>
      <x:c r="AF77" s="68" t="str">
        <x:f>IF(COLUMN()-2&lt;=$E$3,INDEX($B$10:$B$59,RANDBETWEEN(1,$E$3)),"")</x:f>
      </x:c>
      <x:c r="AG77" s="68" t="str">
        <x:f>IF(COLUMN()-2&lt;=$E$3,INDEX($B$10:$B$59,RANDBETWEEN(1,$E$3)),"")</x:f>
      </x:c>
      <x:c r="AH77" s="68" t="str">
        <x:f>IF(COLUMN()-2&lt;=$E$3,INDEX($B$10:$B$59,RANDBETWEEN(1,$E$3)),"")</x:f>
      </x:c>
      <x:c r="AI77" s="68" t="str">
        <x:f>IF(COLUMN()-2&lt;=$E$3,INDEX($B$10:$B$59,RANDBETWEEN(1,$E$3)),"")</x:f>
      </x:c>
      <x:c r="AJ77" s="68" t="str">
        <x:f>IF(COLUMN()-2&lt;=$E$3,INDEX($B$10:$B$59,RANDBETWEEN(1,$E$3)),"")</x:f>
      </x:c>
      <x:c r="AK77" s="68" t="str">
        <x:f>IF(COLUMN()-2&lt;=$E$3,INDEX($B$10:$B$59,RANDBETWEEN(1,$E$3)),"")</x:f>
      </x:c>
      <x:c r="AL77" s="68" t="str">
        <x:f>IF(COLUMN()-2&lt;=$E$3,INDEX($B$10:$B$59,RANDBETWEEN(1,$E$3)),"")</x:f>
      </x:c>
      <x:c r="AM77" s="68" t="str">
        <x:f>IF(COLUMN()-2&lt;=$E$3,INDEX($B$10:$B$59,RANDBETWEEN(1,$E$3)),"")</x:f>
      </x:c>
      <x:c r="AN77" s="68" t="str">
        <x:f>IF(COLUMN()-2&lt;=$E$3,INDEX($B$10:$B$59,RANDBETWEEN(1,$E$3)),"")</x:f>
      </x:c>
      <x:c r="AO77" s="68" t="str">
        <x:f>IF(COLUMN()-2&lt;=$E$3,INDEX($B$10:$B$59,RANDBETWEEN(1,$E$3)),"")</x:f>
      </x:c>
      <x:c r="AP77" s="68" t="str">
        <x:f>IF(COLUMN()-2&lt;=$E$3,INDEX($B$10:$B$59,RANDBETWEEN(1,$E$3)),"")</x:f>
      </x:c>
      <x:c r="AQ77" s="68" t="str">
        <x:f>IF(COLUMN()-2&lt;=$E$3,INDEX($B$10:$B$59,RANDBETWEEN(1,$E$3)),"")</x:f>
      </x:c>
      <x:c r="AR77" s="68" t="str">
        <x:f>IF(COLUMN()-2&lt;=$E$3,INDEX($B$10:$B$59,RANDBETWEEN(1,$E$3)),"")</x:f>
      </x:c>
      <x:c r="AS77" s="68" t="str">
        <x:f>IF(COLUMN()-2&lt;=$E$3,INDEX($B$10:$B$59,RANDBETWEEN(1,$E$3)),"")</x:f>
      </x:c>
      <x:c r="AT77" s="68" t="str">
        <x:f>IF(COLUMN()-2&lt;=$E$3,INDEX($B$10:$B$59,RANDBETWEEN(1,$E$3)),"")</x:f>
      </x:c>
      <x:c r="AU77" s="68" t="str">
        <x:f>IF(COLUMN()-2&lt;=$E$3,INDEX($B$10:$B$59,RANDBETWEEN(1,$E$3)),"")</x:f>
      </x:c>
      <x:c r="AV77" s="68" t="str">
        <x:f>IF(COLUMN()-2&lt;=$E$3,INDEX($B$10:$B$59,RANDBETWEEN(1,$E$3)),"")</x:f>
      </x:c>
      <x:c r="AW77" s="68" t="str">
        <x:f>IF(COLUMN()-2&lt;=$E$3,INDEX($B$10:$B$59,RANDBETWEEN(1,$E$3)),"")</x:f>
      </x:c>
      <x:c r="AX77" s="68" t="str">
        <x:f>IF(COLUMN()-2&lt;=$E$3,INDEX($B$10:$B$59,RANDBETWEEN(1,$E$3)),"")</x:f>
      </x:c>
      <x:c r="AY77" s="68" t="str">
        <x:f>IF(COLUMN()-2&lt;=$E$3,INDEX($B$10:$B$59,RANDBETWEEN(1,$E$3)),"")</x:f>
      </x:c>
      <x:c r="AZ77" s="68" t="str">
        <x:f>IF(COLUMN()-2&lt;=$E$3,INDEX($B$10:$B$59,RANDBETWEEN(1,$E$3)),"")</x:f>
      </x:c>
      <x:c r="BA77" s="68" t="str">
        <x:f>IF($E$3=0,"",AVERAGE(C77:AZ77))</x:f>
      </x:c>
    </x:row>
    <x:row r="78">
      <x:c r="A78" s="76" t="n">
        <x:v>14</x:v>
      </x:c>
      <x:c r="B78" s="76"/>
      <x:c r="C78" s="104" t="str">
        <x:f>IF(COLUMN()-2&lt;=$E$3,INDEX($B$10:$B$59,RANDBETWEEN(1,$E$3)),"")</x:f>
      </x:c>
      <x:c r="D78" s="104" t="str">
        <x:f>IF(COLUMN()-2&lt;=$E$3,INDEX($B$10:$B$59,RANDBETWEEN(1,$E$3)),"")</x:f>
      </x:c>
      <x:c r="E78" s="104" t="str">
        <x:f>IF(COLUMN()-2&lt;=$E$3,INDEX($B$10:$B$59,RANDBETWEEN(1,$E$3)),"")</x:f>
      </x:c>
      <x:c r="F78" s="104" t="str">
        <x:f>IF(COLUMN()-2&lt;=$E$3,INDEX($B$10:$B$59,RANDBETWEEN(1,$E$3)),"")</x:f>
      </x:c>
      <x:c r="G78" s="104" t="str">
        <x:f>IF(COLUMN()-2&lt;=$E$3,INDEX($B$10:$B$59,RANDBETWEEN(1,$E$3)),"")</x:f>
      </x:c>
      <x:c r="H78" s="104" t="str">
        <x:f>IF(COLUMN()-2&lt;=$E$3,INDEX($B$10:$B$59,RANDBETWEEN(1,$E$3)),"")</x:f>
      </x:c>
      <x:c r="I78" s="104" t="str">
        <x:f>IF(COLUMN()-2&lt;=$E$3,INDEX($B$10:$B$59,RANDBETWEEN(1,$E$3)),"")</x:f>
      </x:c>
      <x:c r="J78" s="104" t="str">
        <x:f>IF(COLUMN()-2&lt;=$E$3,INDEX($B$10:$B$59,RANDBETWEEN(1,$E$3)),"")</x:f>
      </x:c>
      <x:c r="K78" s="68" t="str">
        <x:f>IF(COLUMN()-2&lt;=$E$3,INDEX($B$10:$B$59,RANDBETWEEN(1,$E$3)),"")</x:f>
      </x:c>
      <x:c r="L78" s="68" t="str">
        <x:f>IF(COLUMN()-2&lt;=$E$3,INDEX($B$10:$B$59,RANDBETWEEN(1,$E$3)),"")</x:f>
      </x:c>
      <x:c r="M78" s="68" t="str">
        <x:f>IF(COLUMN()-2&lt;=$E$3,INDEX($B$10:$B$59,RANDBETWEEN(1,$E$3)),"")</x:f>
      </x:c>
      <x:c r="N78" s="68" t="str">
        <x:f>IF(COLUMN()-2&lt;=$E$3,INDEX($B$10:$B$59,RANDBETWEEN(1,$E$3)),"")</x:f>
      </x:c>
      <x:c r="O78" s="68" t="str">
        <x:f>IF(COLUMN()-2&lt;=$E$3,INDEX($B$10:$B$59,RANDBETWEEN(1,$E$3)),"")</x:f>
      </x:c>
      <x:c r="P78" s="68" t="str">
        <x:f>IF(COLUMN()-2&lt;=$E$3,INDEX($B$10:$B$59,RANDBETWEEN(1,$E$3)),"")</x:f>
      </x:c>
      <x:c r="Q78" s="68" t="str">
        <x:f>IF(COLUMN()-2&lt;=$E$3,INDEX($B$10:$B$59,RANDBETWEEN(1,$E$3)),"")</x:f>
      </x:c>
      <x:c r="R78" s="68" t="str">
        <x:f>IF(COLUMN()-2&lt;=$E$3,INDEX($B$10:$B$59,RANDBETWEEN(1,$E$3)),"")</x:f>
      </x:c>
      <x:c r="S78" s="68" t="str">
        <x:f>IF(COLUMN()-2&lt;=$E$3,INDEX($B$10:$B$59,RANDBETWEEN(1,$E$3)),"")</x:f>
      </x:c>
      <x:c r="T78" s="68" t="str">
        <x:f>IF(COLUMN()-2&lt;=$E$3,INDEX($B$10:$B$59,RANDBETWEEN(1,$E$3)),"")</x:f>
      </x:c>
      <x:c r="U78" s="68" t="str">
        <x:f>IF(COLUMN()-2&lt;=$E$3,INDEX($B$10:$B$59,RANDBETWEEN(1,$E$3)),"")</x:f>
      </x:c>
      <x:c r="V78" s="68" t="str">
        <x:f>IF(COLUMN()-2&lt;=$E$3,INDEX($B$10:$B$59,RANDBETWEEN(1,$E$3)),"")</x:f>
      </x:c>
      <x:c r="W78" s="68" t="str">
        <x:f>IF(COLUMN()-2&lt;=$E$3,INDEX($B$10:$B$59,RANDBETWEEN(1,$E$3)),"")</x:f>
      </x:c>
      <x:c r="X78" s="68" t="str">
        <x:f>IF(COLUMN()-2&lt;=$E$3,INDEX($B$10:$B$59,RANDBETWEEN(1,$E$3)),"")</x:f>
      </x:c>
      <x:c r="Y78" s="68" t="str">
        <x:f>IF(COLUMN()-2&lt;=$E$3,INDEX($B$10:$B$59,RANDBETWEEN(1,$E$3)),"")</x:f>
      </x:c>
      <x:c r="Z78" s="68" t="str">
        <x:f>IF(COLUMN()-2&lt;=$E$3,INDEX($B$10:$B$59,RANDBETWEEN(1,$E$3)),"")</x:f>
      </x:c>
      <x:c r="AA78" s="68" t="str">
        <x:f>IF(COLUMN()-2&lt;=$E$3,INDEX($B$10:$B$59,RANDBETWEEN(1,$E$3)),"")</x:f>
      </x:c>
      <x:c r="AB78" s="68" t="str">
        <x:f>IF(COLUMN()-2&lt;=$E$3,INDEX($B$10:$B$59,RANDBETWEEN(1,$E$3)),"")</x:f>
      </x:c>
      <x:c r="AC78" s="68" t="str">
        <x:f>IF(COLUMN()-2&lt;=$E$3,INDEX($B$10:$B$59,RANDBETWEEN(1,$E$3)),"")</x:f>
      </x:c>
      <x:c r="AD78" s="68" t="str">
        <x:f>IF(COLUMN()-2&lt;=$E$3,INDEX($B$10:$B$59,RANDBETWEEN(1,$E$3)),"")</x:f>
      </x:c>
      <x:c r="AE78" s="68" t="str">
        <x:f>IF(COLUMN()-2&lt;=$E$3,INDEX($B$10:$B$59,RANDBETWEEN(1,$E$3)),"")</x:f>
      </x:c>
      <x:c r="AF78" s="68" t="str">
        <x:f>IF(COLUMN()-2&lt;=$E$3,INDEX($B$10:$B$59,RANDBETWEEN(1,$E$3)),"")</x:f>
      </x:c>
      <x:c r="AG78" s="68" t="str">
        <x:f>IF(COLUMN()-2&lt;=$E$3,INDEX($B$10:$B$59,RANDBETWEEN(1,$E$3)),"")</x:f>
      </x:c>
      <x:c r="AH78" s="68" t="str">
        <x:f>IF(COLUMN()-2&lt;=$E$3,INDEX($B$10:$B$59,RANDBETWEEN(1,$E$3)),"")</x:f>
      </x:c>
      <x:c r="AI78" s="68" t="str">
        <x:f>IF(COLUMN()-2&lt;=$E$3,INDEX($B$10:$B$59,RANDBETWEEN(1,$E$3)),"")</x:f>
      </x:c>
      <x:c r="AJ78" s="68" t="str">
        <x:f>IF(COLUMN()-2&lt;=$E$3,INDEX($B$10:$B$59,RANDBETWEEN(1,$E$3)),"")</x:f>
      </x:c>
      <x:c r="AK78" s="68" t="str">
        <x:f>IF(COLUMN()-2&lt;=$E$3,INDEX($B$10:$B$59,RANDBETWEEN(1,$E$3)),"")</x:f>
      </x:c>
      <x:c r="AL78" s="68" t="str">
        <x:f>IF(COLUMN()-2&lt;=$E$3,INDEX($B$10:$B$59,RANDBETWEEN(1,$E$3)),"")</x:f>
      </x:c>
      <x:c r="AM78" s="68" t="str">
        <x:f>IF(COLUMN()-2&lt;=$E$3,INDEX($B$10:$B$59,RANDBETWEEN(1,$E$3)),"")</x:f>
      </x:c>
      <x:c r="AN78" s="68" t="str">
        <x:f>IF(COLUMN()-2&lt;=$E$3,INDEX($B$10:$B$59,RANDBETWEEN(1,$E$3)),"")</x:f>
      </x:c>
      <x:c r="AO78" s="68" t="str">
        <x:f>IF(COLUMN()-2&lt;=$E$3,INDEX($B$10:$B$59,RANDBETWEEN(1,$E$3)),"")</x:f>
      </x:c>
      <x:c r="AP78" s="68" t="str">
        <x:f>IF(COLUMN()-2&lt;=$E$3,INDEX($B$10:$B$59,RANDBETWEEN(1,$E$3)),"")</x:f>
      </x:c>
      <x:c r="AQ78" s="68" t="str">
        <x:f>IF(COLUMN()-2&lt;=$E$3,INDEX($B$10:$B$59,RANDBETWEEN(1,$E$3)),"")</x:f>
      </x:c>
      <x:c r="AR78" s="68" t="str">
        <x:f>IF(COLUMN()-2&lt;=$E$3,INDEX($B$10:$B$59,RANDBETWEEN(1,$E$3)),"")</x:f>
      </x:c>
      <x:c r="AS78" s="68" t="str">
        <x:f>IF(COLUMN()-2&lt;=$E$3,INDEX($B$10:$B$59,RANDBETWEEN(1,$E$3)),"")</x:f>
      </x:c>
      <x:c r="AT78" s="68" t="str">
        <x:f>IF(COLUMN()-2&lt;=$E$3,INDEX($B$10:$B$59,RANDBETWEEN(1,$E$3)),"")</x:f>
      </x:c>
      <x:c r="AU78" s="68" t="str">
        <x:f>IF(COLUMN()-2&lt;=$E$3,INDEX($B$10:$B$59,RANDBETWEEN(1,$E$3)),"")</x:f>
      </x:c>
      <x:c r="AV78" s="68" t="str">
        <x:f>IF(COLUMN()-2&lt;=$E$3,INDEX($B$10:$B$59,RANDBETWEEN(1,$E$3)),"")</x:f>
      </x:c>
      <x:c r="AW78" s="68" t="str">
        <x:f>IF(COLUMN()-2&lt;=$E$3,INDEX($B$10:$B$59,RANDBETWEEN(1,$E$3)),"")</x:f>
      </x:c>
      <x:c r="AX78" s="68" t="str">
        <x:f>IF(COLUMN()-2&lt;=$E$3,INDEX($B$10:$B$59,RANDBETWEEN(1,$E$3)),"")</x:f>
      </x:c>
      <x:c r="AY78" s="68" t="str">
        <x:f>IF(COLUMN()-2&lt;=$E$3,INDEX($B$10:$B$59,RANDBETWEEN(1,$E$3)),"")</x:f>
      </x:c>
      <x:c r="AZ78" s="68" t="str">
        <x:f>IF(COLUMN()-2&lt;=$E$3,INDEX($B$10:$B$59,RANDBETWEEN(1,$E$3)),"")</x:f>
      </x:c>
      <x:c r="BA78" s="68" t="str">
        <x:f>IF($E$3=0,"",AVERAGE(C78:AZ78))</x:f>
      </x:c>
    </x:row>
    <x:row r="79">
      <x:c r="A79" s="76" t="n">
        <x:v>15</x:v>
      </x:c>
      <x:c r="B79" s="76"/>
      <x:c r="C79" s="104" t="str">
        <x:f>IF(COLUMN()-2&lt;=$E$3,INDEX($B$10:$B$59,RANDBETWEEN(1,$E$3)),"")</x:f>
      </x:c>
      <x:c r="D79" s="104" t="str">
        <x:f>IF(COLUMN()-2&lt;=$E$3,INDEX($B$10:$B$59,RANDBETWEEN(1,$E$3)),"")</x:f>
      </x:c>
      <x:c r="E79" s="104" t="str">
        <x:f>IF(COLUMN()-2&lt;=$E$3,INDEX($B$10:$B$59,RANDBETWEEN(1,$E$3)),"")</x:f>
      </x:c>
      <x:c r="F79" s="104" t="str">
        <x:f>IF(COLUMN()-2&lt;=$E$3,INDEX($B$10:$B$59,RANDBETWEEN(1,$E$3)),"")</x:f>
      </x:c>
      <x:c r="G79" s="104" t="str">
        <x:f>IF(COLUMN()-2&lt;=$E$3,INDEX($B$10:$B$59,RANDBETWEEN(1,$E$3)),"")</x:f>
      </x:c>
      <x:c r="H79" s="104" t="str">
        <x:f>IF(COLUMN()-2&lt;=$E$3,INDEX($B$10:$B$59,RANDBETWEEN(1,$E$3)),"")</x:f>
      </x:c>
      <x:c r="I79" s="104" t="str">
        <x:f>IF(COLUMN()-2&lt;=$E$3,INDEX($B$10:$B$59,RANDBETWEEN(1,$E$3)),"")</x:f>
      </x:c>
      <x:c r="J79" s="104" t="str">
        <x:f>IF(COLUMN()-2&lt;=$E$3,INDEX($B$10:$B$59,RANDBETWEEN(1,$E$3)),"")</x:f>
      </x:c>
      <x:c r="K79" s="68" t="str">
        <x:f>IF(COLUMN()-2&lt;=$E$3,INDEX($B$10:$B$59,RANDBETWEEN(1,$E$3)),"")</x:f>
      </x:c>
      <x:c r="L79" s="68" t="str">
        <x:f>IF(COLUMN()-2&lt;=$E$3,INDEX($B$10:$B$59,RANDBETWEEN(1,$E$3)),"")</x:f>
      </x:c>
      <x:c r="M79" s="68" t="str">
        <x:f>IF(COLUMN()-2&lt;=$E$3,INDEX($B$10:$B$59,RANDBETWEEN(1,$E$3)),"")</x:f>
      </x:c>
      <x:c r="N79" s="68" t="str">
        <x:f>IF(COLUMN()-2&lt;=$E$3,INDEX($B$10:$B$59,RANDBETWEEN(1,$E$3)),"")</x:f>
      </x:c>
      <x:c r="O79" s="68" t="str">
        <x:f>IF(COLUMN()-2&lt;=$E$3,INDEX($B$10:$B$59,RANDBETWEEN(1,$E$3)),"")</x:f>
      </x:c>
      <x:c r="P79" s="68" t="str">
        <x:f>IF(COLUMN()-2&lt;=$E$3,INDEX($B$10:$B$59,RANDBETWEEN(1,$E$3)),"")</x:f>
      </x:c>
      <x:c r="Q79" s="68" t="str">
        <x:f>IF(COLUMN()-2&lt;=$E$3,INDEX($B$10:$B$59,RANDBETWEEN(1,$E$3)),"")</x:f>
      </x:c>
      <x:c r="R79" s="68" t="str">
        <x:f>IF(COLUMN()-2&lt;=$E$3,INDEX($B$10:$B$59,RANDBETWEEN(1,$E$3)),"")</x:f>
      </x:c>
      <x:c r="S79" s="68" t="str">
        <x:f>IF(COLUMN()-2&lt;=$E$3,INDEX($B$10:$B$59,RANDBETWEEN(1,$E$3)),"")</x:f>
      </x:c>
      <x:c r="T79" s="68" t="str">
        <x:f>IF(COLUMN()-2&lt;=$E$3,INDEX($B$10:$B$59,RANDBETWEEN(1,$E$3)),"")</x:f>
      </x:c>
      <x:c r="U79" s="68" t="str">
        <x:f>IF(COLUMN()-2&lt;=$E$3,INDEX($B$10:$B$59,RANDBETWEEN(1,$E$3)),"")</x:f>
      </x:c>
      <x:c r="V79" s="68" t="str">
        <x:f>IF(COLUMN()-2&lt;=$E$3,INDEX($B$10:$B$59,RANDBETWEEN(1,$E$3)),"")</x:f>
      </x:c>
      <x:c r="W79" s="68" t="str">
        <x:f>IF(COLUMN()-2&lt;=$E$3,INDEX($B$10:$B$59,RANDBETWEEN(1,$E$3)),"")</x:f>
      </x:c>
      <x:c r="X79" s="68" t="str">
        <x:f>IF(COLUMN()-2&lt;=$E$3,INDEX($B$10:$B$59,RANDBETWEEN(1,$E$3)),"")</x:f>
      </x:c>
      <x:c r="Y79" s="68" t="str">
        <x:f>IF(COLUMN()-2&lt;=$E$3,INDEX($B$10:$B$59,RANDBETWEEN(1,$E$3)),"")</x:f>
      </x:c>
      <x:c r="Z79" s="68" t="str">
        <x:f>IF(COLUMN()-2&lt;=$E$3,INDEX($B$10:$B$59,RANDBETWEEN(1,$E$3)),"")</x:f>
      </x:c>
      <x:c r="AA79" s="68" t="str">
        <x:f>IF(COLUMN()-2&lt;=$E$3,INDEX($B$10:$B$59,RANDBETWEEN(1,$E$3)),"")</x:f>
      </x:c>
      <x:c r="AB79" s="68" t="str">
        <x:f>IF(COLUMN()-2&lt;=$E$3,INDEX($B$10:$B$59,RANDBETWEEN(1,$E$3)),"")</x:f>
      </x:c>
      <x:c r="AC79" s="68" t="str">
        <x:f>IF(COLUMN()-2&lt;=$E$3,INDEX($B$10:$B$59,RANDBETWEEN(1,$E$3)),"")</x:f>
      </x:c>
      <x:c r="AD79" s="68" t="str">
        <x:f>IF(COLUMN()-2&lt;=$E$3,INDEX($B$10:$B$59,RANDBETWEEN(1,$E$3)),"")</x:f>
      </x:c>
      <x:c r="AE79" s="68" t="str">
        <x:f>IF(COLUMN()-2&lt;=$E$3,INDEX($B$10:$B$59,RANDBETWEEN(1,$E$3)),"")</x:f>
      </x:c>
      <x:c r="AF79" s="68" t="str">
        <x:f>IF(COLUMN()-2&lt;=$E$3,INDEX($B$10:$B$59,RANDBETWEEN(1,$E$3)),"")</x:f>
      </x:c>
      <x:c r="AG79" s="68" t="str">
        <x:f>IF(COLUMN()-2&lt;=$E$3,INDEX($B$10:$B$59,RANDBETWEEN(1,$E$3)),"")</x:f>
      </x:c>
      <x:c r="AH79" s="68" t="str">
        <x:f>IF(COLUMN()-2&lt;=$E$3,INDEX($B$10:$B$59,RANDBETWEEN(1,$E$3)),"")</x:f>
      </x:c>
      <x:c r="AI79" s="68" t="str">
        <x:f>IF(COLUMN()-2&lt;=$E$3,INDEX($B$10:$B$59,RANDBETWEEN(1,$E$3)),"")</x:f>
      </x:c>
      <x:c r="AJ79" s="68" t="str">
        <x:f>IF(COLUMN()-2&lt;=$E$3,INDEX($B$10:$B$59,RANDBETWEEN(1,$E$3)),"")</x:f>
      </x:c>
      <x:c r="AK79" s="68" t="str">
        <x:f>IF(COLUMN()-2&lt;=$E$3,INDEX($B$10:$B$59,RANDBETWEEN(1,$E$3)),"")</x:f>
      </x:c>
      <x:c r="AL79" s="68" t="str">
        <x:f>IF(COLUMN()-2&lt;=$E$3,INDEX($B$10:$B$59,RANDBETWEEN(1,$E$3)),"")</x:f>
      </x:c>
      <x:c r="AM79" s="68" t="str">
        <x:f>IF(COLUMN()-2&lt;=$E$3,INDEX($B$10:$B$59,RANDBETWEEN(1,$E$3)),"")</x:f>
      </x:c>
      <x:c r="AN79" s="68" t="str">
        <x:f>IF(COLUMN()-2&lt;=$E$3,INDEX($B$10:$B$59,RANDBETWEEN(1,$E$3)),"")</x:f>
      </x:c>
      <x:c r="AO79" s="68" t="str">
        <x:f>IF(COLUMN()-2&lt;=$E$3,INDEX($B$10:$B$59,RANDBETWEEN(1,$E$3)),"")</x:f>
      </x:c>
      <x:c r="AP79" s="68" t="str">
        <x:f>IF(COLUMN()-2&lt;=$E$3,INDEX($B$10:$B$59,RANDBETWEEN(1,$E$3)),"")</x:f>
      </x:c>
      <x:c r="AQ79" s="68" t="str">
        <x:f>IF(COLUMN()-2&lt;=$E$3,INDEX($B$10:$B$59,RANDBETWEEN(1,$E$3)),"")</x:f>
      </x:c>
      <x:c r="AR79" s="68" t="str">
        <x:f>IF(COLUMN()-2&lt;=$E$3,INDEX($B$10:$B$59,RANDBETWEEN(1,$E$3)),"")</x:f>
      </x:c>
      <x:c r="AS79" s="68" t="str">
        <x:f>IF(COLUMN()-2&lt;=$E$3,INDEX($B$10:$B$59,RANDBETWEEN(1,$E$3)),"")</x:f>
      </x:c>
      <x:c r="AT79" s="68" t="str">
        <x:f>IF(COLUMN()-2&lt;=$E$3,INDEX($B$10:$B$59,RANDBETWEEN(1,$E$3)),"")</x:f>
      </x:c>
      <x:c r="AU79" s="68" t="str">
        <x:f>IF(COLUMN()-2&lt;=$E$3,INDEX($B$10:$B$59,RANDBETWEEN(1,$E$3)),"")</x:f>
      </x:c>
      <x:c r="AV79" s="68" t="str">
        <x:f>IF(COLUMN()-2&lt;=$E$3,INDEX($B$10:$B$59,RANDBETWEEN(1,$E$3)),"")</x:f>
      </x:c>
      <x:c r="AW79" s="68" t="str">
        <x:f>IF(COLUMN()-2&lt;=$E$3,INDEX($B$10:$B$59,RANDBETWEEN(1,$E$3)),"")</x:f>
      </x:c>
      <x:c r="AX79" s="68" t="str">
        <x:f>IF(COLUMN()-2&lt;=$E$3,INDEX($B$10:$B$59,RANDBETWEEN(1,$E$3)),"")</x:f>
      </x:c>
      <x:c r="AY79" s="68" t="str">
        <x:f>IF(COLUMN()-2&lt;=$E$3,INDEX($B$10:$B$59,RANDBETWEEN(1,$E$3)),"")</x:f>
      </x:c>
      <x:c r="AZ79" s="68" t="str">
        <x:f>IF(COLUMN()-2&lt;=$E$3,INDEX($B$10:$B$59,RANDBETWEEN(1,$E$3)),"")</x:f>
      </x:c>
      <x:c r="BA79" s="68" t="str">
        <x:f>IF($E$3=0,"",AVERAGE(C79:AZ79))</x:f>
      </x:c>
    </x:row>
    <x:row r="80">
      <x:c r="A80" s="76" t="n">
        <x:v>16</x:v>
      </x:c>
      <x:c r="B80" s="76"/>
      <x:c r="C80" s="104" t="str">
        <x:f>IF(COLUMN()-2&lt;=$E$3,INDEX($B$10:$B$59,RANDBETWEEN(1,$E$3)),"")</x:f>
      </x:c>
      <x:c r="D80" s="104" t="str">
        <x:f>IF(COLUMN()-2&lt;=$E$3,INDEX($B$10:$B$59,RANDBETWEEN(1,$E$3)),"")</x:f>
      </x:c>
      <x:c r="E80" s="104" t="str">
        <x:f>IF(COLUMN()-2&lt;=$E$3,INDEX($B$10:$B$59,RANDBETWEEN(1,$E$3)),"")</x:f>
      </x:c>
      <x:c r="F80" s="104" t="str">
        <x:f>IF(COLUMN()-2&lt;=$E$3,INDEX($B$10:$B$59,RANDBETWEEN(1,$E$3)),"")</x:f>
      </x:c>
      <x:c r="G80" s="104" t="str">
        <x:f>IF(COLUMN()-2&lt;=$E$3,INDEX($B$10:$B$59,RANDBETWEEN(1,$E$3)),"")</x:f>
      </x:c>
      <x:c r="H80" s="104" t="str">
        <x:f>IF(COLUMN()-2&lt;=$E$3,INDEX($B$10:$B$59,RANDBETWEEN(1,$E$3)),"")</x:f>
      </x:c>
      <x:c r="I80" s="104" t="str">
        <x:f>IF(COLUMN()-2&lt;=$E$3,INDEX($B$10:$B$59,RANDBETWEEN(1,$E$3)),"")</x:f>
      </x:c>
      <x:c r="J80" s="104" t="str">
        <x:f>IF(COLUMN()-2&lt;=$E$3,INDEX($B$10:$B$59,RANDBETWEEN(1,$E$3)),"")</x:f>
      </x:c>
      <x:c r="K80" s="68" t="str">
        <x:f>IF(COLUMN()-2&lt;=$E$3,INDEX($B$10:$B$59,RANDBETWEEN(1,$E$3)),"")</x:f>
      </x:c>
      <x:c r="L80" s="68" t="str">
        <x:f>IF(COLUMN()-2&lt;=$E$3,INDEX($B$10:$B$59,RANDBETWEEN(1,$E$3)),"")</x:f>
      </x:c>
      <x:c r="M80" s="68" t="str">
        <x:f>IF(COLUMN()-2&lt;=$E$3,INDEX($B$10:$B$59,RANDBETWEEN(1,$E$3)),"")</x:f>
      </x:c>
      <x:c r="N80" s="68" t="str">
        <x:f>IF(COLUMN()-2&lt;=$E$3,INDEX($B$10:$B$59,RANDBETWEEN(1,$E$3)),"")</x:f>
      </x:c>
      <x:c r="O80" s="68" t="str">
        <x:f>IF(COLUMN()-2&lt;=$E$3,INDEX($B$10:$B$59,RANDBETWEEN(1,$E$3)),"")</x:f>
      </x:c>
      <x:c r="P80" s="68" t="str">
        <x:f>IF(COLUMN()-2&lt;=$E$3,INDEX($B$10:$B$59,RANDBETWEEN(1,$E$3)),"")</x:f>
      </x:c>
      <x:c r="Q80" s="68" t="str">
        <x:f>IF(COLUMN()-2&lt;=$E$3,INDEX($B$10:$B$59,RANDBETWEEN(1,$E$3)),"")</x:f>
      </x:c>
      <x:c r="R80" s="68" t="str">
        <x:f>IF(COLUMN()-2&lt;=$E$3,INDEX($B$10:$B$59,RANDBETWEEN(1,$E$3)),"")</x:f>
      </x:c>
      <x:c r="S80" s="68" t="str">
        <x:f>IF(COLUMN()-2&lt;=$E$3,INDEX($B$10:$B$59,RANDBETWEEN(1,$E$3)),"")</x:f>
      </x:c>
      <x:c r="T80" s="68" t="str">
        <x:f>IF(COLUMN()-2&lt;=$E$3,INDEX($B$10:$B$59,RANDBETWEEN(1,$E$3)),"")</x:f>
      </x:c>
      <x:c r="U80" s="68" t="str">
        <x:f>IF(COLUMN()-2&lt;=$E$3,INDEX($B$10:$B$59,RANDBETWEEN(1,$E$3)),"")</x:f>
      </x:c>
      <x:c r="V80" s="68" t="str">
        <x:f>IF(COLUMN()-2&lt;=$E$3,INDEX($B$10:$B$59,RANDBETWEEN(1,$E$3)),"")</x:f>
      </x:c>
      <x:c r="W80" s="68" t="str">
        <x:f>IF(COLUMN()-2&lt;=$E$3,INDEX($B$10:$B$59,RANDBETWEEN(1,$E$3)),"")</x:f>
      </x:c>
      <x:c r="X80" s="68" t="str">
        <x:f>IF(COLUMN()-2&lt;=$E$3,INDEX($B$10:$B$59,RANDBETWEEN(1,$E$3)),"")</x:f>
      </x:c>
      <x:c r="Y80" s="68" t="str">
        <x:f>IF(COLUMN()-2&lt;=$E$3,INDEX($B$10:$B$59,RANDBETWEEN(1,$E$3)),"")</x:f>
      </x:c>
      <x:c r="Z80" s="68" t="str">
        <x:f>IF(COLUMN()-2&lt;=$E$3,INDEX($B$10:$B$59,RANDBETWEEN(1,$E$3)),"")</x:f>
      </x:c>
      <x:c r="AA80" s="68" t="str">
        <x:f>IF(COLUMN()-2&lt;=$E$3,INDEX($B$10:$B$59,RANDBETWEEN(1,$E$3)),"")</x:f>
      </x:c>
      <x:c r="AB80" s="68" t="str">
        <x:f>IF(COLUMN()-2&lt;=$E$3,INDEX($B$10:$B$59,RANDBETWEEN(1,$E$3)),"")</x:f>
      </x:c>
      <x:c r="AC80" s="68" t="str">
        <x:f>IF(COLUMN()-2&lt;=$E$3,INDEX($B$10:$B$59,RANDBETWEEN(1,$E$3)),"")</x:f>
      </x:c>
      <x:c r="AD80" s="68" t="str">
        <x:f>IF(COLUMN()-2&lt;=$E$3,INDEX($B$10:$B$59,RANDBETWEEN(1,$E$3)),"")</x:f>
      </x:c>
      <x:c r="AE80" s="68" t="str">
        <x:f>IF(COLUMN()-2&lt;=$E$3,INDEX($B$10:$B$59,RANDBETWEEN(1,$E$3)),"")</x:f>
      </x:c>
      <x:c r="AF80" s="68" t="str">
        <x:f>IF(COLUMN()-2&lt;=$E$3,INDEX($B$10:$B$59,RANDBETWEEN(1,$E$3)),"")</x:f>
      </x:c>
      <x:c r="AG80" s="68" t="str">
        <x:f>IF(COLUMN()-2&lt;=$E$3,INDEX($B$10:$B$59,RANDBETWEEN(1,$E$3)),"")</x:f>
      </x:c>
      <x:c r="AH80" s="68" t="str">
        <x:f>IF(COLUMN()-2&lt;=$E$3,INDEX($B$10:$B$59,RANDBETWEEN(1,$E$3)),"")</x:f>
      </x:c>
      <x:c r="AI80" s="68" t="str">
        <x:f>IF(COLUMN()-2&lt;=$E$3,INDEX($B$10:$B$59,RANDBETWEEN(1,$E$3)),"")</x:f>
      </x:c>
      <x:c r="AJ80" s="68" t="str">
        <x:f>IF(COLUMN()-2&lt;=$E$3,INDEX($B$10:$B$59,RANDBETWEEN(1,$E$3)),"")</x:f>
      </x:c>
      <x:c r="AK80" s="68" t="str">
        <x:f>IF(COLUMN()-2&lt;=$E$3,INDEX($B$10:$B$59,RANDBETWEEN(1,$E$3)),"")</x:f>
      </x:c>
      <x:c r="AL80" s="68" t="str">
        <x:f>IF(COLUMN()-2&lt;=$E$3,INDEX($B$10:$B$59,RANDBETWEEN(1,$E$3)),"")</x:f>
      </x:c>
      <x:c r="AM80" s="68" t="str">
        <x:f>IF(COLUMN()-2&lt;=$E$3,INDEX($B$10:$B$59,RANDBETWEEN(1,$E$3)),"")</x:f>
      </x:c>
      <x:c r="AN80" s="68" t="str">
        <x:f>IF(COLUMN()-2&lt;=$E$3,INDEX($B$10:$B$59,RANDBETWEEN(1,$E$3)),"")</x:f>
      </x:c>
      <x:c r="AO80" s="68" t="str">
        <x:f>IF(COLUMN()-2&lt;=$E$3,INDEX($B$10:$B$59,RANDBETWEEN(1,$E$3)),"")</x:f>
      </x:c>
      <x:c r="AP80" s="68" t="str">
        <x:f>IF(COLUMN()-2&lt;=$E$3,INDEX($B$10:$B$59,RANDBETWEEN(1,$E$3)),"")</x:f>
      </x:c>
      <x:c r="AQ80" s="68" t="str">
        <x:f>IF(COLUMN()-2&lt;=$E$3,INDEX($B$10:$B$59,RANDBETWEEN(1,$E$3)),"")</x:f>
      </x:c>
      <x:c r="AR80" s="68" t="str">
        <x:f>IF(COLUMN()-2&lt;=$E$3,INDEX($B$10:$B$59,RANDBETWEEN(1,$E$3)),"")</x:f>
      </x:c>
      <x:c r="AS80" s="68" t="str">
        <x:f>IF(COLUMN()-2&lt;=$E$3,INDEX($B$10:$B$59,RANDBETWEEN(1,$E$3)),"")</x:f>
      </x:c>
      <x:c r="AT80" s="68" t="str">
        <x:f>IF(COLUMN()-2&lt;=$E$3,INDEX($B$10:$B$59,RANDBETWEEN(1,$E$3)),"")</x:f>
      </x:c>
      <x:c r="AU80" s="68" t="str">
        <x:f>IF(COLUMN()-2&lt;=$E$3,INDEX($B$10:$B$59,RANDBETWEEN(1,$E$3)),"")</x:f>
      </x:c>
      <x:c r="AV80" s="68" t="str">
        <x:f>IF(COLUMN()-2&lt;=$E$3,INDEX($B$10:$B$59,RANDBETWEEN(1,$E$3)),"")</x:f>
      </x:c>
      <x:c r="AW80" s="68" t="str">
        <x:f>IF(COLUMN()-2&lt;=$E$3,INDEX($B$10:$B$59,RANDBETWEEN(1,$E$3)),"")</x:f>
      </x:c>
      <x:c r="AX80" s="68" t="str">
        <x:f>IF(COLUMN()-2&lt;=$E$3,INDEX($B$10:$B$59,RANDBETWEEN(1,$E$3)),"")</x:f>
      </x:c>
      <x:c r="AY80" s="68" t="str">
        <x:f>IF(COLUMN()-2&lt;=$E$3,INDEX($B$10:$B$59,RANDBETWEEN(1,$E$3)),"")</x:f>
      </x:c>
      <x:c r="AZ80" s="68" t="str">
        <x:f>IF(COLUMN()-2&lt;=$E$3,INDEX($B$10:$B$59,RANDBETWEEN(1,$E$3)),"")</x:f>
      </x:c>
      <x:c r="BA80" s="68" t="str">
        <x:f>IF($E$3=0,"",AVERAGE(C80:AZ80))</x:f>
      </x:c>
    </x:row>
    <x:row r="81">
      <x:c r="A81" t="n">
        <x:v>17</x:v>
      </x:c>
      <x:c r="C81" s="68" t="str">
        <x:f>IF(COLUMN()-2&lt;=$E$3,INDEX($B$10:$B$59,RANDBETWEEN(1,$E$3)),"")</x:f>
      </x:c>
      <x:c r="D81" s="68" t="str">
        <x:f>IF(COLUMN()-2&lt;=$E$3,INDEX($B$10:$B$59,RANDBETWEEN(1,$E$3)),"")</x:f>
      </x:c>
      <x:c r="E81" s="68" t="str">
        <x:f>IF(COLUMN()-2&lt;=$E$3,INDEX($B$10:$B$59,RANDBETWEEN(1,$E$3)),"")</x:f>
      </x:c>
      <x:c r="F81" s="68" t="str">
        <x:f>IF(COLUMN()-2&lt;=$E$3,INDEX($B$10:$B$59,RANDBETWEEN(1,$E$3)),"")</x:f>
      </x:c>
      <x:c r="G81" s="68" t="str">
        <x:f>IF(COLUMN()-2&lt;=$E$3,INDEX($B$10:$B$59,RANDBETWEEN(1,$E$3)),"")</x:f>
      </x:c>
      <x:c r="H81" s="68" t="str">
        <x:f>IF(COLUMN()-2&lt;=$E$3,INDEX($B$10:$B$59,RANDBETWEEN(1,$E$3)),"")</x:f>
      </x:c>
      <x:c r="I81" s="68" t="str">
        <x:f>IF(COLUMN()-2&lt;=$E$3,INDEX($B$10:$B$59,RANDBETWEEN(1,$E$3)),"")</x:f>
      </x:c>
      <x:c r="J81" s="68" t="str">
        <x:f>IF(COLUMN()-2&lt;=$E$3,INDEX($B$10:$B$59,RANDBETWEEN(1,$E$3)),"")</x:f>
      </x:c>
      <x:c r="K81" s="68" t="str">
        <x:f>IF(COLUMN()-2&lt;=$E$3,INDEX($B$10:$B$59,RANDBETWEEN(1,$E$3)),"")</x:f>
      </x:c>
      <x:c r="L81" s="68" t="str">
        <x:f>IF(COLUMN()-2&lt;=$E$3,INDEX($B$10:$B$59,RANDBETWEEN(1,$E$3)),"")</x:f>
      </x:c>
      <x:c r="M81" s="68" t="str">
        <x:f>IF(COLUMN()-2&lt;=$E$3,INDEX($B$10:$B$59,RANDBETWEEN(1,$E$3)),"")</x:f>
      </x:c>
      <x:c r="N81" s="68" t="str">
        <x:f>IF(COLUMN()-2&lt;=$E$3,INDEX($B$10:$B$59,RANDBETWEEN(1,$E$3)),"")</x:f>
      </x:c>
      <x:c r="O81" s="68" t="str">
        <x:f>IF(COLUMN()-2&lt;=$E$3,INDEX($B$10:$B$59,RANDBETWEEN(1,$E$3)),"")</x:f>
      </x:c>
      <x:c r="P81" s="68" t="str">
        <x:f>IF(COLUMN()-2&lt;=$E$3,INDEX($B$10:$B$59,RANDBETWEEN(1,$E$3)),"")</x:f>
      </x:c>
      <x:c r="Q81" s="68" t="str">
        <x:f>IF(COLUMN()-2&lt;=$E$3,INDEX($B$10:$B$59,RANDBETWEEN(1,$E$3)),"")</x:f>
      </x:c>
      <x:c r="R81" s="68" t="str">
        <x:f>IF(COLUMN()-2&lt;=$E$3,INDEX($B$10:$B$59,RANDBETWEEN(1,$E$3)),"")</x:f>
      </x:c>
      <x:c r="S81" s="68" t="str">
        <x:f>IF(COLUMN()-2&lt;=$E$3,INDEX($B$10:$B$59,RANDBETWEEN(1,$E$3)),"")</x:f>
      </x:c>
      <x:c r="T81" s="68" t="str">
        <x:f>IF(COLUMN()-2&lt;=$E$3,INDEX($B$10:$B$59,RANDBETWEEN(1,$E$3)),"")</x:f>
      </x:c>
      <x:c r="U81" s="68" t="str">
        <x:f>IF(COLUMN()-2&lt;=$E$3,INDEX($B$10:$B$59,RANDBETWEEN(1,$E$3)),"")</x:f>
      </x:c>
      <x:c r="V81" s="68" t="str">
        <x:f>IF(COLUMN()-2&lt;=$E$3,INDEX($B$10:$B$59,RANDBETWEEN(1,$E$3)),"")</x:f>
      </x:c>
      <x:c r="W81" s="68" t="str">
        <x:f>IF(COLUMN()-2&lt;=$E$3,INDEX($B$10:$B$59,RANDBETWEEN(1,$E$3)),"")</x:f>
      </x:c>
      <x:c r="X81" s="68" t="str">
        <x:f>IF(COLUMN()-2&lt;=$E$3,INDEX($B$10:$B$59,RANDBETWEEN(1,$E$3)),"")</x:f>
      </x:c>
      <x:c r="Y81" s="68" t="str">
        <x:f>IF(COLUMN()-2&lt;=$E$3,INDEX($B$10:$B$59,RANDBETWEEN(1,$E$3)),"")</x:f>
      </x:c>
      <x:c r="Z81" s="68" t="str">
        <x:f>IF(COLUMN()-2&lt;=$E$3,INDEX($B$10:$B$59,RANDBETWEEN(1,$E$3)),"")</x:f>
      </x:c>
      <x:c r="AA81" s="68" t="str">
        <x:f>IF(COLUMN()-2&lt;=$E$3,INDEX($B$10:$B$59,RANDBETWEEN(1,$E$3)),"")</x:f>
      </x:c>
      <x:c r="AB81" s="68" t="str">
        <x:f>IF(COLUMN()-2&lt;=$E$3,INDEX($B$10:$B$59,RANDBETWEEN(1,$E$3)),"")</x:f>
      </x:c>
      <x:c r="AC81" s="68" t="str">
        <x:f>IF(COLUMN()-2&lt;=$E$3,INDEX($B$10:$B$59,RANDBETWEEN(1,$E$3)),"")</x:f>
      </x:c>
      <x:c r="AD81" s="68" t="str">
        <x:f>IF(COLUMN()-2&lt;=$E$3,INDEX($B$10:$B$59,RANDBETWEEN(1,$E$3)),"")</x:f>
      </x:c>
      <x:c r="AE81" s="68" t="str">
        <x:f>IF(COLUMN()-2&lt;=$E$3,INDEX($B$10:$B$59,RANDBETWEEN(1,$E$3)),"")</x:f>
      </x:c>
      <x:c r="AF81" s="68" t="str">
        <x:f>IF(COLUMN()-2&lt;=$E$3,INDEX($B$10:$B$59,RANDBETWEEN(1,$E$3)),"")</x:f>
      </x:c>
      <x:c r="AG81" s="68" t="str">
        <x:f>IF(COLUMN()-2&lt;=$E$3,INDEX($B$10:$B$59,RANDBETWEEN(1,$E$3)),"")</x:f>
      </x:c>
      <x:c r="AH81" s="68" t="str">
        <x:f>IF(COLUMN()-2&lt;=$E$3,INDEX($B$10:$B$59,RANDBETWEEN(1,$E$3)),"")</x:f>
      </x:c>
      <x:c r="AI81" s="68" t="str">
        <x:f>IF(COLUMN()-2&lt;=$E$3,INDEX($B$10:$B$59,RANDBETWEEN(1,$E$3)),"")</x:f>
      </x:c>
      <x:c r="AJ81" s="68" t="str">
        <x:f>IF(COLUMN()-2&lt;=$E$3,INDEX($B$10:$B$59,RANDBETWEEN(1,$E$3)),"")</x:f>
      </x:c>
      <x:c r="AK81" s="68" t="str">
        <x:f>IF(COLUMN()-2&lt;=$E$3,INDEX($B$10:$B$59,RANDBETWEEN(1,$E$3)),"")</x:f>
      </x:c>
      <x:c r="AL81" s="68" t="str">
        <x:f>IF(COLUMN()-2&lt;=$E$3,INDEX($B$10:$B$59,RANDBETWEEN(1,$E$3)),"")</x:f>
      </x:c>
      <x:c r="AM81" s="68" t="str">
        <x:f>IF(COLUMN()-2&lt;=$E$3,INDEX($B$10:$B$59,RANDBETWEEN(1,$E$3)),"")</x:f>
      </x:c>
      <x:c r="AN81" s="68" t="str">
        <x:f>IF(COLUMN()-2&lt;=$E$3,INDEX($B$10:$B$59,RANDBETWEEN(1,$E$3)),"")</x:f>
      </x:c>
      <x:c r="AO81" s="68" t="str">
        <x:f>IF(COLUMN()-2&lt;=$E$3,INDEX($B$10:$B$59,RANDBETWEEN(1,$E$3)),"")</x:f>
      </x:c>
      <x:c r="AP81" s="68" t="str">
        <x:f>IF(COLUMN()-2&lt;=$E$3,INDEX($B$10:$B$59,RANDBETWEEN(1,$E$3)),"")</x:f>
      </x:c>
      <x:c r="AQ81" s="68" t="str">
        <x:f>IF(COLUMN()-2&lt;=$E$3,INDEX($B$10:$B$59,RANDBETWEEN(1,$E$3)),"")</x:f>
      </x:c>
      <x:c r="AR81" s="68" t="str">
        <x:f>IF(COLUMN()-2&lt;=$E$3,INDEX($B$10:$B$59,RANDBETWEEN(1,$E$3)),"")</x:f>
      </x:c>
      <x:c r="AS81" s="68" t="str">
        <x:f>IF(COLUMN()-2&lt;=$E$3,INDEX($B$10:$B$59,RANDBETWEEN(1,$E$3)),"")</x:f>
      </x:c>
      <x:c r="AT81" s="68" t="str">
        <x:f>IF(COLUMN()-2&lt;=$E$3,INDEX($B$10:$B$59,RANDBETWEEN(1,$E$3)),"")</x:f>
      </x:c>
      <x:c r="AU81" s="68" t="str">
        <x:f>IF(COLUMN()-2&lt;=$E$3,INDEX($B$10:$B$59,RANDBETWEEN(1,$E$3)),"")</x:f>
      </x:c>
      <x:c r="AV81" s="68" t="str">
        <x:f>IF(COLUMN()-2&lt;=$E$3,INDEX($B$10:$B$59,RANDBETWEEN(1,$E$3)),"")</x:f>
      </x:c>
      <x:c r="AW81" s="68" t="str">
        <x:f>IF(COLUMN()-2&lt;=$E$3,INDEX($B$10:$B$59,RANDBETWEEN(1,$E$3)),"")</x:f>
      </x:c>
      <x:c r="AX81" s="68" t="str">
        <x:f>IF(COLUMN()-2&lt;=$E$3,INDEX($B$10:$B$59,RANDBETWEEN(1,$E$3)),"")</x:f>
      </x:c>
      <x:c r="AY81" s="68" t="str">
        <x:f>IF(COLUMN()-2&lt;=$E$3,INDEX($B$10:$B$59,RANDBETWEEN(1,$E$3)),"")</x:f>
      </x:c>
      <x:c r="AZ81" s="68" t="str">
        <x:f>IF(COLUMN()-2&lt;=$E$3,INDEX($B$10:$B$59,RANDBETWEEN(1,$E$3)),"")</x:f>
      </x:c>
      <x:c r="BA81" s="68" t="str">
        <x:f>IF($E$3=0,"",AVERAGE(C81:AZ81))</x:f>
      </x:c>
    </x:row>
    <x:row r="82">
      <x:c r="A82" t="n">
        <x:v>18</x:v>
      </x:c>
      <x:c r="C82" s="68" t="str">
        <x:f>IF(COLUMN()-2&lt;=$E$3,INDEX($B$10:$B$59,RANDBETWEEN(1,$E$3)),"")</x:f>
      </x:c>
      <x:c r="D82" s="68" t="str">
        <x:f>IF(COLUMN()-2&lt;=$E$3,INDEX($B$10:$B$59,RANDBETWEEN(1,$E$3)),"")</x:f>
      </x:c>
      <x:c r="E82" s="68" t="str">
        <x:f>IF(COLUMN()-2&lt;=$E$3,INDEX($B$10:$B$59,RANDBETWEEN(1,$E$3)),"")</x:f>
      </x:c>
      <x:c r="F82" s="68" t="str">
        <x:f>IF(COLUMN()-2&lt;=$E$3,INDEX($B$10:$B$59,RANDBETWEEN(1,$E$3)),"")</x:f>
      </x:c>
      <x:c r="G82" s="68" t="str">
        <x:f>IF(COLUMN()-2&lt;=$E$3,INDEX($B$10:$B$59,RANDBETWEEN(1,$E$3)),"")</x:f>
      </x:c>
      <x:c r="H82" s="68" t="str">
        <x:f>IF(COLUMN()-2&lt;=$E$3,INDEX($B$10:$B$59,RANDBETWEEN(1,$E$3)),"")</x:f>
      </x:c>
      <x:c r="I82" s="68" t="str">
        <x:f>IF(COLUMN()-2&lt;=$E$3,INDEX($B$10:$B$59,RANDBETWEEN(1,$E$3)),"")</x:f>
      </x:c>
      <x:c r="J82" s="68" t="str">
        <x:f>IF(COLUMN()-2&lt;=$E$3,INDEX($B$10:$B$59,RANDBETWEEN(1,$E$3)),"")</x:f>
      </x:c>
      <x:c r="K82" s="68" t="str">
        <x:f>IF(COLUMN()-2&lt;=$E$3,INDEX($B$10:$B$59,RANDBETWEEN(1,$E$3)),"")</x:f>
      </x:c>
      <x:c r="L82" s="68" t="str">
        <x:f>IF(COLUMN()-2&lt;=$E$3,INDEX($B$10:$B$59,RANDBETWEEN(1,$E$3)),"")</x:f>
      </x:c>
      <x:c r="M82" s="68" t="str">
        <x:f>IF(COLUMN()-2&lt;=$E$3,INDEX($B$10:$B$59,RANDBETWEEN(1,$E$3)),"")</x:f>
      </x:c>
      <x:c r="N82" s="68" t="str">
        <x:f>IF(COLUMN()-2&lt;=$E$3,INDEX($B$10:$B$59,RANDBETWEEN(1,$E$3)),"")</x:f>
      </x:c>
      <x:c r="O82" s="68" t="str">
        <x:f>IF(COLUMN()-2&lt;=$E$3,INDEX($B$10:$B$59,RANDBETWEEN(1,$E$3)),"")</x:f>
      </x:c>
      <x:c r="P82" s="68" t="str">
        <x:f>IF(COLUMN()-2&lt;=$E$3,INDEX($B$10:$B$59,RANDBETWEEN(1,$E$3)),"")</x:f>
      </x:c>
      <x:c r="Q82" s="68" t="str">
        <x:f>IF(COLUMN()-2&lt;=$E$3,INDEX($B$10:$B$59,RANDBETWEEN(1,$E$3)),"")</x:f>
      </x:c>
      <x:c r="R82" s="68" t="str">
        <x:f>IF(COLUMN()-2&lt;=$E$3,INDEX($B$10:$B$59,RANDBETWEEN(1,$E$3)),"")</x:f>
      </x:c>
      <x:c r="S82" s="68" t="str">
        <x:f>IF(COLUMN()-2&lt;=$E$3,INDEX($B$10:$B$59,RANDBETWEEN(1,$E$3)),"")</x:f>
      </x:c>
      <x:c r="T82" s="68" t="str">
        <x:f>IF(COLUMN()-2&lt;=$E$3,INDEX($B$10:$B$59,RANDBETWEEN(1,$E$3)),"")</x:f>
      </x:c>
      <x:c r="U82" s="68" t="str">
        <x:f>IF(COLUMN()-2&lt;=$E$3,INDEX($B$10:$B$59,RANDBETWEEN(1,$E$3)),"")</x:f>
      </x:c>
      <x:c r="V82" s="68" t="str">
        <x:f>IF(COLUMN()-2&lt;=$E$3,INDEX($B$10:$B$59,RANDBETWEEN(1,$E$3)),"")</x:f>
      </x:c>
      <x:c r="W82" s="68" t="str">
        <x:f>IF(COLUMN()-2&lt;=$E$3,INDEX($B$10:$B$59,RANDBETWEEN(1,$E$3)),"")</x:f>
      </x:c>
      <x:c r="X82" s="68" t="str">
        <x:f>IF(COLUMN()-2&lt;=$E$3,INDEX($B$10:$B$59,RANDBETWEEN(1,$E$3)),"")</x:f>
      </x:c>
      <x:c r="Y82" s="68" t="str">
        <x:f>IF(COLUMN()-2&lt;=$E$3,INDEX($B$10:$B$59,RANDBETWEEN(1,$E$3)),"")</x:f>
      </x:c>
      <x:c r="Z82" s="68" t="str">
        <x:f>IF(COLUMN()-2&lt;=$E$3,INDEX($B$10:$B$59,RANDBETWEEN(1,$E$3)),"")</x:f>
      </x:c>
      <x:c r="AA82" s="68" t="str">
        <x:f>IF(COLUMN()-2&lt;=$E$3,INDEX($B$10:$B$59,RANDBETWEEN(1,$E$3)),"")</x:f>
      </x:c>
      <x:c r="AB82" s="68" t="str">
        <x:f>IF(COLUMN()-2&lt;=$E$3,INDEX($B$10:$B$59,RANDBETWEEN(1,$E$3)),"")</x:f>
      </x:c>
      <x:c r="AC82" s="68" t="str">
        <x:f>IF(COLUMN()-2&lt;=$E$3,INDEX($B$10:$B$59,RANDBETWEEN(1,$E$3)),"")</x:f>
      </x:c>
      <x:c r="AD82" s="68" t="str">
        <x:f>IF(COLUMN()-2&lt;=$E$3,INDEX($B$10:$B$59,RANDBETWEEN(1,$E$3)),"")</x:f>
      </x:c>
      <x:c r="AE82" s="68" t="str">
        <x:f>IF(COLUMN()-2&lt;=$E$3,INDEX($B$10:$B$59,RANDBETWEEN(1,$E$3)),"")</x:f>
      </x:c>
      <x:c r="AF82" s="68" t="str">
        <x:f>IF(COLUMN()-2&lt;=$E$3,INDEX($B$10:$B$59,RANDBETWEEN(1,$E$3)),"")</x:f>
      </x:c>
      <x:c r="AG82" s="68" t="str">
        <x:f>IF(COLUMN()-2&lt;=$E$3,INDEX($B$10:$B$59,RANDBETWEEN(1,$E$3)),"")</x:f>
      </x:c>
      <x:c r="AH82" s="68" t="str">
        <x:f>IF(COLUMN()-2&lt;=$E$3,INDEX($B$10:$B$59,RANDBETWEEN(1,$E$3)),"")</x:f>
      </x:c>
      <x:c r="AI82" s="68" t="str">
        <x:f>IF(COLUMN()-2&lt;=$E$3,INDEX($B$10:$B$59,RANDBETWEEN(1,$E$3)),"")</x:f>
      </x:c>
      <x:c r="AJ82" s="68" t="str">
        <x:f>IF(COLUMN()-2&lt;=$E$3,INDEX($B$10:$B$59,RANDBETWEEN(1,$E$3)),"")</x:f>
      </x:c>
      <x:c r="AK82" s="68" t="str">
        <x:f>IF(COLUMN()-2&lt;=$E$3,INDEX($B$10:$B$59,RANDBETWEEN(1,$E$3)),"")</x:f>
      </x:c>
      <x:c r="AL82" s="68" t="str">
        <x:f>IF(COLUMN()-2&lt;=$E$3,INDEX($B$10:$B$59,RANDBETWEEN(1,$E$3)),"")</x:f>
      </x:c>
      <x:c r="AM82" s="68" t="str">
        <x:f>IF(COLUMN()-2&lt;=$E$3,INDEX($B$10:$B$59,RANDBETWEEN(1,$E$3)),"")</x:f>
      </x:c>
      <x:c r="AN82" s="68" t="str">
        <x:f>IF(COLUMN()-2&lt;=$E$3,INDEX($B$10:$B$59,RANDBETWEEN(1,$E$3)),"")</x:f>
      </x:c>
      <x:c r="AO82" s="68" t="str">
        <x:f>IF(COLUMN()-2&lt;=$E$3,INDEX($B$10:$B$59,RANDBETWEEN(1,$E$3)),"")</x:f>
      </x:c>
      <x:c r="AP82" s="68" t="str">
        <x:f>IF(COLUMN()-2&lt;=$E$3,INDEX($B$10:$B$59,RANDBETWEEN(1,$E$3)),"")</x:f>
      </x:c>
      <x:c r="AQ82" s="68" t="str">
        <x:f>IF(COLUMN()-2&lt;=$E$3,INDEX($B$10:$B$59,RANDBETWEEN(1,$E$3)),"")</x:f>
      </x:c>
      <x:c r="AR82" s="68" t="str">
        <x:f>IF(COLUMN()-2&lt;=$E$3,INDEX($B$10:$B$59,RANDBETWEEN(1,$E$3)),"")</x:f>
      </x:c>
      <x:c r="AS82" s="68" t="str">
        <x:f>IF(COLUMN()-2&lt;=$E$3,INDEX($B$10:$B$59,RANDBETWEEN(1,$E$3)),"")</x:f>
      </x:c>
      <x:c r="AT82" s="68" t="str">
        <x:f>IF(COLUMN()-2&lt;=$E$3,INDEX($B$10:$B$59,RANDBETWEEN(1,$E$3)),"")</x:f>
      </x:c>
      <x:c r="AU82" s="68" t="str">
        <x:f>IF(COLUMN()-2&lt;=$E$3,INDEX($B$10:$B$59,RANDBETWEEN(1,$E$3)),"")</x:f>
      </x:c>
      <x:c r="AV82" s="68" t="str">
        <x:f>IF(COLUMN()-2&lt;=$E$3,INDEX($B$10:$B$59,RANDBETWEEN(1,$E$3)),"")</x:f>
      </x:c>
      <x:c r="AW82" s="68" t="str">
        <x:f>IF(COLUMN()-2&lt;=$E$3,INDEX($B$10:$B$59,RANDBETWEEN(1,$E$3)),"")</x:f>
      </x:c>
      <x:c r="AX82" s="68" t="str">
        <x:f>IF(COLUMN()-2&lt;=$E$3,INDEX($B$10:$B$59,RANDBETWEEN(1,$E$3)),"")</x:f>
      </x:c>
      <x:c r="AY82" s="68" t="str">
        <x:f>IF(COLUMN()-2&lt;=$E$3,INDEX($B$10:$B$59,RANDBETWEEN(1,$E$3)),"")</x:f>
      </x:c>
      <x:c r="AZ82" s="68" t="str">
        <x:f>IF(COLUMN()-2&lt;=$E$3,INDEX($B$10:$B$59,RANDBETWEEN(1,$E$3)),"")</x:f>
      </x:c>
      <x:c r="BA82" s="68" t="str">
        <x:f>IF($E$3=0,"",AVERAGE(C82:AZ82))</x:f>
      </x:c>
    </x:row>
    <x:row r="83">
      <x:c r="A83" t="n">
        <x:v>19</x:v>
      </x:c>
      <x:c r="C83" s="68" t="str">
        <x:f>IF(COLUMN()-2&lt;=$E$3,INDEX($B$10:$B$59,RANDBETWEEN(1,$E$3)),"")</x:f>
      </x:c>
      <x:c r="D83" s="68" t="str">
        <x:f>IF(COLUMN()-2&lt;=$E$3,INDEX($B$10:$B$59,RANDBETWEEN(1,$E$3)),"")</x:f>
      </x:c>
      <x:c r="E83" s="68" t="str">
        <x:f>IF(COLUMN()-2&lt;=$E$3,INDEX($B$10:$B$59,RANDBETWEEN(1,$E$3)),"")</x:f>
      </x:c>
      <x:c r="F83" s="68" t="str">
        <x:f>IF(COLUMN()-2&lt;=$E$3,INDEX($B$10:$B$59,RANDBETWEEN(1,$E$3)),"")</x:f>
      </x:c>
      <x:c r="G83" s="68" t="str">
        <x:f>IF(COLUMN()-2&lt;=$E$3,INDEX($B$10:$B$59,RANDBETWEEN(1,$E$3)),"")</x:f>
      </x:c>
      <x:c r="H83" s="68" t="str">
        <x:f>IF(COLUMN()-2&lt;=$E$3,INDEX($B$10:$B$59,RANDBETWEEN(1,$E$3)),"")</x:f>
      </x:c>
      <x:c r="I83" s="68" t="str">
        <x:f>IF(COLUMN()-2&lt;=$E$3,INDEX($B$10:$B$59,RANDBETWEEN(1,$E$3)),"")</x:f>
      </x:c>
      <x:c r="J83" s="68" t="str">
        <x:f>IF(COLUMN()-2&lt;=$E$3,INDEX($B$10:$B$59,RANDBETWEEN(1,$E$3)),"")</x:f>
      </x:c>
      <x:c r="K83" s="68" t="str">
        <x:f>IF(COLUMN()-2&lt;=$E$3,INDEX($B$10:$B$59,RANDBETWEEN(1,$E$3)),"")</x:f>
      </x:c>
      <x:c r="L83" s="68" t="str">
        <x:f>IF(COLUMN()-2&lt;=$E$3,INDEX($B$10:$B$59,RANDBETWEEN(1,$E$3)),"")</x:f>
      </x:c>
      <x:c r="M83" s="68" t="str">
        <x:f>IF(COLUMN()-2&lt;=$E$3,INDEX($B$10:$B$59,RANDBETWEEN(1,$E$3)),"")</x:f>
      </x:c>
      <x:c r="N83" s="68" t="str">
        <x:f>IF(COLUMN()-2&lt;=$E$3,INDEX($B$10:$B$59,RANDBETWEEN(1,$E$3)),"")</x:f>
      </x:c>
      <x:c r="O83" s="68" t="str">
        <x:f>IF(COLUMN()-2&lt;=$E$3,INDEX($B$10:$B$59,RANDBETWEEN(1,$E$3)),"")</x:f>
      </x:c>
      <x:c r="P83" s="68" t="str">
        <x:f>IF(COLUMN()-2&lt;=$E$3,INDEX($B$10:$B$59,RANDBETWEEN(1,$E$3)),"")</x:f>
      </x:c>
      <x:c r="Q83" s="68" t="str">
        <x:f>IF(COLUMN()-2&lt;=$E$3,INDEX($B$10:$B$59,RANDBETWEEN(1,$E$3)),"")</x:f>
      </x:c>
      <x:c r="R83" s="68" t="str">
        <x:f>IF(COLUMN()-2&lt;=$E$3,INDEX($B$10:$B$59,RANDBETWEEN(1,$E$3)),"")</x:f>
      </x:c>
      <x:c r="S83" s="68" t="str">
        <x:f>IF(COLUMN()-2&lt;=$E$3,INDEX($B$10:$B$59,RANDBETWEEN(1,$E$3)),"")</x:f>
      </x:c>
      <x:c r="T83" s="68" t="str">
        <x:f>IF(COLUMN()-2&lt;=$E$3,INDEX($B$10:$B$59,RANDBETWEEN(1,$E$3)),"")</x:f>
      </x:c>
      <x:c r="U83" s="68" t="str">
        <x:f>IF(COLUMN()-2&lt;=$E$3,INDEX($B$10:$B$59,RANDBETWEEN(1,$E$3)),"")</x:f>
      </x:c>
      <x:c r="V83" s="68" t="str">
        <x:f>IF(COLUMN()-2&lt;=$E$3,INDEX($B$10:$B$59,RANDBETWEEN(1,$E$3)),"")</x:f>
      </x:c>
      <x:c r="W83" s="68" t="str">
        <x:f>IF(COLUMN()-2&lt;=$E$3,INDEX($B$10:$B$59,RANDBETWEEN(1,$E$3)),"")</x:f>
      </x:c>
      <x:c r="X83" s="68" t="str">
        <x:f>IF(COLUMN()-2&lt;=$E$3,INDEX($B$10:$B$59,RANDBETWEEN(1,$E$3)),"")</x:f>
      </x:c>
      <x:c r="Y83" s="68" t="str">
        <x:f>IF(COLUMN()-2&lt;=$E$3,INDEX($B$10:$B$59,RANDBETWEEN(1,$E$3)),"")</x:f>
      </x:c>
      <x:c r="Z83" s="68" t="str">
        <x:f>IF(COLUMN()-2&lt;=$E$3,INDEX($B$10:$B$59,RANDBETWEEN(1,$E$3)),"")</x:f>
      </x:c>
      <x:c r="AA83" s="68" t="str">
        <x:f>IF(COLUMN()-2&lt;=$E$3,INDEX($B$10:$B$59,RANDBETWEEN(1,$E$3)),"")</x:f>
      </x:c>
      <x:c r="AB83" s="68" t="str">
        <x:f>IF(COLUMN()-2&lt;=$E$3,INDEX($B$10:$B$59,RANDBETWEEN(1,$E$3)),"")</x:f>
      </x:c>
      <x:c r="AC83" s="68" t="str">
        <x:f>IF(COLUMN()-2&lt;=$E$3,INDEX($B$10:$B$59,RANDBETWEEN(1,$E$3)),"")</x:f>
      </x:c>
      <x:c r="AD83" s="68" t="str">
        <x:f>IF(COLUMN()-2&lt;=$E$3,INDEX($B$10:$B$59,RANDBETWEEN(1,$E$3)),"")</x:f>
      </x:c>
      <x:c r="AE83" s="68" t="str">
        <x:f>IF(COLUMN()-2&lt;=$E$3,INDEX($B$10:$B$59,RANDBETWEEN(1,$E$3)),"")</x:f>
      </x:c>
      <x:c r="AF83" s="68" t="str">
        <x:f>IF(COLUMN()-2&lt;=$E$3,INDEX($B$10:$B$59,RANDBETWEEN(1,$E$3)),"")</x:f>
      </x:c>
      <x:c r="AG83" s="68" t="str">
        <x:f>IF(COLUMN()-2&lt;=$E$3,INDEX($B$10:$B$59,RANDBETWEEN(1,$E$3)),"")</x:f>
      </x:c>
      <x:c r="AH83" s="68" t="str">
        <x:f>IF(COLUMN()-2&lt;=$E$3,INDEX($B$10:$B$59,RANDBETWEEN(1,$E$3)),"")</x:f>
      </x:c>
      <x:c r="AI83" s="68" t="str">
        <x:f>IF(COLUMN()-2&lt;=$E$3,INDEX($B$10:$B$59,RANDBETWEEN(1,$E$3)),"")</x:f>
      </x:c>
      <x:c r="AJ83" s="68" t="str">
        <x:f>IF(COLUMN()-2&lt;=$E$3,INDEX($B$10:$B$59,RANDBETWEEN(1,$E$3)),"")</x:f>
      </x:c>
      <x:c r="AK83" s="68" t="str">
        <x:f>IF(COLUMN()-2&lt;=$E$3,INDEX($B$10:$B$59,RANDBETWEEN(1,$E$3)),"")</x:f>
      </x:c>
      <x:c r="AL83" s="68" t="str">
        <x:f>IF(COLUMN()-2&lt;=$E$3,INDEX($B$10:$B$59,RANDBETWEEN(1,$E$3)),"")</x:f>
      </x:c>
      <x:c r="AM83" s="68" t="str">
        <x:f>IF(COLUMN()-2&lt;=$E$3,INDEX($B$10:$B$59,RANDBETWEEN(1,$E$3)),"")</x:f>
      </x:c>
      <x:c r="AN83" s="68" t="str">
        <x:f>IF(COLUMN()-2&lt;=$E$3,INDEX($B$10:$B$59,RANDBETWEEN(1,$E$3)),"")</x:f>
      </x:c>
      <x:c r="AO83" s="68" t="str">
        <x:f>IF(COLUMN()-2&lt;=$E$3,INDEX($B$10:$B$59,RANDBETWEEN(1,$E$3)),"")</x:f>
      </x:c>
      <x:c r="AP83" s="68" t="str">
        <x:f>IF(COLUMN()-2&lt;=$E$3,INDEX($B$10:$B$59,RANDBETWEEN(1,$E$3)),"")</x:f>
      </x:c>
      <x:c r="AQ83" s="68" t="str">
        <x:f>IF(COLUMN()-2&lt;=$E$3,INDEX($B$10:$B$59,RANDBETWEEN(1,$E$3)),"")</x:f>
      </x:c>
      <x:c r="AR83" s="68" t="str">
        <x:f>IF(COLUMN()-2&lt;=$E$3,INDEX($B$10:$B$59,RANDBETWEEN(1,$E$3)),"")</x:f>
      </x:c>
      <x:c r="AS83" s="68" t="str">
        <x:f>IF(COLUMN()-2&lt;=$E$3,INDEX($B$10:$B$59,RANDBETWEEN(1,$E$3)),"")</x:f>
      </x:c>
      <x:c r="AT83" s="68" t="str">
        <x:f>IF(COLUMN()-2&lt;=$E$3,INDEX($B$10:$B$59,RANDBETWEEN(1,$E$3)),"")</x:f>
      </x:c>
      <x:c r="AU83" s="68" t="str">
        <x:f>IF(COLUMN()-2&lt;=$E$3,INDEX($B$10:$B$59,RANDBETWEEN(1,$E$3)),"")</x:f>
      </x:c>
      <x:c r="AV83" s="68" t="str">
        <x:f>IF(COLUMN()-2&lt;=$E$3,INDEX($B$10:$B$59,RANDBETWEEN(1,$E$3)),"")</x:f>
      </x:c>
      <x:c r="AW83" s="68" t="str">
        <x:f>IF(COLUMN()-2&lt;=$E$3,INDEX($B$10:$B$59,RANDBETWEEN(1,$E$3)),"")</x:f>
      </x:c>
      <x:c r="AX83" s="68" t="str">
        <x:f>IF(COLUMN()-2&lt;=$E$3,INDEX($B$10:$B$59,RANDBETWEEN(1,$E$3)),"")</x:f>
      </x:c>
      <x:c r="AY83" s="68" t="str">
        <x:f>IF(COLUMN()-2&lt;=$E$3,INDEX($B$10:$B$59,RANDBETWEEN(1,$E$3)),"")</x:f>
      </x:c>
      <x:c r="AZ83" s="68" t="str">
        <x:f>IF(COLUMN()-2&lt;=$E$3,INDEX($B$10:$B$59,RANDBETWEEN(1,$E$3)),"")</x:f>
      </x:c>
      <x:c r="BA83" s="68" t="str">
        <x:f>IF($E$3=0,"",AVERAGE(C83:AZ83))</x:f>
      </x:c>
    </x:row>
    <x:row r="84">
      <x:c r="A84" t="n">
        <x:v>20</x:v>
      </x:c>
      <x:c r="C84" s="68" t="str">
        <x:f>IF(COLUMN()-2&lt;=$E$3,INDEX($B$10:$B$59,RANDBETWEEN(1,$E$3)),"")</x:f>
      </x:c>
      <x:c r="D84" s="68" t="str">
        <x:f>IF(COLUMN()-2&lt;=$E$3,INDEX($B$10:$B$59,RANDBETWEEN(1,$E$3)),"")</x:f>
      </x:c>
      <x:c r="E84" s="68" t="str">
        <x:f>IF(COLUMN()-2&lt;=$E$3,INDEX($B$10:$B$59,RANDBETWEEN(1,$E$3)),"")</x:f>
      </x:c>
      <x:c r="F84" s="68" t="str">
        <x:f>IF(COLUMN()-2&lt;=$E$3,INDEX($B$10:$B$59,RANDBETWEEN(1,$E$3)),"")</x:f>
      </x:c>
      <x:c r="G84" s="68" t="str">
        <x:f>IF(COLUMN()-2&lt;=$E$3,INDEX($B$10:$B$59,RANDBETWEEN(1,$E$3)),"")</x:f>
      </x:c>
      <x:c r="H84" s="68" t="str">
        <x:f>IF(COLUMN()-2&lt;=$E$3,INDEX($B$10:$B$59,RANDBETWEEN(1,$E$3)),"")</x:f>
      </x:c>
      <x:c r="I84" s="68" t="str">
        <x:f>IF(COLUMN()-2&lt;=$E$3,INDEX($B$10:$B$59,RANDBETWEEN(1,$E$3)),"")</x:f>
      </x:c>
      <x:c r="J84" s="68" t="str">
        <x:f>IF(COLUMN()-2&lt;=$E$3,INDEX($B$10:$B$59,RANDBETWEEN(1,$E$3)),"")</x:f>
      </x:c>
      <x:c r="K84" s="68" t="str">
        <x:f>IF(COLUMN()-2&lt;=$E$3,INDEX($B$10:$B$59,RANDBETWEEN(1,$E$3)),"")</x:f>
      </x:c>
      <x:c r="L84" s="68" t="str">
        <x:f>IF(COLUMN()-2&lt;=$E$3,INDEX($B$10:$B$59,RANDBETWEEN(1,$E$3)),"")</x:f>
      </x:c>
      <x:c r="M84" s="68" t="str">
        <x:f>IF(COLUMN()-2&lt;=$E$3,INDEX($B$10:$B$59,RANDBETWEEN(1,$E$3)),"")</x:f>
      </x:c>
      <x:c r="N84" s="68" t="str">
        <x:f>IF(COLUMN()-2&lt;=$E$3,INDEX($B$10:$B$59,RANDBETWEEN(1,$E$3)),"")</x:f>
      </x:c>
      <x:c r="O84" s="68" t="str">
        <x:f>IF(COLUMN()-2&lt;=$E$3,INDEX($B$10:$B$59,RANDBETWEEN(1,$E$3)),"")</x:f>
      </x:c>
      <x:c r="P84" s="68" t="str">
        <x:f>IF(COLUMN()-2&lt;=$E$3,INDEX($B$10:$B$59,RANDBETWEEN(1,$E$3)),"")</x:f>
      </x:c>
      <x:c r="Q84" s="68" t="str">
        <x:f>IF(COLUMN()-2&lt;=$E$3,INDEX($B$10:$B$59,RANDBETWEEN(1,$E$3)),"")</x:f>
      </x:c>
      <x:c r="R84" s="68" t="str">
        <x:f>IF(COLUMN()-2&lt;=$E$3,INDEX($B$10:$B$59,RANDBETWEEN(1,$E$3)),"")</x:f>
      </x:c>
      <x:c r="S84" s="68" t="str">
        <x:f>IF(COLUMN()-2&lt;=$E$3,INDEX($B$10:$B$59,RANDBETWEEN(1,$E$3)),"")</x:f>
      </x:c>
      <x:c r="T84" s="68" t="str">
        <x:f>IF(COLUMN()-2&lt;=$E$3,INDEX($B$10:$B$59,RANDBETWEEN(1,$E$3)),"")</x:f>
      </x:c>
      <x:c r="U84" s="68" t="str">
        <x:f>IF(COLUMN()-2&lt;=$E$3,INDEX($B$10:$B$59,RANDBETWEEN(1,$E$3)),"")</x:f>
      </x:c>
      <x:c r="V84" s="68" t="str">
        <x:f>IF(COLUMN()-2&lt;=$E$3,INDEX($B$10:$B$59,RANDBETWEEN(1,$E$3)),"")</x:f>
      </x:c>
      <x:c r="W84" s="68" t="str">
        <x:f>IF(COLUMN()-2&lt;=$E$3,INDEX($B$10:$B$59,RANDBETWEEN(1,$E$3)),"")</x:f>
      </x:c>
      <x:c r="X84" s="68" t="str">
        <x:f>IF(COLUMN()-2&lt;=$E$3,INDEX($B$10:$B$59,RANDBETWEEN(1,$E$3)),"")</x:f>
      </x:c>
      <x:c r="Y84" s="68" t="str">
        <x:f>IF(COLUMN()-2&lt;=$E$3,INDEX($B$10:$B$59,RANDBETWEEN(1,$E$3)),"")</x:f>
      </x:c>
      <x:c r="Z84" s="68" t="str">
        <x:f>IF(COLUMN()-2&lt;=$E$3,INDEX($B$10:$B$59,RANDBETWEEN(1,$E$3)),"")</x:f>
      </x:c>
      <x:c r="AA84" s="68" t="str">
        <x:f>IF(COLUMN()-2&lt;=$E$3,INDEX($B$10:$B$59,RANDBETWEEN(1,$E$3)),"")</x:f>
      </x:c>
      <x:c r="AB84" s="68" t="str">
        <x:f>IF(COLUMN()-2&lt;=$E$3,INDEX($B$10:$B$59,RANDBETWEEN(1,$E$3)),"")</x:f>
      </x:c>
      <x:c r="AC84" s="68" t="str">
        <x:f>IF(COLUMN()-2&lt;=$E$3,INDEX($B$10:$B$59,RANDBETWEEN(1,$E$3)),"")</x:f>
      </x:c>
      <x:c r="AD84" s="68" t="str">
        <x:f>IF(COLUMN()-2&lt;=$E$3,INDEX($B$10:$B$59,RANDBETWEEN(1,$E$3)),"")</x:f>
      </x:c>
      <x:c r="AE84" s="68" t="str">
        <x:f>IF(COLUMN()-2&lt;=$E$3,INDEX($B$10:$B$59,RANDBETWEEN(1,$E$3)),"")</x:f>
      </x:c>
      <x:c r="AF84" s="68" t="str">
        <x:f>IF(COLUMN()-2&lt;=$E$3,INDEX($B$10:$B$59,RANDBETWEEN(1,$E$3)),"")</x:f>
      </x:c>
      <x:c r="AG84" s="68" t="str">
        <x:f>IF(COLUMN()-2&lt;=$E$3,INDEX($B$10:$B$59,RANDBETWEEN(1,$E$3)),"")</x:f>
      </x:c>
      <x:c r="AH84" s="68" t="str">
        <x:f>IF(COLUMN()-2&lt;=$E$3,INDEX($B$10:$B$59,RANDBETWEEN(1,$E$3)),"")</x:f>
      </x:c>
      <x:c r="AI84" s="68" t="str">
        <x:f>IF(COLUMN()-2&lt;=$E$3,INDEX($B$10:$B$59,RANDBETWEEN(1,$E$3)),"")</x:f>
      </x:c>
      <x:c r="AJ84" s="68" t="str">
        <x:f>IF(COLUMN()-2&lt;=$E$3,INDEX($B$10:$B$59,RANDBETWEEN(1,$E$3)),"")</x:f>
      </x:c>
      <x:c r="AK84" s="68" t="str">
        <x:f>IF(COLUMN()-2&lt;=$E$3,INDEX($B$10:$B$59,RANDBETWEEN(1,$E$3)),"")</x:f>
      </x:c>
      <x:c r="AL84" s="68" t="str">
        <x:f>IF(COLUMN()-2&lt;=$E$3,INDEX($B$10:$B$59,RANDBETWEEN(1,$E$3)),"")</x:f>
      </x:c>
      <x:c r="AM84" s="68" t="str">
        <x:f>IF(COLUMN()-2&lt;=$E$3,INDEX($B$10:$B$59,RANDBETWEEN(1,$E$3)),"")</x:f>
      </x:c>
      <x:c r="AN84" s="68" t="str">
        <x:f>IF(COLUMN()-2&lt;=$E$3,INDEX($B$10:$B$59,RANDBETWEEN(1,$E$3)),"")</x:f>
      </x:c>
      <x:c r="AO84" s="68" t="str">
        <x:f>IF(COLUMN()-2&lt;=$E$3,INDEX($B$10:$B$59,RANDBETWEEN(1,$E$3)),"")</x:f>
      </x:c>
      <x:c r="AP84" s="68" t="str">
        <x:f>IF(COLUMN()-2&lt;=$E$3,INDEX($B$10:$B$59,RANDBETWEEN(1,$E$3)),"")</x:f>
      </x:c>
      <x:c r="AQ84" s="68" t="str">
        <x:f>IF(COLUMN()-2&lt;=$E$3,INDEX($B$10:$B$59,RANDBETWEEN(1,$E$3)),"")</x:f>
      </x:c>
      <x:c r="AR84" s="68" t="str">
        <x:f>IF(COLUMN()-2&lt;=$E$3,INDEX($B$10:$B$59,RANDBETWEEN(1,$E$3)),"")</x:f>
      </x:c>
      <x:c r="AS84" s="68" t="str">
        <x:f>IF(COLUMN()-2&lt;=$E$3,INDEX($B$10:$B$59,RANDBETWEEN(1,$E$3)),"")</x:f>
      </x:c>
      <x:c r="AT84" s="68" t="str">
        <x:f>IF(COLUMN()-2&lt;=$E$3,INDEX($B$10:$B$59,RANDBETWEEN(1,$E$3)),"")</x:f>
      </x:c>
      <x:c r="AU84" s="68" t="str">
        <x:f>IF(COLUMN()-2&lt;=$E$3,INDEX($B$10:$B$59,RANDBETWEEN(1,$E$3)),"")</x:f>
      </x:c>
      <x:c r="AV84" s="68" t="str">
        <x:f>IF(COLUMN()-2&lt;=$E$3,INDEX($B$10:$B$59,RANDBETWEEN(1,$E$3)),"")</x:f>
      </x:c>
      <x:c r="AW84" s="68" t="str">
        <x:f>IF(COLUMN()-2&lt;=$E$3,INDEX($B$10:$B$59,RANDBETWEEN(1,$E$3)),"")</x:f>
      </x:c>
      <x:c r="AX84" s="68" t="str">
        <x:f>IF(COLUMN()-2&lt;=$E$3,INDEX($B$10:$B$59,RANDBETWEEN(1,$E$3)),"")</x:f>
      </x:c>
      <x:c r="AY84" s="68" t="str">
        <x:f>IF(COLUMN()-2&lt;=$E$3,INDEX($B$10:$B$59,RANDBETWEEN(1,$E$3)),"")</x:f>
      </x:c>
      <x:c r="AZ84" s="68" t="str">
        <x:f>IF(COLUMN()-2&lt;=$E$3,INDEX($B$10:$B$59,RANDBETWEEN(1,$E$3)),"")</x:f>
      </x:c>
      <x:c r="BA84" s="68" t="str">
        <x:f>IF($E$3=0,"",AVERAGE(C84:AZ84))</x:f>
      </x:c>
    </x:row>
    <x:row r="85">
      <x:c r="A85" t="n">
        <x:v>21</x:v>
      </x:c>
      <x:c r="C85" s="68" t="str">
        <x:f>IF(COLUMN()-2&lt;=$E$3,INDEX($B$10:$B$59,RANDBETWEEN(1,$E$3)),"")</x:f>
      </x:c>
      <x:c r="D85" s="68" t="str">
        <x:f>IF(COLUMN()-2&lt;=$E$3,INDEX($B$10:$B$59,RANDBETWEEN(1,$E$3)),"")</x:f>
      </x:c>
      <x:c r="E85" s="68" t="str">
        <x:f>IF(COLUMN()-2&lt;=$E$3,INDEX($B$10:$B$59,RANDBETWEEN(1,$E$3)),"")</x:f>
      </x:c>
      <x:c r="F85" s="68" t="str">
        <x:f>IF(COLUMN()-2&lt;=$E$3,INDEX($B$10:$B$59,RANDBETWEEN(1,$E$3)),"")</x:f>
      </x:c>
      <x:c r="G85" s="68" t="str">
        <x:f>IF(COLUMN()-2&lt;=$E$3,INDEX($B$10:$B$59,RANDBETWEEN(1,$E$3)),"")</x:f>
      </x:c>
      <x:c r="H85" s="68" t="str">
        <x:f>IF(COLUMN()-2&lt;=$E$3,INDEX($B$10:$B$59,RANDBETWEEN(1,$E$3)),"")</x:f>
      </x:c>
      <x:c r="I85" s="68" t="str">
        <x:f>IF(COLUMN()-2&lt;=$E$3,INDEX($B$10:$B$59,RANDBETWEEN(1,$E$3)),"")</x:f>
      </x:c>
      <x:c r="J85" s="68" t="str">
        <x:f>IF(COLUMN()-2&lt;=$E$3,INDEX($B$10:$B$59,RANDBETWEEN(1,$E$3)),"")</x:f>
      </x:c>
      <x:c r="K85" s="68" t="str">
        <x:f>IF(COLUMN()-2&lt;=$E$3,INDEX($B$10:$B$59,RANDBETWEEN(1,$E$3)),"")</x:f>
      </x:c>
      <x:c r="L85" s="68" t="str">
        <x:f>IF(COLUMN()-2&lt;=$E$3,INDEX($B$10:$B$59,RANDBETWEEN(1,$E$3)),"")</x:f>
      </x:c>
      <x:c r="M85" s="68" t="str">
        <x:f>IF(COLUMN()-2&lt;=$E$3,INDEX($B$10:$B$59,RANDBETWEEN(1,$E$3)),"")</x:f>
      </x:c>
      <x:c r="N85" s="68" t="str">
        <x:f>IF(COLUMN()-2&lt;=$E$3,INDEX($B$10:$B$59,RANDBETWEEN(1,$E$3)),"")</x:f>
      </x:c>
      <x:c r="O85" s="68" t="str">
        <x:f>IF(COLUMN()-2&lt;=$E$3,INDEX($B$10:$B$59,RANDBETWEEN(1,$E$3)),"")</x:f>
      </x:c>
      <x:c r="P85" s="68" t="str">
        <x:f>IF(COLUMN()-2&lt;=$E$3,INDEX($B$10:$B$59,RANDBETWEEN(1,$E$3)),"")</x:f>
      </x:c>
      <x:c r="Q85" s="68" t="str">
        <x:f>IF(COLUMN()-2&lt;=$E$3,INDEX($B$10:$B$59,RANDBETWEEN(1,$E$3)),"")</x:f>
      </x:c>
      <x:c r="R85" s="68" t="str">
        <x:f>IF(COLUMN()-2&lt;=$E$3,INDEX($B$10:$B$59,RANDBETWEEN(1,$E$3)),"")</x:f>
      </x:c>
      <x:c r="S85" s="68" t="str">
        <x:f>IF(COLUMN()-2&lt;=$E$3,INDEX($B$10:$B$59,RANDBETWEEN(1,$E$3)),"")</x:f>
      </x:c>
      <x:c r="T85" s="68" t="str">
        <x:f>IF(COLUMN()-2&lt;=$E$3,INDEX($B$10:$B$59,RANDBETWEEN(1,$E$3)),"")</x:f>
      </x:c>
      <x:c r="U85" s="68" t="str">
        <x:f>IF(COLUMN()-2&lt;=$E$3,INDEX($B$10:$B$59,RANDBETWEEN(1,$E$3)),"")</x:f>
      </x:c>
      <x:c r="V85" s="68" t="str">
        <x:f>IF(COLUMN()-2&lt;=$E$3,INDEX($B$10:$B$59,RANDBETWEEN(1,$E$3)),"")</x:f>
      </x:c>
      <x:c r="W85" s="68" t="str">
        <x:f>IF(COLUMN()-2&lt;=$E$3,INDEX($B$10:$B$59,RANDBETWEEN(1,$E$3)),"")</x:f>
      </x:c>
      <x:c r="X85" s="68" t="str">
        <x:f>IF(COLUMN()-2&lt;=$E$3,INDEX($B$10:$B$59,RANDBETWEEN(1,$E$3)),"")</x:f>
      </x:c>
      <x:c r="Y85" s="68" t="str">
        <x:f>IF(COLUMN()-2&lt;=$E$3,INDEX($B$10:$B$59,RANDBETWEEN(1,$E$3)),"")</x:f>
      </x:c>
      <x:c r="Z85" s="68" t="str">
        <x:f>IF(COLUMN()-2&lt;=$E$3,INDEX($B$10:$B$59,RANDBETWEEN(1,$E$3)),"")</x:f>
      </x:c>
      <x:c r="AA85" s="68" t="str">
        <x:f>IF(COLUMN()-2&lt;=$E$3,INDEX($B$10:$B$59,RANDBETWEEN(1,$E$3)),"")</x:f>
      </x:c>
      <x:c r="AB85" s="68" t="str">
        <x:f>IF(COLUMN()-2&lt;=$E$3,INDEX($B$10:$B$59,RANDBETWEEN(1,$E$3)),"")</x:f>
      </x:c>
      <x:c r="AC85" s="68" t="str">
        <x:f>IF(COLUMN()-2&lt;=$E$3,INDEX($B$10:$B$59,RANDBETWEEN(1,$E$3)),"")</x:f>
      </x:c>
      <x:c r="AD85" s="68" t="str">
        <x:f>IF(COLUMN()-2&lt;=$E$3,INDEX($B$10:$B$59,RANDBETWEEN(1,$E$3)),"")</x:f>
      </x:c>
      <x:c r="AE85" s="68" t="str">
        <x:f>IF(COLUMN()-2&lt;=$E$3,INDEX($B$10:$B$59,RANDBETWEEN(1,$E$3)),"")</x:f>
      </x:c>
      <x:c r="AF85" s="68" t="str">
        <x:f>IF(COLUMN()-2&lt;=$E$3,INDEX($B$10:$B$59,RANDBETWEEN(1,$E$3)),"")</x:f>
      </x:c>
      <x:c r="AG85" s="68" t="str">
        <x:f>IF(COLUMN()-2&lt;=$E$3,INDEX($B$10:$B$59,RANDBETWEEN(1,$E$3)),"")</x:f>
      </x:c>
      <x:c r="AH85" s="68" t="str">
        <x:f>IF(COLUMN()-2&lt;=$E$3,INDEX($B$10:$B$59,RANDBETWEEN(1,$E$3)),"")</x:f>
      </x:c>
      <x:c r="AI85" s="68" t="str">
        <x:f>IF(COLUMN()-2&lt;=$E$3,INDEX($B$10:$B$59,RANDBETWEEN(1,$E$3)),"")</x:f>
      </x:c>
      <x:c r="AJ85" s="68" t="str">
        <x:f>IF(COLUMN()-2&lt;=$E$3,INDEX($B$10:$B$59,RANDBETWEEN(1,$E$3)),"")</x:f>
      </x:c>
      <x:c r="AK85" s="68" t="str">
        <x:f>IF(COLUMN()-2&lt;=$E$3,INDEX($B$10:$B$59,RANDBETWEEN(1,$E$3)),"")</x:f>
      </x:c>
      <x:c r="AL85" s="68" t="str">
        <x:f>IF(COLUMN()-2&lt;=$E$3,INDEX($B$10:$B$59,RANDBETWEEN(1,$E$3)),"")</x:f>
      </x:c>
      <x:c r="AM85" s="68" t="str">
        <x:f>IF(COLUMN()-2&lt;=$E$3,INDEX($B$10:$B$59,RANDBETWEEN(1,$E$3)),"")</x:f>
      </x:c>
      <x:c r="AN85" s="68" t="str">
        <x:f>IF(COLUMN()-2&lt;=$E$3,INDEX($B$10:$B$59,RANDBETWEEN(1,$E$3)),"")</x:f>
      </x:c>
      <x:c r="AO85" s="68" t="str">
        <x:f>IF(COLUMN()-2&lt;=$E$3,INDEX($B$10:$B$59,RANDBETWEEN(1,$E$3)),"")</x:f>
      </x:c>
      <x:c r="AP85" s="68" t="str">
        <x:f>IF(COLUMN()-2&lt;=$E$3,INDEX($B$10:$B$59,RANDBETWEEN(1,$E$3)),"")</x:f>
      </x:c>
      <x:c r="AQ85" s="68" t="str">
        <x:f>IF(COLUMN()-2&lt;=$E$3,INDEX($B$10:$B$59,RANDBETWEEN(1,$E$3)),"")</x:f>
      </x:c>
      <x:c r="AR85" s="68" t="str">
        <x:f>IF(COLUMN()-2&lt;=$E$3,INDEX($B$10:$B$59,RANDBETWEEN(1,$E$3)),"")</x:f>
      </x:c>
      <x:c r="AS85" s="68" t="str">
        <x:f>IF(COLUMN()-2&lt;=$E$3,INDEX($B$10:$B$59,RANDBETWEEN(1,$E$3)),"")</x:f>
      </x:c>
      <x:c r="AT85" s="68" t="str">
        <x:f>IF(COLUMN()-2&lt;=$E$3,INDEX($B$10:$B$59,RANDBETWEEN(1,$E$3)),"")</x:f>
      </x:c>
      <x:c r="AU85" s="68" t="str">
        <x:f>IF(COLUMN()-2&lt;=$E$3,INDEX($B$10:$B$59,RANDBETWEEN(1,$E$3)),"")</x:f>
      </x:c>
      <x:c r="AV85" s="68" t="str">
        <x:f>IF(COLUMN()-2&lt;=$E$3,INDEX($B$10:$B$59,RANDBETWEEN(1,$E$3)),"")</x:f>
      </x:c>
      <x:c r="AW85" s="68" t="str">
        <x:f>IF(COLUMN()-2&lt;=$E$3,INDEX($B$10:$B$59,RANDBETWEEN(1,$E$3)),"")</x:f>
      </x:c>
      <x:c r="AX85" s="68" t="str">
        <x:f>IF(COLUMN()-2&lt;=$E$3,INDEX($B$10:$B$59,RANDBETWEEN(1,$E$3)),"")</x:f>
      </x:c>
      <x:c r="AY85" s="68" t="str">
        <x:f>IF(COLUMN()-2&lt;=$E$3,INDEX($B$10:$B$59,RANDBETWEEN(1,$E$3)),"")</x:f>
      </x:c>
      <x:c r="AZ85" s="68" t="str">
        <x:f>IF(COLUMN()-2&lt;=$E$3,INDEX($B$10:$B$59,RANDBETWEEN(1,$E$3)),"")</x:f>
      </x:c>
      <x:c r="BA85" s="68" t="str">
        <x:f>IF($E$3=0,"",AVERAGE(C85:AZ85))</x:f>
      </x:c>
    </x:row>
    <x:row r="86">
      <x:c r="A86" t="n">
        <x:v>22</x:v>
      </x:c>
      <x:c r="C86" s="68" t="str">
        <x:f>IF(COLUMN()-2&lt;=$E$3,INDEX($B$10:$B$59,RANDBETWEEN(1,$E$3)),"")</x:f>
      </x:c>
      <x:c r="D86" s="68" t="str">
        <x:f>IF(COLUMN()-2&lt;=$E$3,INDEX($B$10:$B$59,RANDBETWEEN(1,$E$3)),"")</x:f>
      </x:c>
      <x:c r="E86" s="68" t="str">
        <x:f>IF(COLUMN()-2&lt;=$E$3,INDEX($B$10:$B$59,RANDBETWEEN(1,$E$3)),"")</x:f>
      </x:c>
      <x:c r="F86" s="68" t="str">
        <x:f>IF(COLUMN()-2&lt;=$E$3,INDEX($B$10:$B$59,RANDBETWEEN(1,$E$3)),"")</x:f>
      </x:c>
      <x:c r="G86" s="68" t="str">
        <x:f>IF(COLUMN()-2&lt;=$E$3,INDEX($B$10:$B$59,RANDBETWEEN(1,$E$3)),"")</x:f>
      </x:c>
      <x:c r="H86" s="68" t="str">
        <x:f>IF(COLUMN()-2&lt;=$E$3,INDEX($B$10:$B$59,RANDBETWEEN(1,$E$3)),"")</x:f>
      </x:c>
      <x:c r="I86" s="68" t="str">
        <x:f>IF(COLUMN()-2&lt;=$E$3,INDEX($B$10:$B$59,RANDBETWEEN(1,$E$3)),"")</x:f>
      </x:c>
      <x:c r="J86" s="68" t="str">
        <x:f>IF(COLUMN()-2&lt;=$E$3,INDEX($B$10:$B$59,RANDBETWEEN(1,$E$3)),"")</x:f>
      </x:c>
      <x:c r="K86" s="68" t="str">
        <x:f>IF(COLUMN()-2&lt;=$E$3,INDEX($B$10:$B$59,RANDBETWEEN(1,$E$3)),"")</x:f>
      </x:c>
      <x:c r="L86" s="68" t="str">
        <x:f>IF(COLUMN()-2&lt;=$E$3,INDEX($B$10:$B$59,RANDBETWEEN(1,$E$3)),"")</x:f>
      </x:c>
      <x:c r="M86" s="68" t="str">
        <x:f>IF(COLUMN()-2&lt;=$E$3,INDEX($B$10:$B$59,RANDBETWEEN(1,$E$3)),"")</x:f>
      </x:c>
      <x:c r="N86" s="68" t="str">
        <x:f>IF(COLUMN()-2&lt;=$E$3,INDEX($B$10:$B$59,RANDBETWEEN(1,$E$3)),"")</x:f>
      </x:c>
      <x:c r="O86" s="68" t="str">
        <x:f>IF(COLUMN()-2&lt;=$E$3,INDEX($B$10:$B$59,RANDBETWEEN(1,$E$3)),"")</x:f>
      </x:c>
      <x:c r="P86" s="68" t="str">
        <x:f>IF(COLUMN()-2&lt;=$E$3,INDEX($B$10:$B$59,RANDBETWEEN(1,$E$3)),"")</x:f>
      </x:c>
      <x:c r="Q86" s="68" t="str">
        <x:f>IF(COLUMN()-2&lt;=$E$3,INDEX($B$10:$B$59,RANDBETWEEN(1,$E$3)),"")</x:f>
      </x:c>
      <x:c r="R86" s="68" t="str">
        <x:f>IF(COLUMN()-2&lt;=$E$3,INDEX($B$10:$B$59,RANDBETWEEN(1,$E$3)),"")</x:f>
      </x:c>
      <x:c r="S86" s="68" t="str">
        <x:f>IF(COLUMN()-2&lt;=$E$3,INDEX($B$10:$B$59,RANDBETWEEN(1,$E$3)),"")</x:f>
      </x:c>
      <x:c r="T86" s="68" t="str">
        <x:f>IF(COLUMN()-2&lt;=$E$3,INDEX($B$10:$B$59,RANDBETWEEN(1,$E$3)),"")</x:f>
      </x:c>
      <x:c r="U86" s="68" t="str">
        <x:f>IF(COLUMN()-2&lt;=$E$3,INDEX($B$10:$B$59,RANDBETWEEN(1,$E$3)),"")</x:f>
      </x:c>
      <x:c r="V86" s="68" t="str">
        <x:f>IF(COLUMN()-2&lt;=$E$3,INDEX($B$10:$B$59,RANDBETWEEN(1,$E$3)),"")</x:f>
      </x:c>
      <x:c r="W86" s="68" t="str">
        <x:f>IF(COLUMN()-2&lt;=$E$3,INDEX($B$10:$B$59,RANDBETWEEN(1,$E$3)),"")</x:f>
      </x:c>
      <x:c r="X86" s="68" t="str">
        <x:f>IF(COLUMN()-2&lt;=$E$3,INDEX($B$10:$B$59,RANDBETWEEN(1,$E$3)),"")</x:f>
      </x:c>
      <x:c r="Y86" s="68" t="str">
        <x:f>IF(COLUMN()-2&lt;=$E$3,INDEX($B$10:$B$59,RANDBETWEEN(1,$E$3)),"")</x:f>
      </x:c>
      <x:c r="Z86" s="68" t="str">
        <x:f>IF(COLUMN()-2&lt;=$E$3,INDEX($B$10:$B$59,RANDBETWEEN(1,$E$3)),"")</x:f>
      </x:c>
      <x:c r="AA86" s="68" t="str">
        <x:f>IF(COLUMN()-2&lt;=$E$3,INDEX($B$10:$B$59,RANDBETWEEN(1,$E$3)),"")</x:f>
      </x:c>
      <x:c r="AB86" s="68" t="str">
        <x:f>IF(COLUMN()-2&lt;=$E$3,INDEX($B$10:$B$59,RANDBETWEEN(1,$E$3)),"")</x:f>
      </x:c>
      <x:c r="AC86" s="68" t="str">
        <x:f>IF(COLUMN()-2&lt;=$E$3,INDEX($B$10:$B$59,RANDBETWEEN(1,$E$3)),"")</x:f>
      </x:c>
      <x:c r="AD86" s="68" t="str">
        <x:f>IF(COLUMN()-2&lt;=$E$3,INDEX($B$10:$B$59,RANDBETWEEN(1,$E$3)),"")</x:f>
      </x:c>
      <x:c r="AE86" s="68" t="str">
        <x:f>IF(COLUMN()-2&lt;=$E$3,INDEX($B$10:$B$59,RANDBETWEEN(1,$E$3)),"")</x:f>
      </x:c>
      <x:c r="AF86" s="68" t="str">
        <x:f>IF(COLUMN()-2&lt;=$E$3,INDEX($B$10:$B$59,RANDBETWEEN(1,$E$3)),"")</x:f>
      </x:c>
      <x:c r="AG86" s="68" t="str">
        <x:f>IF(COLUMN()-2&lt;=$E$3,INDEX($B$10:$B$59,RANDBETWEEN(1,$E$3)),"")</x:f>
      </x:c>
      <x:c r="AH86" s="68" t="str">
        <x:f>IF(COLUMN()-2&lt;=$E$3,INDEX($B$10:$B$59,RANDBETWEEN(1,$E$3)),"")</x:f>
      </x:c>
      <x:c r="AI86" s="68" t="str">
        <x:f>IF(COLUMN()-2&lt;=$E$3,INDEX($B$10:$B$59,RANDBETWEEN(1,$E$3)),"")</x:f>
      </x:c>
      <x:c r="AJ86" s="68" t="str">
        <x:f>IF(COLUMN()-2&lt;=$E$3,INDEX($B$10:$B$59,RANDBETWEEN(1,$E$3)),"")</x:f>
      </x:c>
      <x:c r="AK86" s="68" t="str">
        <x:f>IF(COLUMN()-2&lt;=$E$3,INDEX($B$10:$B$59,RANDBETWEEN(1,$E$3)),"")</x:f>
      </x:c>
      <x:c r="AL86" s="68" t="str">
        <x:f>IF(COLUMN()-2&lt;=$E$3,INDEX($B$10:$B$59,RANDBETWEEN(1,$E$3)),"")</x:f>
      </x:c>
      <x:c r="AM86" s="68" t="str">
        <x:f>IF(COLUMN()-2&lt;=$E$3,INDEX($B$10:$B$59,RANDBETWEEN(1,$E$3)),"")</x:f>
      </x:c>
      <x:c r="AN86" s="68" t="str">
        <x:f>IF(COLUMN()-2&lt;=$E$3,INDEX($B$10:$B$59,RANDBETWEEN(1,$E$3)),"")</x:f>
      </x:c>
      <x:c r="AO86" s="68" t="str">
        <x:f>IF(COLUMN()-2&lt;=$E$3,INDEX($B$10:$B$59,RANDBETWEEN(1,$E$3)),"")</x:f>
      </x:c>
      <x:c r="AP86" s="68" t="str">
        <x:f>IF(COLUMN()-2&lt;=$E$3,INDEX($B$10:$B$59,RANDBETWEEN(1,$E$3)),"")</x:f>
      </x:c>
      <x:c r="AQ86" s="68" t="str">
        <x:f>IF(COLUMN()-2&lt;=$E$3,INDEX($B$10:$B$59,RANDBETWEEN(1,$E$3)),"")</x:f>
      </x:c>
      <x:c r="AR86" s="68" t="str">
        <x:f>IF(COLUMN()-2&lt;=$E$3,INDEX($B$10:$B$59,RANDBETWEEN(1,$E$3)),"")</x:f>
      </x:c>
      <x:c r="AS86" s="68" t="str">
        <x:f>IF(COLUMN()-2&lt;=$E$3,INDEX($B$10:$B$59,RANDBETWEEN(1,$E$3)),"")</x:f>
      </x:c>
      <x:c r="AT86" s="68" t="str">
        <x:f>IF(COLUMN()-2&lt;=$E$3,INDEX($B$10:$B$59,RANDBETWEEN(1,$E$3)),"")</x:f>
      </x:c>
      <x:c r="AU86" s="68" t="str">
        <x:f>IF(COLUMN()-2&lt;=$E$3,INDEX($B$10:$B$59,RANDBETWEEN(1,$E$3)),"")</x:f>
      </x:c>
      <x:c r="AV86" s="68" t="str">
        <x:f>IF(COLUMN()-2&lt;=$E$3,INDEX($B$10:$B$59,RANDBETWEEN(1,$E$3)),"")</x:f>
      </x:c>
      <x:c r="AW86" s="68" t="str">
        <x:f>IF(COLUMN()-2&lt;=$E$3,INDEX($B$10:$B$59,RANDBETWEEN(1,$E$3)),"")</x:f>
      </x:c>
      <x:c r="AX86" s="68" t="str">
        <x:f>IF(COLUMN()-2&lt;=$E$3,INDEX($B$10:$B$59,RANDBETWEEN(1,$E$3)),"")</x:f>
      </x:c>
      <x:c r="AY86" s="68" t="str">
        <x:f>IF(COLUMN()-2&lt;=$E$3,INDEX($B$10:$B$59,RANDBETWEEN(1,$E$3)),"")</x:f>
      </x:c>
      <x:c r="AZ86" s="68" t="str">
        <x:f>IF(COLUMN()-2&lt;=$E$3,INDEX($B$10:$B$59,RANDBETWEEN(1,$E$3)),"")</x:f>
      </x:c>
      <x:c r="BA86" s="68" t="str">
        <x:f>IF($E$3=0,"",AVERAGE(C86:AZ86))</x:f>
      </x:c>
    </x:row>
    <x:row r="87">
      <x:c r="A87" t="n">
        <x:v>23</x:v>
      </x:c>
      <x:c r="C87" s="68" t="str">
        <x:f>IF(COLUMN()-2&lt;=$E$3,INDEX($B$10:$B$59,RANDBETWEEN(1,$E$3)),"")</x:f>
      </x:c>
      <x:c r="D87" s="68" t="str">
        <x:f>IF(COLUMN()-2&lt;=$E$3,INDEX($B$10:$B$59,RANDBETWEEN(1,$E$3)),"")</x:f>
      </x:c>
      <x:c r="E87" s="68" t="str">
        <x:f>IF(COLUMN()-2&lt;=$E$3,INDEX($B$10:$B$59,RANDBETWEEN(1,$E$3)),"")</x:f>
      </x:c>
      <x:c r="F87" s="68" t="str">
        <x:f>IF(COLUMN()-2&lt;=$E$3,INDEX($B$10:$B$59,RANDBETWEEN(1,$E$3)),"")</x:f>
      </x:c>
      <x:c r="G87" s="68" t="str">
        <x:f>IF(COLUMN()-2&lt;=$E$3,INDEX($B$10:$B$59,RANDBETWEEN(1,$E$3)),"")</x:f>
      </x:c>
      <x:c r="H87" s="68" t="str">
        <x:f>IF(COLUMN()-2&lt;=$E$3,INDEX($B$10:$B$59,RANDBETWEEN(1,$E$3)),"")</x:f>
      </x:c>
      <x:c r="I87" s="68" t="str">
        <x:f>IF(COLUMN()-2&lt;=$E$3,INDEX($B$10:$B$59,RANDBETWEEN(1,$E$3)),"")</x:f>
      </x:c>
      <x:c r="J87" s="68" t="str">
        <x:f>IF(COLUMN()-2&lt;=$E$3,INDEX($B$10:$B$59,RANDBETWEEN(1,$E$3)),"")</x:f>
      </x:c>
      <x:c r="K87" s="68" t="str">
        <x:f>IF(COLUMN()-2&lt;=$E$3,INDEX($B$10:$B$59,RANDBETWEEN(1,$E$3)),"")</x:f>
      </x:c>
      <x:c r="L87" s="68" t="str">
        <x:f>IF(COLUMN()-2&lt;=$E$3,INDEX($B$10:$B$59,RANDBETWEEN(1,$E$3)),"")</x:f>
      </x:c>
      <x:c r="M87" s="68" t="str">
        <x:f>IF(COLUMN()-2&lt;=$E$3,INDEX($B$10:$B$59,RANDBETWEEN(1,$E$3)),"")</x:f>
      </x:c>
      <x:c r="N87" s="68" t="str">
        <x:f>IF(COLUMN()-2&lt;=$E$3,INDEX($B$10:$B$59,RANDBETWEEN(1,$E$3)),"")</x:f>
      </x:c>
      <x:c r="O87" s="68" t="str">
        <x:f>IF(COLUMN()-2&lt;=$E$3,INDEX($B$10:$B$59,RANDBETWEEN(1,$E$3)),"")</x:f>
      </x:c>
      <x:c r="P87" s="68" t="str">
        <x:f>IF(COLUMN()-2&lt;=$E$3,INDEX($B$10:$B$59,RANDBETWEEN(1,$E$3)),"")</x:f>
      </x:c>
      <x:c r="Q87" s="68" t="str">
        <x:f>IF(COLUMN()-2&lt;=$E$3,INDEX($B$10:$B$59,RANDBETWEEN(1,$E$3)),"")</x:f>
      </x:c>
      <x:c r="R87" s="68" t="str">
        <x:f>IF(COLUMN()-2&lt;=$E$3,INDEX($B$10:$B$59,RANDBETWEEN(1,$E$3)),"")</x:f>
      </x:c>
      <x:c r="S87" s="68" t="str">
        <x:f>IF(COLUMN()-2&lt;=$E$3,INDEX($B$10:$B$59,RANDBETWEEN(1,$E$3)),"")</x:f>
      </x:c>
      <x:c r="T87" s="68" t="str">
        <x:f>IF(COLUMN()-2&lt;=$E$3,INDEX($B$10:$B$59,RANDBETWEEN(1,$E$3)),"")</x:f>
      </x:c>
      <x:c r="U87" s="68" t="str">
        <x:f>IF(COLUMN()-2&lt;=$E$3,INDEX($B$10:$B$59,RANDBETWEEN(1,$E$3)),"")</x:f>
      </x:c>
      <x:c r="V87" s="68" t="str">
        <x:f>IF(COLUMN()-2&lt;=$E$3,INDEX($B$10:$B$59,RANDBETWEEN(1,$E$3)),"")</x:f>
      </x:c>
      <x:c r="W87" s="68" t="str">
        <x:f>IF(COLUMN()-2&lt;=$E$3,INDEX($B$10:$B$59,RANDBETWEEN(1,$E$3)),"")</x:f>
      </x:c>
      <x:c r="X87" s="68" t="str">
        <x:f>IF(COLUMN()-2&lt;=$E$3,INDEX($B$10:$B$59,RANDBETWEEN(1,$E$3)),"")</x:f>
      </x:c>
      <x:c r="Y87" s="68" t="str">
        <x:f>IF(COLUMN()-2&lt;=$E$3,INDEX($B$10:$B$59,RANDBETWEEN(1,$E$3)),"")</x:f>
      </x:c>
      <x:c r="Z87" s="68" t="str">
        <x:f>IF(COLUMN()-2&lt;=$E$3,INDEX($B$10:$B$59,RANDBETWEEN(1,$E$3)),"")</x:f>
      </x:c>
      <x:c r="AA87" s="68" t="str">
        <x:f>IF(COLUMN()-2&lt;=$E$3,INDEX($B$10:$B$59,RANDBETWEEN(1,$E$3)),"")</x:f>
      </x:c>
      <x:c r="AB87" s="68" t="str">
        <x:f>IF(COLUMN()-2&lt;=$E$3,INDEX($B$10:$B$59,RANDBETWEEN(1,$E$3)),"")</x:f>
      </x:c>
      <x:c r="AC87" s="68" t="str">
        <x:f>IF(COLUMN()-2&lt;=$E$3,INDEX($B$10:$B$59,RANDBETWEEN(1,$E$3)),"")</x:f>
      </x:c>
      <x:c r="AD87" s="68" t="str">
        <x:f>IF(COLUMN()-2&lt;=$E$3,INDEX($B$10:$B$59,RANDBETWEEN(1,$E$3)),"")</x:f>
      </x:c>
      <x:c r="AE87" s="68" t="str">
        <x:f>IF(COLUMN()-2&lt;=$E$3,INDEX($B$10:$B$59,RANDBETWEEN(1,$E$3)),"")</x:f>
      </x:c>
      <x:c r="AF87" s="68" t="str">
        <x:f>IF(COLUMN()-2&lt;=$E$3,INDEX($B$10:$B$59,RANDBETWEEN(1,$E$3)),"")</x:f>
      </x:c>
      <x:c r="AG87" s="68" t="str">
        <x:f>IF(COLUMN()-2&lt;=$E$3,INDEX($B$10:$B$59,RANDBETWEEN(1,$E$3)),"")</x:f>
      </x:c>
      <x:c r="AH87" s="68" t="str">
        <x:f>IF(COLUMN()-2&lt;=$E$3,INDEX($B$10:$B$59,RANDBETWEEN(1,$E$3)),"")</x:f>
      </x:c>
      <x:c r="AI87" s="68" t="str">
        <x:f>IF(COLUMN()-2&lt;=$E$3,INDEX($B$10:$B$59,RANDBETWEEN(1,$E$3)),"")</x:f>
      </x:c>
      <x:c r="AJ87" s="68" t="str">
        <x:f>IF(COLUMN()-2&lt;=$E$3,INDEX($B$10:$B$59,RANDBETWEEN(1,$E$3)),"")</x:f>
      </x:c>
      <x:c r="AK87" s="68" t="str">
        <x:f>IF(COLUMN()-2&lt;=$E$3,INDEX($B$10:$B$59,RANDBETWEEN(1,$E$3)),"")</x:f>
      </x:c>
      <x:c r="AL87" s="68" t="str">
        <x:f>IF(COLUMN()-2&lt;=$E$3,INDEX($B$10:$B$59,RANDBETWEEN(1,$E$3)),"")</x:f>
      </x:c>
      <x:c r="AM87" s="68" t="str">
        <x:f>IF(COLUMN()-2&lt;=$E$3,INDEX($B$10:$B$59,RANDBETWEEN(1,$E$3)),"")</x:f>
      </x:c>
      <x:c r="AN87" s="68" t="str">
        <x:f>IF(COLUMN()-2&lt;=$E$3,INDEX($B$10:$B$59,RANDBETWEEN(1,$E$3)),"")</x:f>
      </x:c>
      <x:c r="AO87" s="68" t="str">
        <x:f>IF(COLUMN()-2&lt;=$E$3,INDEX($B$10:$B$59,RANDBETWEEN(1,$E$3)),"")</x:f>
      </x:c>
      <x:c r="AP87" s="68" t="str">
        <x:f>IF(COLUMN()-2&lt;=$E$3,INDEX($B$10:$B$59,RANDBETWEEN(1,$E$3)),"")</x:f>
      </x:c>
      <x:c r="AQ87" s="68" t="str">
        <x:f>IF(COLUMN()-2&lt;=$E$3,INDEX($B$10:$B$59,RANDBETWEEN(1,$E$3)),"")</x:f>
      </x:c>
      <x:c r="AR87" s="68" t="str">
        <x:f>IF(COLUMN()-2&lt;=$E$3,INDEX($B$10:$B$59,RANDBETWEEN(1,$E$3)),"")</x:f>
      </x:c>
      <x:c r="AS87" s="68" t="str">
        <x:f>IF(COLUMN()-2&lt;=$E$3,INDEX($B$10:$B$59,RANDBETWEEN(1,$E$3)),"")</x:f>
      </x:c>
      <x:c r="AT87" s="68" t="str">
        <x:f>IF(COLUMN()-2&lt;=$E$3,INDEX($B$10:$B$59,RANDBETWEEN(1,$E$3)),"")</x:f>
      </x:c>
      <x:c r="AU87" s="68" t="str">
        <x:f>IF(COLUMN()-2&lt;=$E$3,INDEX($B$10:$B$59,RANDBETWEEN(1,$E$3)),"")</x:f>
      </x:c>
      <x:c r="AV87" s="68" t="str">
        <x:f>IF(COLUMN()-2&lt;=$E$3,INDEX($B$10:$B$59,RANDBETWEEN(1,$E$3)),"")</x:f>
      </x:c>
      <x:c r="AW87" s="68" t="str">
        <x:f>IF(COLUMN()-2&lt;=$E$3,INDEX($B$10:$B$59,RANDBETWEEN(1,$E$3)),"")</x:f>
      </x:c>
      <x:c r="AX87" s="68" t="str">
        <x:f>IF(COLUMN()-2&lt;=$E$3,INDEX($B$10:$B$59,RANDBETWEEN(1,$E$3)),"")</x:f>
      </x:c>
      <x:c r="AY87" s="68" t="str">
        <x:f>IF(COLUMN()-2&lt;=$E$3,INDEX($B$10:$B$59,RANDBETWEEN(1,$E$3)),"")</x:f>
      </x:c>
      <x:c r="AZ87" s="68" t="str">
        <x:f>IF(COLUMN()-2&lt;=$E$3,INDEX($B$10:$B$59,RANDBETWEEN(1,$E$3)),"")</x:f>
      </x:c>
      <x:c r="BA87" s="68" t="str">
        <x:f>IF($E$3=0,"",AVERAGE(C87:AZ87))</x:f>
      </x:c>
    </x:row>
    <x:row r="88">
      <x:c r="A88" t="n">
        <x:v>24</x:v>
      </x:c>
      <x:c r="C88" s="68" t="str">
        <x:f>IF(COLUMN()-2&lt;=$E$3,INDEX($B$10:$B$59,RANDBETWEEN(1,$E$3)),"")</x:f>
      </x:c>
      <x:c r="D88" s="68" t="str">
        <x:f>IF(COLUMN()-2&lt;=$E$3,INDEX($B$10:$B$59,RANDBETWEEN(1,$E$3)),"")</x:f>
      </x:c>
      <x:c r="E88" s="68" t="str">
        <x:f>IF(COLUMN()-2&lt;=$E$3,INDEX($B$10:$B$59,RANDBETWEEN(1,$E$3)),"")</x:f>
      </x:c>
      <x:c r="F88" s="68" t="str">
        <x:f>IF(COLUMN()-2&lt;=$E$3,INDEX($B$10:$B$59,RANDBETWEEN(1,$E$3)),"")</x:f>
      </x:c>
      <x:c r="G88" s="68" t="str">
        <x:f>IF(COLUMN()-2&lt;=$E$3,INDEX($B$10:$B$59,RANDBETWEEN(1,$E$3)),"")</x:f>
      </x:c>
      <x:c r="H88" s="68" t="str">
        <x:f>IF(COLUMN()-2&lt;=$E$3,INDEX($B$10:$B$59,RANDBETWEEN(1,$E$3)),"")</x:f>
      </x:c>
      <x:c r="I88" s="68" t="str">
        <x:f>IF(COLUMN()-2&lt;=$E$3,INDEX($B$10:$B$59,RANDBETWEEN(1,$E$3)),"")</x:f>
      </x:c>
      <x:c r="J88" s="68" t="str">
        <x:f>IF(COLUMN()-2&lt;=$E$3,INDEX($B$10:$B$59,RANDBETWEEN(1,$E$3)),"")</x:f>
      </x:c>
      <x:c r="K88" s="68" t="str">
        <x:f>IF(COLUMN()-2&lt;=$E$3,INDEX($B$10:$B$59,RANDBETWEEN(1,$E$3)),"")</x:f>
      </x:c>
      <x:c r="L88" s="68" t="str">
        <x:f>IF(COLUMN()-2&lt;=$E$3,INDEX($B$10:$B$59,RANDBETWEEN(1,$E$3)),"")</x:f>
      </x:c>
      <x:c r="M88" s="68" t="str">
        <x:f>IF(COLUMN()-2&lt;=$E$3,INDEX($B$10:$B$59,RANDBETWEEN(1,$E$3)),"")</x:f>
      </x:c>
      <x:c r="N88" s="68" t="str">
        <x:f>IF(COLUMN()-2&lt;=$E$3,INDEX($B$10:$B$59,RANDBETWEEN(1,$E$3)),"")</x:f>
      </x:c>
      <x:c r="O88" s="68" t="str">
        <x:f>IF(COLUMN()-2&lt;=$E$3,INDEX($B$10:$B$59,RANDBETWEEN(1,$E$3)),"")</x:f>
      </x:c>
      <x:c r="P88" s="68" t="str">
        <x:f>IF(COLUMN()-2&lt;=$E$3,INDEX($B$10:$B$59,RANDBETWEEN(1,$E$3)),"")</x:f>
      </x:c>
      <x:c r="Q88" s="68" t="str">
        <x:f>IF(COLUMN()-2&lt;=$E$3,INDEX($B$10:$B$59,RANDBETWEEN(1,$E$3)),"")</x:f>
      </x:c>
      <x:c r="R88" s="68" t="str">
        <x:f>IF(COLUMN()-2&lt;=$E$3,INDEX($B$10:$B$59,RANDBETWEEN(1,$E$3)),"")</x:f>
      </x:c>
      <x:c r="S88" s="68" t="str">
        <x:f>IF(COLUMN()-2&lt;=$E$3,INDEX($B$10:$B$59,RANDBETWEEN(1,$E$3)),"")</x:f>
      </x:c>
      <x:c r="T88" s="68" t="str">
        <x:f>IF(COLUMN()-2&lt;=$E$3,INDEX($B$10:$B$59,RANDBETWEEN(1,$E$3)),"")</x:f>
      </x:c>
      <x:c r="U88" s="68" t="str">
        <x:f>IF(COLUMN()-2&lt;=$E$3,INDEX($B$10:$B$59,RANDBETWEEN(1,$E$3)),"")</x:f>
      </x:c>
      <x:c r="V88" s="68" t="str">
        <x:f>IF(COLUMN()-2&lt;=$E$3,INDEX($B$10:$B$59,RANDBETWEEN(1,$E$3)),"")</x:f>
      </x:c>
      <x:c r="W88" s="68" t="str">
        <x:f>IF(COLUMN()-2&lt;=$E$3,INDEX($B$10:$B$59,RANDBETWEEN(1,$E$3)),"")</x:f>
      </x:c>
      <x:c r="X88" s="68" t="str">
        <x:f>IF(COLUMN()-2&lt;=$E$3,INDEX($B$10:$B$59,RANDBETWEEN(1,$E$3)),"")</x:f>
      </x:c>
      <x:c r="Y88" s="68" t="str">
        <x:f>IF(COLUMN()-2&lt;=$E$3,INDEX($B$10:$B$59,RANDBETWEEN(1,$E$3)),"")</x:f>
      </x:c>
      <x:c r="Z88" s="68" t="str">
        <x:f>IF(COLUMN()-2&lt;=$E$3,INDEX($B$10:$B$59,RANDBETWEEN(1,$E$3)),"")</x:f>
      </x:c>
      <x:c r="AA88" s="68" t="str">
        <x:f>IF(COLUMN()-2&lt;=$E$3,INDEX($B$10:$B$59,RANDBETWEEN(1,$E$3)),"")</x:f>
      </x:c>
      <x:c r="AB88" s="68" t="str">
        <x:f>IF(COLUMN()-2&lt;=$E$3,INDEX($B$10:$B$59,RANDBETWEEN(1,$E$3)),"")</x:f>
      </x:c>
      <x:c r="AC88" s="68" t="str">
        <x:f>IF(COLUMN()-2&lt;=$E$3,INDEX($B$10:$B$59,RANDBETWEEN(1,$E$3)),"")</x:f>
      </x:c>
      <x:c r="AD88" s="68" t="str">
        <x:f>IF(COLUMN()-2&lt;=$E$3,INDEX($B$10:$B$59,RANDBETWEEN(1,$E$3)),"")</x:f>
      </x:c>
      <x:c r="AE88" s="68" t="str">
        <x:f>IF(COLUMN()-2&lt;=$E$3,INDEX($B$10:$B$59,RANDBETWEEN(1,$E$3)),"")</x:f>
      </x:c>
      <x:c r="AF88" s="68" t="str">
        <x:f>IF(COLUMN()-2&lt;=$E$3,INDEX($B$10:$B$59,RANDBETWEEN(1,$E$3)),"")</x:f>
      </x:c>
      <x:c r="AG88" s="68" t="str">
        <x:f>IF(COLUMN()-2&lt;=$E$3,INDEX($B$10:$B$59,RANDBETWEEN(1,$E$3)),"")</x:f>
      </x:c>
      <x:c r="AH88" s="68" t="str">
        <x:f>IF(COLUMN()-2&lt;=$E$3,INDEX($B$10:$B$59,RANDBETWEEN(1,$E$3)),"")</x:f>
      </x:c>
      <x:c r="AI88" s="68" t="str">
        <x:f>IF(COLUMN()-2&lt;=$E$3,INDEX($B$10:$B$59,RANDBETWEEN(1,$E$3)),"")</x:f>
      </x:c>
      <x:c r="AJ88" s="68" t="str">
        <x:f>IF(COLUMN()-2&lt;=$E$3,INDEX($B$10:$B$59,RANDBETWEEN(1,$E$3)),"")</x:f>
      </x:c>
      <x:c r="AK88" s="68" t="str">
        <x:f>IF(COLUMN()-2&lt;=$E$3,INDEX($B$10:$B$59,RANDBETWEEN(1,$E$3)),"")</x:f>
      </x:c>
      <x:c r="AL88" s="68" t="str">
        <x:f>IF(COLUMN()-2&lt;=$E$3,INDEX($B$10:$B$59,RANDBETWEEN(1,$E$3)),"")</x:f>
      </x:c>
      <x:c r="AM88" s="68" t="str">
        <x:f>IF(COLUMN()-2&lt;=$E$3,INDEX($B$10:$B$59,RANDBETWEEN(1,$E$3)),"")</x:f>
      </x:c>
      <x:c r="AN88" s="68" t="str">
        <x:f>IF(COLUMN()-2&lt;=$E$3,INDEX($B$10:$B$59,RANDBETWEEN(1,$E$3)),"")</x:f>
      </x:c>
      <x:c r="AO88" s="68" t="str">
        <x:f>IF(COLUMN()-2&lt;=$E$3,INDEX($B$10:$B$59,RANDBETWEEN(1,$E$3)),"")</x:f>
      </x:c>
      <x:c r="AP88" s="68" t="str">
        <x:f>IF(COLUMN()-2&lt;=$E$3,INDEX($B$10:$B$59,RANDBETWEEN(1,$E$3)),"")</x:f>
      </x:c>
      <x:c r="AQ88" s="68" t="str">
        <x:f>IF(COLUMN()-2&lt;=$E$3,INDEX($B$10:$B$59,RANDBETWEEN(1,$E$3)),"")</x:f>
      </x:c>
      <x:c r="AR88" s="68" t="str">
        <x:f>IF(COLUMN()-2&lt;=$E$3,INDEX($B$10:$B$59,RANDBETWEEN(1,$E$3)),"")</x:f>
      </x:c>
      <x:c r="AS88" s="68" t="str">
        <x:f>IF(COLUMN()-2&lt;=$E$3,INDEX($B$10:$B$59,RANDBETWEEN(1,$E$3)),"")</x:f>
      </x:c>
      <x:c r="AT88" s="68" t="str">
        <x:f>IF(COLUMN()-2&lt;=$E$3,INDEX($B$10:$B$59,RANDBETWEEN(1,$E$3)),"")</x:f>
      </x:c>
      <x:c r="AU88" s="68" t="str">
        <x:f>IF(COLUMN()-2&lt;=$E$3,INDEX($B$10:$B$59,RANDBETWEEN(1,$E$3)),"")</x:f>
      </x:c>
      <x:c r="AV88" s="68" t="str">
        <x:f>IF(COLUMN()-2&lt;=$E$3,INDEX($B$10:$B$59,RANDBETWEEN(1,$E$3)),"")</x:f>
      </x:c>
      <x:c r="AW88" s="68" t="str">
        <x:f>IF(COLUMN()-2&lt;=$E$3,INDEX($B$10:$B$59,RANDBETWEEN(1,$E$3)),"")</x:f>
      </x:c>
      <x:c r="AX88" s="68" t="str">
        <x:f>IF(COLUMN()-2&lt;=$E$3,INDEX($B$10:$B$59,RANDBETWEEN(1,$E$3)),"")</x:f>
      </x:c>
      <x:c r="AY88" s="68" t="str">
        <x:f>IF(COLUMN()-2&lt;=$E$3,INDEX($B$10:$B$59,RANDBETWEEN(1,$E$3)),"")</x:f>
      </x:c>
      <x:c r="AZ88" s="68" t="str">
        <x:f>IF(COLUMN()-2&lt;=$E$3,INDEX($B$10:$B$59,RANDBETWEEN(1,$E$3)),"")</x:f>
      </x:c>
      <x:c r="BA88" s="68" t="str">
        <x:f>IF($E$3=0,"",AVERAGE(C88:AZ88))</x:f>
      </x:c>
    </x:row>
    <x:row r="89">
      <x:c r="A89" t="n">
        <x:v>25</x:v>
      </x:c>
      <x:c r="C89" s="68" t="str">
        <x:f>IF(COLUMN()-2&lt;=$E$3,INDEX($B$10:$B$59,RANDBETWEEN(1,$E$3)),"")</x:f>
      </x:c>
      <x:c r="D89" s="68" t="str">
        <x:f>IF(COLUMN()-2&lt;=$E$3,INDEX($B$10:$B$59,RANDBETWEEN(1,$E$3)),"")</x:f>
      </x:c>
      <x:c r="E89" s="68" t="str">
        <x:f>IF(COLUMN()-2&lt;=$E$3,INDEX($B$10:$B$59,RANDBETWEEN(1,$E$3)),"")</x:f>
      </x:c>
      <x:c r="F89" s="68" t="str">
        <x:f>IF(COLUMN()-2&lt;=$E$3,INDEX($B$10:$B$59,RANDBETWEEN(1,$E$3)),"")</x:f>
      </x:c>
      <x:c r="G89" s="68" t="str">
        <x:f>IF(COLUMN()-2&lt;=$E$3,INDEX($B$10:$B$59,RANDBETWEEN(1,$E$3)),"")</x:f>
      </x:c>
      <x:c r="H89" s="68" t="str">
        <x:f>IF(COLUMN()-2&lt;=$E$3,INDEX($B$10:$B$59,RANDBETWEEN(1,$E$3)),"")</x:f>
      </x:c>
      <x:c r="I89" s="68" t="str">
        <x:f>IF(COLUMN()-2&lt;=$E$3,INDEX($B$10:$B$59,RANDBETWEEN(1,$E$3)),"")</x:f>
      </x:c>
      <x:c r="J89" s="68" t="str">
        <x:f>IF(COLUMN()-2&lt;=$E$3,INDEX($B$10:$B$59,RANDBETWEEN(1,$E$3)),"")</x:f>
      </x:c>
      <x:c r="K89" s="68" t="str">
        <x:f>IF(COLUMN()-2&lt;=$E$3,INDEX($B$10:$B$59,RANDBETWEEN(1,$E$3)),"")</x:f>
      </x:c>
      <x:c r="L89" s="68" t="str">
        <x:f>IF(COLUMN()-2&lt;=$E$3,INDEX($B$10:$B$59,RANDBETWEEN(1,$E$3)),"")</x:f>
      </x:c>
      <x:c r="M89" s="68" t="str">
        <x:f>IF(COLUMN()-2&lt;=$E$3,INDEX($B$10:$B$59,RANDBETWEEN(1,$E$3)),"")</x:f>
      </x:c>
      <x:c r="N89" s="68" t="str">
        <x:f>IF(COLUMN()-2&lt;=$E$3,INDEX($B$10:$B$59,RANDBETWEEN(1,$E$3)),"")</x:f>
      </x:c>
      <x:c r="O89" s="68" t="str">
        <x:f>IF(COLUMN()-2&lt;=$E$3,INDEX($B$10:$B$59,RANDBETWEEN(1,$E$3)),"")</x:f>
      </x:c>
      <x:c r="P89" s="68" t="str">
        <x:f>IF(COLUMN()-2&lt;=$E$3,INDEX($B$10:$B$59,RANDBETWEEN(1,$E$3)),"")</x:f>
      </x:c>
      <x:c r="Q89" s="68" t="str">
        <x:f>IF(COLUMN()-2&lt;=$E$3,INDEX($B$10:$B$59,RANDBETWEEN(1,$E$3)),"")</x:f>
      </x:c>
      <x:c r="R89" s="68" t="str">
        <x:f>IF(COLUMN()-2&lt;=$E$3,INDEX($B$10:$B$59,RANDBETWEEN(1,$E$3)),"")</x:f>
      </x:c>
      <x:c r="S89" s="68" t="str">
        <x:f>IF(COLUMN()-2&lt;=$E$3,INDEX($B$10:$B$59,RANDBETWEEN(1,$E$3)),"")</x:f>
      </x:c>
      <x:c r="T89" s="68" t="str">
        <x:f>IF(COLUMN()-2&lt;=$E$3,INDEX($B$10:$B$59,RANDBETWEEN(1,$E$3)),"")</x:f>
      </x:c>
      <x:c r="U89" s="68" t="str">
        <x:f>IF(COLUMN()-2&lt;=$E$3,INDEX($B$10:$B$59,RANDBETWEEN(1,$E$3)),"")</x:f>
      </x:c>
      <x:c r="V89" s="68" t="str">
        <x:f>IF(COLUMN()-2&lt;=$E$3,INDEX($B$10:$B$59,RANDBETWEEN(1,$E$3)),"")</x:f>
      </x:c>
      <x:c r="W89" s="68" t="str">
        <x:f>IF(COLUMN()-2&lt;=$E$3,INDEX($B$10:$B$59,RANDBETWEEN(1,$E$3)),"")</x:f>
      </x:c>
      <x:c r="X89" s="68" t="str">
        <x:f>IF(COLUMN()-2&lt;=$E$3,INDEX($B$10:$B$59,RANDBETWEEN(1,$E$3)),"")</x:f>
      </x:c>
      <x:c r="Y89" s="68" t="str">
        <x:f>IF(COLUMN()-2&lt;=$E$3,INDEX($B$10:$B$59,RANDBETWEEN(1,$E$3)),"")</x:f>
      </x:c>
      <x:c r="Z89" s="68" t="str">
        <x:f>IF(COLUMN()-2&lt;=$E$3,INDEX($B$10:$B$59,RANDBETWEEN(1,$E$3)),"")</x:f>
      </x:c>
      <x:c r="AA89" s="68" t="str">
        <x:f>IF(COLUMN()-2&lt;=$E$3,INDEX($B$10:$B$59,RANDBETWEEN(1,$E$3)),"")</x:f>
      </x:c>
      <x:c r="AB89" s="68" t="str">
        <x:f>IF(COLUMN()-2&lt;=$E$3,INDEX($B$10:$B$59,RANDBETWEEN(1,$E$3)),"")</x:f>
      </x:c>
      <x:c r="AC89" s="68" t="str">
        <x:f>IF(COLUMN()-2&lt;=$E$3,INDEX($B$10:$B$59,RANDBETWEEN(1,$E$3)),"")</x:f>
      </x:c>
      <x:c r="AD89" s="68" t="str">
        <x:f>IF(COLUMN()-2&lt;=$E$3,INDEX($B$10:$B$59,RANDBETWEEN(1,$E$3)),"")</x:f>
      </x:c>
      <x:c r="AE89" s="68" t="str">
        <x:f>IF(COLUMN()-2&lt;=$E$3,INDEX($B$10:$B$59,RANDBETWEEN(1,$E$3)),"")</x:f>
      </x:c>
      <x:c r="AF89" s="68" t="str">
        <x:f>IF(COLUMN()-2&lt;=$E$3,INDEX($B$10:$B$59,RANDBETWEEN(1,$E$3)),"")</x:f>
      </x:c>
      <x:c r="AG89" s="68" t="str">
        <x:f>IF(COLUMN()-2&lt;=$E$3,INDEX($B$10:$B$59,RANDBETWEEN(1,$E$3)),"")</x:f>
      </x:c>
      <x:c r="AH89" s="68" t="str">
        <x:f>IF(COLUMN()-2&lt;=$E$3,INDEX($B$10:$B$59,RANDBETWEEN(1,$E$3)),"")</x:f>
      </x:c>
      <x:c r="AI89" s="68" t="str">
        <x:f>IF(COLUMN()-2&lt;=$E$3,INDEX($B$10:$B$59,RANDBETWEEN(1,$E$3)),"")</x:f>
      </x:c>
      <x:c r="AJ89" s="68" t="str">
        <x:f>IF(COLUMN()-2&lt;=$E$3,INDEX($B$10:$B$59,RANDBETWEEN(1,$E$3)),"")</x:f>
      </x:c>
      <x:c r="AK89" s="68" t="str">
        <x:f>IF(COLUMN()-2&lt;=$E$3,INDEX($B$10:$B$59,RANDBETWEEN(1,$E$3)),"")</x:f>
      </x:c>
      <x:c r="AL89" s="68" t="str">
        <x:f>IF(COLUMN()-2&lt;=$E$3,INDEX($B$10:$B$59,RANDBETWEEN(1,$E$3)),"")</x:f>
      </x:c>
      <x:c r="AM89" s="68" t="str">
        <x:f>IF(COLUMN()-2&lt;=$E$3,INDEX($B$10:$B$59,RANDBETWEEN(1,$E$3)),"")</x:f>
      </x:c>
      <x:c r="AN89" s="68" t="str">
        <x:f>IF(COLUMN()-2&lt;=$E$3,INDEX($B$10:$B$59,RANDBETWEEN(1,$E$3)),"")</x:f>
      </x:c>
      <x:c r="AO89" s="68" t="str">
        <x:f>IF(COLUMN()-2&lt;=$E$3,INDEX($B$10:$B$59,RANDBETWEEN(1,$E$3)),"")</x:f>
      </x:c>
      <x:c r="AP89" s="68" t="str">
        <x:f>IF(COLUMN()-2&lt;=$E$3,INDEX($B$10:$B$59,RANDBETWEEN(1,$E$3)),"")</x:f>
      </x:c>
      <x:c r="AQ89" s="68" t="str">
        <x:f>IF(COLUMN()-2&lt;=$E$3,INDEX($B$10:$B$59,RANDBETWEEN(1,$E$3)),"")</x:f>
      </x:c>
      <x:c r="AR89" s="68" t="str">
        <x:f>IF(COLUMN()-2&lt;=$E$3,INDEX($B$10:$B$59,RANDBETWEEN(1,$E$3)),"")</x:f>
      </x:c>
      <x:c r="AS89" s="68" t="str">
        <x:f>IF(COLUMN()-2&lt;=$E$3,INDEX($B$10:$B$59,RANDBETWEEN(1,$E$3)),"")</x:f>
      </x:c>
      <x:c r="AT89" s="68" t="str">
        <x:f>IF(COLUMN()-2&lt;=$E$3,INDEX($B$10:$B$59,RANDBETWEEN(1,$E$3)),"")</x:f>
      </x:c>
      <x:c r="AU89" s="68" t="str">
        <x:f>IF(COLUMN()-2&lt;=$E$3,INDEX($B$10:$B$59,RANDBETWEEN(1,$E$3)),"")</x:f>
      </x:c>
      <x:c r="AV89" s="68" t="str">
        <x:f>IF(COLUMN()-2&lt;=$E$3,INDEX($B$10:$B$59,RANDBETWEEN(1,$E$3)),"")</x:f>
      </x:c>
      <x:c r="AW89" s="68" t="str">
        <x:f>IF(COLUMN()-2&lt;=$E$3,INDEX($B$10:$B$59,RANDBETWEEN(1,$E$3)),"")</x:f>
      </x:c>
      <x:c r="AX89" s="68" t="str">
        <x:f>IF(COLUMN()-2&lt;=$E$3,INDEX($B$10:$B$59,RANDBETWEEN(1,$E$3)),"")</x:f>
      </x:c>
      <x:c r="AY89" s="68" t="str">
        <x:f>IF(COLUMN()-2&lt;=$E$3,INDEX($B$10:$B$59,RANDBETWEEN(1,$E$3)),"")</x:f>
      </x:c>
      <x:c r="AZ89" s="68" t="str">
        <x:f>IF(COLUMN()-2&lt;=$E$3,INDEX($B$10:$B$59,RANDBETWEEN(1,$E$3)),"")</x:f>
      </x:c>
      <x:c r="BA89" s="68" t="str">
        <x:f>IF($E$3=0,"",AVERAGE(C89:AZ89))</x:f>
      </x:c>
    </x:row>
    <x:row r="90">
      <x:c r="A90" t="n">
        <x:v>26</x:v>
      </x:c>
      <x:c r="C90" s="68" t="str">
        <x:f>IF(COLUMN()-2&lt;=$E$3,INDEX($B$10:$B$59,RANDBETWEEN(1,$E$3)),"")</x:f>
      </x:c>
      <x:c r="D90" s="68" t="str">
        <x:f>IF(COLUMN()-2&lt;=$E$3,INDEX($B$10:$B$59,RANDBETWEEN(1,$E$3)),"")</x:f>
      </x:c>
      <x:c r="E90" s="68" t="str">
        <x:f>IF(COLUMN()-2&lt;=$E$3,INDEX($B$10:$B$59,RANDBETWEEN(1,$E$3)),"")</x:f>
      </x:c>
      <x:c r="F90" s="68" t="str">
        <x:f>IF(COLUMN()-2&lt;=$E$3,INDEX($B$10:$B$59,RANDBETWEEN(1,$E$3)),"")</x:f>
      </x:c>
      <x:c r="G90" s="68" t="str">
        <x:f>IF(COLUMN()-2&lt;=$E$3,INDEX($B$10:$B$59,RANDBETWEEN(1,$E$3)),"")</x:f>
      </x:c>
      <x:c r="H90" s="68" t="str">
        <x:f>IF(COLUMN()-2&lt;=$E$3,INDEX($B$10:$B$59,RANDBETWEEN(1,$E$3)),"")</x:f>
      </x:c>
      <x:c r="I90" s="68" t="str">
        <x:f>IF(COLUMN()-2&lt;=$E$3,INDEX($B$10:$B$59,RANDBETWEEN(1,$E$3)),"")</x:f>
      </x:c>
      <x:c r="J90" s="68" t="str">
        <x:f>IF(COLUMN()-2&lt;=$E$3,INDEX($B$10:$B$59,RANDBETWEEN(1,$E$3)),"")</x:f>
      </x:c>
      <x:c r="K90" s="68" t="str">
        <x:f>IF(COLUMN()-2&lt;=$E$3,INDEX($B$10:$B$59,RANDBETWEEN(1,$E$3)),"")</x:f>
      </x:c>
      <x:c r="L90" s="68" t="str">
        <x:f>IF(COLUMN()-2&lt;=$E$3,INDEX($B$10:$B$59,RANDBETWEEN(1,$E$3)),"")</x:f>
      </x:c>
      <x:c r="M90" s="68" t="str">
        <x:f>IF(COLUMN()-2&lt;=$E$3,INDEX($B$10:$B$59,RANDBETWEEN(1,$E$3)),"")</x:f>
      </x:c>
      <x:c r="N90" s="68" t="str">
        <x:f>IF(COLUMN()-2&lt;=$E$3,INDEX($B$10:$B$59,RANDBETWEEN(1,$E$3)),"")</x:f>
      </x:c>
      <x:c r="O90" s="68" t="str">
        <x:f>IF(COLUMN()-2&lt;=$E$3,INDEX($B$10:$B$59,RANDBETWEEN(1,$E$3)),"")</x:f>
      </x:c>
      <x:c r="P90" s="68" t="str">
        <x:f>IF(COLUMN()-2&lt;=$E$3,INDEX($B$10:$B$59,RANDBETWEEN(1,$E$3)),"")</x:f>
      </x:c>
      <x:c r="Q90" s="68" t="str">
        <x:f>IF(COLUMN()-2&lt;=$E$3,INDEX($B$10:$B$59,RANDBETWEEN(1,$E$3)),"")</x:f>
      </x:c>
      <x:c r="R90" s="68" t="str">
        <x:f>IF(COLUMN()-2&lt;=$E$3,INDEX($B$10:$B$59,RANDBETWEEN(1,$E$3)),"")</x:f>
      </x:c>
      <x:c r="S90" s="68" t="str">
        <x:f>IF(COLUMN()-2&lt;=$E$3,INDEX($B$10:$B$59,RANDBETWEEN(1,$E$3)),"")</x:f>
      </x:c>
      <x:c r="T90" s="68" t="str">
        <x:f>IF(COLUMN()-2&lt;=$E$3,INDEX($B$10:$B$59,RANDBETWEEN(1,$E$3)),"")</x:f>
      </x:c>
      <x:c r="U90" s="68" t="str">
        <x:f>IF(COLUMN()-2&lt;=$E$3,INDEX($B$10:$B$59,RANDBETWEEN(1,$E$3)),"")</x:f>
      </x:c>
      <x:c r="V90" s="68" t="str">
        <x:f>IF(COLUMN()-2&lt;=$E$3,INDEX($B$10:$B$59,RANDBETWEEN(1,$E$3)),"")</x:f>
      </x:c>
      <x:c r="W90" s="68" t="str">
        <x:f>IF(COLUMN()-2&lt;=$E$3,INDEX($B$10:$B$59,RANDBETWEEN(1,$E$3)),"")</x:f>
      </x:c>
      <x:c r="X90" s="68" t="str">
        <x:f>IF(COLUMN()-2&lt;=$E$3,INDEX($B$10:$B$59,RANDBETWEEN(1,$E$3)),"")</x:f>
      </x:c>
      <x:c r="Y90" s="68" t="str">
        <x:f>IF(COLUMN()-2&lt;=$E$3,INDEX($B$10:$B$59,RANDBETWEEN(1,$E$3)),"")</x:f>
      </x:c>
      <x:c r="Z90" s="68" t="str">
        <x:f>IF(COLUMN()-2&lt;=$E$3,INDEX($B$10:$B$59,RANDBETWEEN(1,$E$3)),"")</x:f>
      </x:c>
      <x:c r="AA90" s="68" t="str">
        <x:f>IF(COLUMN()-2&lt;=$E$3,INDEX($B$10:$B$59,RANDBETWEEN(1,$E$3)),"")</x:f>
      </x:c>
      <x:c r="AB90" s="68" t="str">
        <x:f>IF(COLUMN()-2&lt;=$E$3,INDEX($B$10:$B$59,RANDBETWEEN(1,$E$3)),"")</x:f>
      </x:c>
      <x:c r="AC90" s="68" t="str">
        <x:f>IF(COLUMN()-2&lt;=$E$3,INDEX($B$10:$B$59,RANDBETWEEN(1,$E$3)),"")</x:f>
      </x:c>
      <x:c r="AD90" s="68" t="str">
        <x:f>IF(COLUMN()-2&lt;=$E$3,INDEX($B$10:$B$59,RANDBETWEEN(1,$E$3)),"")</x:f>
      </x:c>
      <x:c r="AE90" s="68" t="str">
        <x:f>IF(COLUMN()-2&lt;=$E$3,INDEX($B$10:$B$59,RANDBETWEEN(1,$E$3)),"")</x:f>
      </x:c>
      <x:c r="AF90" s="68" t="str">
        <x:f>IF(COLUMN()-2&lt;=$E$3,INDEX($B$10:$B$59,RANDBETWEEN(1,$E$3)),"")</x:f>
      </x:c>
      <x:c r="AG90" s="68" t="str">
        <x:f>IF(COLUMN()-2&lt;=$E$3,INDEX($B$10:$B$59,RANDBETWEEN(1,$E$3)),"")</x:f>
      </x:c>
      <x:c r="AH90" s="68" t="str">
        <x:f>IF(COLUMN()-2&lt;=$E$3,INDEX($B$10:$B$59,RANDBETWEEN(1,$E$3)),"")</x:f>
      </x:c>
      <x:c r="AI90" s="68" t="str">
        <x:f>IF(COLUMN()-2&lt;=$E$3,INDEX($B$10:$B$59,RANDBETWEEN(1,$E$3)),"")</x:f>
      </x:c>
      <x:c r="AJ90" s="68" t="str">
        <x:f>IF(COLUMN()-2&lt;=$E$3,INDEX($B$10:$B$59,RANDBETWEEN(1,$E$3)),"")</x:f>
      </x:c>
      <x:c r="AK90" s="68" t="str">
        <x:f>IF(COLUMN()-2&lt;=$E$3,INDEX($B$10:$B$59,RANDBETWEEN(1,$E$3)),"")</x:f>
      </x:c>
      <x:c r="AL90" s="68" t="str">
        <x:f>IF(COLUMN()-2&lt;=$E$3,INDEX($B$10:$B$59,RANDBETWEEN(1,$E$3)),"")</x:f>
      </x:c>
      <x:c r="AM90" s="68" t="str">
        <x:f>IF(COLUMN()-2&lt;=$E$3,INDEX($B$10:$B$59,RANDBETWEEN(1,$E$3)),"")</x:f>
      </x:c>
      <x:c r="AN90" s="68" t="str">
        <x:f>IF(COLUMN()-2&lt;=$E$3,INDEX($B$10:$B$59,RANDBETWEEN(1,$E$3)),"")</x:f>
      </x:c>
      <x:c r="AO90" s="68" t="str">
        <x:f>IF(COLUMN()-2&lt;=$E$3,INDEX($B$10:$B$59,RANDBETWEEN(1,$E$3)),"")</x:f>
      </x:c>
      <x:c r="AP90" s="68" t="str">
        <x:f>IF(COLUMN()-2&lt;=$E$3,INDEX($B$10:$B$59,RANDBETWEEN(1,$E$3)),"")</x:f>
      </x:c>
      <x:c r="AQ90" s="68" t="str">
        <x:f>IF(COLUMN()-2&lt;=$E$3,INDEX($B$10:$B$59,RANDBETWEEN(1,$E$3)),"")</x:f>
      </x:c>
      <x:c r="AR90" s="68" t="str">
        <x:f>IF(COLUMN()-2&lt;=$E$3,INDEX($B$10:$B$59,RANDBETWEEN(1,$E$3)),"")</x:f>
      </x:c>
      <x:c r="AS90" s="68" t="str">
        <x:f>IF(COLUMN()-2&lt;=$E$3,INDEX($B$10:$B$59,RANDBETWEEN(1,$E$3)),"")</x:f>
      </x:c>
      <x:c r="AT90" s="68" t="str">
        <x:f>IF(COLUMN()-2&lt;=$E$3,INDEX($B$10:$B$59,RANDBETWEEN(1,$E$3)),"")</x:f>
      </x:c>
      <x:c r="AU90" s="68" t="str">
        <x:f>IF(COLUMN()-2&lt;=$E$3,INDEX($B$10:$B$59,RANDBETWEEN(1,$E$3)),"")</x:f>
      </x:c>
      <x:c r="AV90" s="68" t="str">
        <x:f>IF(COLUMN()-2&lt;=$E$3,INDEX($B$10:$B$59,RANDBETWEEN(1,$E$3)),"")</x:f>
      </x:c>
      <x:c r="AW90" s="68" t="str">
        <x:f>IF(COLUMN()-2&lt;=$E$3,INDEX($B$10:$B$59,RANDBETWEEN(1,$E$3)),"")</x:f>
      </x:c>
      <x:c r="AX90" s="68" t="str">
        <x:f>IF(COLUMN()-2&lt;=$E$3,INDEX($B$10:$B$59,RANDBETWEEN(1,$E$3)),"")</x:f>
      </x:c>
      <x:c r="AY90" s="68" t="str">
        <x:f>IF(COLUMN()-2&lt;=$E$3,INDEX($B$10:$B$59,RANDBETWEEN(1,$E$3)),"")</x:f>
      </x:c>
      <x:c r="AZ90" s="68" t="str">
        <x:f>IF(COLUMN()-2&lt;=$E$3,INDEX($B$10:$B$59,RANDBETWEEN(1,$E$3)),"")</x:f>
      </x:c>
      <x:c r="BA90" s="68" t="str">
        <x:f>IF($E$3=0,"",AVERAGE(C90:AZ90))</x:f>
      </x:c>
    </x:row>
    <x:row r="91">
      <x:c r="A91" t="n">
        <x:v>27</x:v>
      </x:c>
      <x:c r="C91" s="68" t="str">
        <x:f>IF(COLUMN()-2&lt;=$E$3,INDEX($B$10:$B$59,RANDBETWEEN(1,$E$3)),"")</x:f>
      </x:c>
      <x:c r="D91" s="68" t="str">
        <x:f>IF(COLUMN()-2&lt;=$E$3,INDEX($B$10:$B$59,RANDBETWEEN(1,$E$3)),"")</x:f>
      </x:c>
      <x:c r="E91" s="68" t="str">
        <x:f>IF(COLUMN()-2&lt;=$E$3,INDEX($B$10:$B$59,RANDBETWEEN(1,$E$3)),"")</x:f>
      </x:c>
      <x:c r="F91" s="68" t="str">
        <x:f>IF(COLUMN()-2&lt;=$E$3,INDEX($B$10:$B$59,RANDBETWEEN(1,$E$3)),"")</x:f>
      </x:c>
      <x:c r="G91" s="68" t="str">
        <x:f>IF(COLUMN()-2&lt;=$E$3,INDEX($B$10:$B$59,RANDBETWEEN(1,$E$3)),"")</x:f>
      </x:c>
      <x:c r="H91" s="68" t="str">
        <x:f>IF(COLUMN()-2&lt;=$E$3,INDEX($B$10:$B$59,RANDBETWEEN(1,$E$3)),"")</x:f>
      </x:c>
      <x:c r="I91" s="68" t="str">
        <x:f>IF(COLUMN()-2&lt;=$E$3,INDEX($B$10:$B$59,RANDBETWEEN(1,$E$3)),"")</x:f>
      </x:c>
      <x:c r="J91" s="68" t="str">
        <x:f>IF(COLUMN()-2&lt;=$E$3,INDEX($B$10:$B$59,RANDBETWEEN(1,$E$3)),"")</x:f>
      </x:c>
      <x:c r="K91" s="68" t="str">
        <x:f>IF(COLUMN()-2&lt;=$E$3,INDEX($B$10:$B$59,RANDBETWEEN(1,$E$3)),"")</x:f>
      </x:c>
      <x:c r="L91" s="68" t="str">
        <x:f>IF(COLUMN()-2&lt;=$E$3,INDEX($B$10:$B$59,RANDBETWEEN(1,$E$3)),"")</x:f>
      </x:c>
      <x:c r="M91" s="68" t="str">
        <x:f>IF(COLUMN()-2&lt;=$E$3,INDEX($B$10:$B$59,RANDBETWEEN(1,$E$3)),"")</x:f>
      </x:c>
      <x:c r="N91" s="68" t="str">
        <x:f>IF(COLUMN()-2&lt;=$E$3,INDEX($B$10:$B$59,RANDBETWEEN(1,$E$3)),"")</x:f>
      </x:c>
      <x:c r="O91" s="68" t="str">
        <x:f>IF(COLUMN()-2&lt;=$E$3,INDEX($B$10:$B$59,RANDBETWEEN(1,$E$3)),"")</x:f>
      </x:c>
      <x:c r="P91" s="68" t="str">
        <x:f>IF(COLUMN()-2&lt;=$E$3,INDEX($B$10:$B$59,RANDBETWEEN(1,$E$3)),"")</x:f>
      </x:c>
      <x:c r="Q91" s="68" t="str">
        <x:f>IF(COLUMN()-2&lt;=$E$3,INDEX($B$10:$B$59,RANDBETWEEN(1,$E$3)),"")</x:f>
      </x:c>
      <x:c r="R91" s="68" t="str">
        <x:f>IF(COLUMN()-2&lt;=$E$3,INDEX($B$10:$B$59,RANDBETWEEN(1,$E$3)),"")</x:f>
      </x:c>
      <x:c r="S91" s="68" t="str">
        <x:f>IF(COLUMN()-2&lt;=$E$3,INDEX($B$10:$B$59,RANDBETWEEN(1,$E$3)),"")</x:f>
      </x:c>
      <x:c r="T91" s="68" t="str">
        <x:f>IF(COLUMN()-2&lt;=$E$3,INDEX($B$10:$B$59,RANDBETWEEN(1,$E$3)),"")</x:f>
      </x:c>
      <x:c r="U91" s="68" t="str">
        <x:f>IF(COLUMN()-2&lt;=$E$3,INDEX($B$10:$B$59,RANDBETWEEN(1,$E$3)),"")</x:f>
      </x:c>
      <x:c r="V91" s="68" t="str">
        <x:f>IF(COLUMN()-2&lt;=$E$3,INDEX($B$10:$B$59,RANDBETWEEN(1,$E$3)),"")</x:f>
      </x:c>
      <x:c r="W91" s="68" t="str">
        <x:f>IF(COLUMN()-2&lt;=$E$3,INDEX($B$10:$B$59,RANDBETWEEN(1,$E$3)),"")</x:f>
      </x:c>
      <x:c r="X91" s="68" t="str">
        <x:f>IF(COLUMN()-2&lt;=$E$3,INDEX($B$10:$B$59,RANDBETWEEN(1,$E$3)),"")</x:f>
      </x:c>
      <x:c r="Y91" s="68" t="str">
        <x:f>IF(COLUMN()-2&lt;=$E$3,INDEX($B$10:$B$59,RANDBETWEEN(1,$E$3)),"")</x:f>
      </x:c>
      <x:c r="Z91" s="68" t="str">
        <x:f>IF(COLUMN()-2&lt;=$E$3,INDEX($B$10:$B$59,RANDBETWEEN(1,$E$3)),"")</x:f>
      </x:c>
      <x:c r="AA91" s="68" t="str">
        <x:f>IF(COLUMN()-2&lt;=$E$3,INDEX($B$10:$B$59,RANDBETWEEN(1,$E$3)),"")</x:f>
      </x:c>
      <x:c r="AB91" s="68" t="str">
        <x:f>IF(COLUMN()-2&lt;=$E$3,INDEX($B$10:$B$59,RANDBETWEEN(1,$E$3)),"")</x:f>
      </x:c>
      <x:c r="AC91" s="68" t="str">
        <x:f>IF(COLUMN()-2&lt;=$E$3,INDEX($B$10:$B$59,RANDBETWEEN(1,$E$3)),"")</x:f>
      </x:c>
      <x:c r="AD91" s="68" t="str">
        <x:f>IF(COLUMN()-2&lt;=$E$3,INDEX($B$10:$B$59,RANDBETWEEN(1,$E$3)),"")</x:f>
      </x:c>
      <x:c r="AE91" s="68" t="str">
        <x:f>IF(COLUMN()-2&lt;=$E$3,INDEX($B$10:$B$59,RANDBETWEEN(1,$E$3)),"")</x:f>
      </x:c>
      <x:c r="AF91" s="68" t="str">
        <x:f>IF(COLUMN()-2&lt;=$E$3,INDEX($B$10:$B$59,RANDBETWEEN(1,$E$3)),"")</x:f>
      </x:c>
      <x:c r="AG91" s="68" t="str">
        <x:f>IF(COLUMN()-2&lt;=$E$3,INDEX($B$10:$B$59,RANDBETWEEN(1,$E$3)),"")</x:f>
      </x:c>
      <x:c r="AH91" s="68" t="str">
        <x:f>IF(COLUMN()-2&lt;=$E$3,INDEX($B$10:$B$59,RANDBETWEEN(1,$E$3)),"")</x:f>
      </x:c>
      <x:c r="AI91" s="68" t="str">
        <x:f>IF(COLUMN()-2&lt;=$E$3,INDEX($B$10:$B$59,RANDBETWEEN(1,$E$3)),"")</x:f>
      </x:c>
      <x:c r="AJ91" s="68" t="str">
        <x:f>IF(COLUMN()-2&lt;=$E$3,INDEX($B$10:$B$59,RANDBETWEEN(1,$E$3)),"")</x:f>
      </x:c>
      <x:c r="AK91" s="68" t="str">
        <x:f>IF(COLUMN()-2&lt;=$E$3,INDEX($B$10:$B$59,RANDBETWEEN(1,$E$3)),"")</x:f>
      </x:c>
      <x:c r="AL91" s="68" t="str">
        <x:f>IF(COLUMN()-2&lt;=$E$3,INDEX($B$10:$B$59,RANDBETWEEN(1,$E$3)),"")</x:f>
      </x:c>
      <x:c r="AM91" s="68" t="str">
        <x:f>IF(COLUMN()-2&lt;=$E$3,INDEX($B$10:$B$59,RANDBETWEEN(1,$E$3)),"")</x:f>
      </x:c>
      <x:c r="AN91" s="68" t="str">
        <x:f>IF(COLUMN()-2&lt;=$E$3,INDEX($B$10:$B$59,RANDBETWEEN(1,$E$3)),"")</x:f>
      </x:c>
      <x:c r="AO91" s="68" t="str">
        <x:f>IF(COLUMN()-2&lt;=$E$3,INDEX($B$10:$B$59,RANDBETWEEN(1,$E$3)),"")</x:f>
      </x:c>
      <x:c r="AP91" s="68" t="str">
        <x:f>IF(COLUMN()-2&lt;=$E$3,INDEX($B$10:$B$59,RANDBETWEEN(1,$E$3)),"")</x:f>
      </x:c>
      <x:c r="AQ91" s="68" t="str">
        <x:f>IF(COLUMN()-2&lt;=$E$3,INDEX($B$10:$B$59,RANDBETWEEN(1,$E$3)),"")</x:f>
      </x:c>
      <x:c r="AR91" s="68" t="str">
        <x:f>IF(COLUMN()-2&lt;=$E$3,INDEX($B$10:$B$59,RANDBETWEEN(1,$E$3)),"")</x:f>
      </x:c>
      <x:c r="AS91" s="68" t="str">
        <x:f>IF(COLUMN()-2&lt;=$E$3,INDEX($B$10:$B$59,RANDBETWEEN(1,$E$3)),"")</x:f>
      </x:c>
      <x:c r="AT91" s="68" t="str">
        <x:f>IF(COLUMN()-2&lt;=$E$3,INDEX($B$10:$B$59,RANDBETWEEN(1,$E$3)),"")</x:f>
      </x:c>
      <x:c r="AU91" s="68" t="str">
        <x:f>IF(COLUMN()-2&lt;=$E$3,INDEX($B$10:$B$59,RANDBETWEEN(1,$E$3)),"")</x:f>
      </x:c>
      <x:c r="AV91" s="68" t="str">
        <x:f>IF(COLUMN()-2&lt;=$E$3,INDEX($B$10:$B$59,RANDBETWEEN(1,$E$3)),"")</x:f>
      </x:c>
      <x:c r="AW91" s="68" t="str">
        <x:f>IF(COLUMN()-2&lt;=$E$3,INDEX($B$10:$B$59,RANDBETWEEN(1,$E$3)),"")</x:f>
      </x:c>
      <x:c r="AX91" s="68" t="str">
        <x:f>IF(COLUMN()-2&lt;=$E$3,INDEX($B$10:$B$59,RANDBETWEEN(1,$E$3)),"")</x:f>
      </x:c>
      <x:c r="AY91" s="68" t="str">
        <x:f>IF(COLUMN()-2&lt;=$E$3,INDEX($B$10:$B$59,RANDBETWEEN(1,$E$3)),"")</x:f>
      </x:c>
      <x:c r="AZ91" s="68" t="str">
        <x:f>IF(COLUMN()-2&lt;=$E$3,INDEX($B$10:$B$59,RANDBETWEEN(1,$E$3)),"")</x:f>
      </x:c>
      <x:c r="BA91" s="68" t="str">
        <x:f>IF($E$3=0,"",AVERAGE(C91:AZ91))</x:f>
      </x:c>
    </x:row>
    <x:row r="92">
      <x:c r="A92" t="n">
        <x:v>28</x:v>
      </x:c>
      <x:c r="C92" s="68" t="str">
        <x:f>IF(COLUMN()-2&lt;=$E$3,INDEX($B$10:$B$59,RANDBETWEEN(1,$E$3)),"")</x:f>
      </x:c>
      <x:c r="D92" s="68" t="str">
        <x:f>IF(COLUMN()-2&lt;=$E$3,INDEX($B$10:$B$59,RANDBETWEEN(1,$E$3)),"")</x:f>
      </x:c>
      <x:c r="E92" s="68" t="str">
        <x:f>IF(COLUMN()-2&lt;=$E$3,INDEX($B$10:$B$59,RANDBETWEEN(1,$E$3)),"")</x:f>
      </x:c>
      <x:c r="F92" s="68" t="str">
        <x:f>IF(COLUMN()-2&lt;=$E$3,INDEX($B$10:$B$59,RANDBETWEEN(1,$E$3)),"")</x:f>
      </x:c>
      <x:c r="G92" s="68" t="str">
        <x:f>IF(COLUMN()-2&lt;=$E$3,INDEX($B$10:$B$59,RANDBETWEEN(1,$E$3)),"")</x:f>
      </x:c>
      <x:c r="H92" s="68" t="str">
        <x:f>IF(COLUMN()-2&lt;=$E$3,INDEX($B$10:$B$59,RANDBETWEEN(1,$E$3)),"")</x:f>
      </x:c>
      <x:c r="I92" s="68" t="str">
        <x:f>IF(COLUMN()-2&lt;=$E$3,INDEX($B$10:$B$59,RANDBETWEEN(1,$E$3)),"")</x:f>
      </x:c>
      <x:c r="J92" s="68" t="str">
        <x:f>IF(COLUMN()-2&lt;=$E$3,INDEX($B$10:$B$59,RANDBETWEEN(1,$E$3)),"")</x:f>
      </x:c>
      <x:c r="K92" s="68" t="str">
        <x:f>IF(COLUMN()-2&lt;=$E$3,INDEX($B$10:$B$59,RANDBETWEEN(1,$E$3)),"")</x:f>
      </x:c>
      <x:c r="L92" s="68" t="str">
        <x:f>IF(COLUMN()-2&lt;=$E$3,INDEX($B$10:$B$59,RANDBETWEEN(1,$E$3)),"")</x:f>
      </x:c>
      <x:c r="M92" s="68" t="str">
        <x:f>IF(COLUMN()-2&lt;=$E$3,INDEX($B$10:$B$59,RANDBETWEEN(1,$E$3)),"")</x:f>
      </x:c>
      <x:c r="N92" s="68" t="str">
        <x:f>IF(COLUMN()-2&lt;=$E$3,INDEX($B$10:$B$59,RANDBETWEEN(1,$E$3)),"")</x:f>
      </x:c>
      <x:c r="O92" s="68" t="str">
        <x:f>IF(COLUMN()-2&lt;=$E$3,INDEX($B$10:$B$59,RANDBETWEEN(1,$E$3)),"")</x:f>
      </x:c>
      <x:c r="P92" s="68" t="str">
        <x:f>IF(COLUMN()-2&lt;=$E$3,INDEX($B$10:$B$59,RANDBETWEEN(1,$E$3)),"")</x:f>
      </x:c>
      <x:c r="Q92" s="68" t="str">
        <x:f>IF(COLUMN()-2&lt;=$E$3,INDEX($B$10:$B$59,RANDBETWEEN(1,$E$3)),"")</x:f>
      </x:c>
      <x:c r="R92" s="68" t="str">
        <x:f>IF(COLUMN()-2&lt;=$E$3,INDEX($B$10:$B$59,RANDBETWEEN(1,$E$3)),"")</x:f>
      </x:c>
      <x:c r="S92" s="68" t="str">
        <x:f>IF(COLUMN()-2&lt;=$E$3,INDEX($B$10:$B$59,RANDBETWEEN(1,$E$3)),"")</x:f>
      </x:c>
      <x:c r="T92" s="68" t="str">
        <x:f>IF(COLUMN()-2&lt;=$E$3,INDEX($B$10:$B$59,RANDBETWEEN(1,$E$3)),"")</x:f>
      </x:c>
      <x:c r="U92" s="68" t="str">
        <x:f>IF(COLUMN()-2&lt;=$E$3,INDEX($B$10:$B$59,RANDBETWEEN(1,$E$3)),"")</x:f>
      </x:c>
      <x:c r="V92" s="68" t="str">
        <x:f>IF(COLUMN()-2&lt;=$E$3,INDEX($B$10:$B$59,RANDBETWEEN(1,$E$3)),"")</x:f>
      </x:c>
      <x:c r="W92" s="68" t="str">
        <x:f>IF(COLUMN()-2&lt;=$E$3,INDEX($B$10:$B$59,RANDBETWEEN(1,$E$3)),"")</x:f>
      </x:c>
      <x:c r="X92" s="68" t="str">
        <x:f>IF(COLUMN()-2&lt;=$E$3,INDEX($B$10:$B$59,RANDBETWEEN(1,$E$3)),"")</x:f>
      </x:c>
      <x:c r="Y92" s="68" t="str">
        <x:f>IF(COLUMN()-2&lt;=$E$3,INDEX($B$10:$B$59,RANDBETWEEN(1,$E$3)),"")</x:f>
      </x:c>
      <x:c r="Z92" s="68" t="str">
        <x:f>IF(COLUMN()-2&lt;=$E$3,INDEX($B$10:$B$59,RANDBETWEEN(1,$E$3)),"")</x:f>
      </x:c>
      <x:c r="AA92" s="68" t="str">
        <x:f>IF(COLUMN()-2&lt;=$E$3,INDEX($B$10:$B$59,RANDBETWEEN(1,$E$3)),"")</x:f>
      </x:c>
      <x:c r="AB92" s="68" t="str">
        <x:f>IF(COLUMN()-2&lt;=$E$3,INDEX($B$10:$B$59,RANDBETWEEN(1,$E$3)),"")</x:f>
      </x:c>
      <x:c r="AC92" s="68" t="str">
        <x:f>IF(COLUMN()-2&lt;=$E$3,INDEX($B$10:$B$59,RANDBETWEEN(1,$E$3)),"")</x:f>
      </x:c>
      <x:c r="AD92" s="68" t="str">
        <x:f>IF(COLUMN()-2&lt;=$E$3,INDEX($B$10:$B$59,RANDBETWEEN(1,$E$3)),"")</x:f>
      </x:c>
      <x:c r="AE92" s="68" t="str">
        <x:f>IF(COLUMN()-2&lt;=$E$3,INDEX($B$10:$B$59,RANDBETWEEN(1,$E$3)),"")</x:f>
      </x:c>
      <x:c r="AF92" s="68" t="str">
        <x:f>IF(COLUMN()-2&lt;=$E$3,INDEX($B$10:$B$59,RANDBETWEEN(1,$E$3)),"")</x:f>
      </x:c>
      <x:c r="AG92" s="68" t="str">
        <x:f>IF(COLUMN()-2&lt;=$E$3,INDEX($B$10:$B$59,RANDBETWEEN(1,$E$3)),"")</x:f>
      </x:c>
      <x:c r="AH92" s="68" t="str">
        <x:f>IF(COLUMN()-2&lt;=$E$3,INDEX($B$10:$B$59,RANDBETWEEN(1,$E$3)),"")</x:f>
      </x:c>
      <x:c r="AI92" s="68" t="str">
        <x:f>IF(COLUMN()-2&lt;=$E$3,INDEX($B$10:$B$59,RANDBETWEEN(1,$E$3)),"")</x:f>
      </x:c>
      <x:c r="AJ92" s="68" t="str">
        <x:f>IF(COLUMN()-2&lt;=$E$3,INDEX($B$10:$B$59,RANDBETWEEN(1,$E$3)),"")</x:f>
      </x:c>
      <x:c r="AK92" s="68" t="str">
        <x:f>IF(COLUMN()-2&lt;=$E$3,INDEX($B$10:$B$59,RANDBETWEEN(1,$E$3)),"")</x:f>
      </x:c>
      <x:c r="AL92" s="68" t="str">
        <x:f>IF(COLUMN()-2&lt;=$E$3,INDEX($B$10:$B$59,RANDBETWEEN(1,$E$3)),"")</x:f>
      </x:c>
      <x:c r="AM92" s="68" t="str">
        <x:f>IF(COLUMN()-2&lt;=$E$3,INDEX($B$10:$B$59,RANDBETWEEN(1,$E$3)),"")</x:f>
      </x:c>
      <x:c r="AN92" s="68" t="str">
        <x:f>IF(COLUMN()-2&lt;=$E$3,INDEX($B$10:$B$59,RANDBETWEEN(1,$E$3)),"")</x:f>
      </x:c>
      <x:c r="AO92" s="68" t="str">
        <x:f>IF(COLUMN()-2&lt;=$E$3,INDEX($B$10:$B$59,RANDBETWEEN(1,$E$3)),"")</x:f>
      </x:c>
      <x:c r="AP92" s="68" t="str">
        <x:f>IF(COLUMN()-2&lt;=$E$3,INDEX($B$10:$B$59,RANDBETWEEN(1,$E$3)),"")</x:f>
      </x:c>
      <x:c r="AQ92" s="68" t="str">
        <x:f>IF(COLUMN()-2&lt;=$E$3,INDEX($B$10:$B$59,RANDBETWEEN(1,$E$3)),"")</x:f>
      </x:c>
      <x:c r="AR92" s="68" t="str">
        <x:f>IF(COLUMN()-2&lt;=$E$3,INDEX($B$10:$B$59,RANDBETWEEN(1,$E$3)),"")</x:f>
      </x:c>
      <x:c r="AS92" s="68" t="str">
        <x:f>IF(COLUMN()-2&lt;=$E$3,INDEX($B$10:$B$59,RANDBETWEEN(1,$E$3)),"")</x:f>
      </x:c>
      <x:c r="AT92" s="68" t="str">
        <x:f>IF(COLUMN()-2&lt;=$E$3,INDEX($B$10:$B$59,RANDBETWEEN(1,$E$3)),"")</x:f>
      </x:c>
      <x:c r="AU92" s="68" t="str">
        <x:f>IF(COLUMN()-2&lt;=$E$3,INDEX($B$10:$B$59,RANDBETWEEN(1,$E$3)),"")</x:f>
      </x:c>
      <x:c r="AV92" s="68" t="str">
        <x:f>IF(COLUMN()-2&lt;=$E$3,INDEX($B$10:$B$59,RANDBETWEEN(1,$E$3)),"")</x:f>
      </x:c>
      <x:c r="AW92" s="68" t="str">
        <x:f>IF(COLUMN()-2&lt;=$E$3,INDEX($B$10:$B$59,RANDBETWEEN(1,$E$3)),"")</x:f>
      </x:c>
      <x:c r="AX92" s="68" t="str">
        <x:f>IF(COLUMN()-2&lt;=$E$3,INDEX($B$10:$B$59,RANDBETWEEN(1,$E$3)),"")</x:f>
      </x:c>
      <x:c r="AY92" s="68" t="str">
        <x:f>IF(COLUMN()-2&lt;=$E$3,INDEX($B$10:$B$59,RANDBETWEEN(1,$E$3)),"")</x:f>
      </x:c>
      <x:c r="AZ92" s="68" t="str">
        <x:f>IF(COLUMN()-2&lt;=$E$3,INDEX($B$10:$B$59,RANDBETWEEN(1,$E$3)),"")</x:f>
      </x:c>
      <x:c r="BA92" s="68" t="str">
        <x:f>IF($E$3=0,"",AVERAGE(C92:AZ92))</x:f>
      </x:c>
    </x:row>
    <x:row r="93">
      <x:c r="A93" t="n">
        <x:v>29</x:v>
      </x:c>
      <x:c r="C93" s="68" t="str">
        <x:f>IF(COLUMN()-2&lt;=$E$3,INDEX($B$10:$B$59,RANDBETWEEN(1,$E$3)),"")</x:f>
      </x:c>
      <x:c r="D93" s="68" t="str">
        <x:f>IF(COLUMN()-2&lt;=$E$3,INDEX($B$10:$B$59,RANDBETWEEN(1,$E$3)),"")</x:f>
      </x:c>
      <x:c r="E93" s="68" t="str">
        <x:f>IF(COLUMN()-2&lt;=$E$3,INDEX($B$10:$B$59,RANDBETWEEN(1,$E$3)),"")</x:f>
      </x:c>
      <x:c r="F93" s="68" t="str">
        <x:f>IF(COLUMN()-2&lt;=$E$3,INDEX($B$10:$B$59,RANDBETWEEN(1,$E$3)),"")</x:f>
      </x:c>
      <x:c r="G93" s="68" t="str">
        <x:f>IF(COLUMN()-2&lt;=$E$3,INDEX($B$10:$B$59,RANDBETWEEN(1,$E$3)),"")</x:f>
      </x:c>
      <x:c r="H93" s="68" t="str">
        <x:f>IF(COLUMN()-2&lt;=$E$3,INDEX($B$10:$B$59,RANDBETWEEN(1,$E$3)),"")</x:f>
      </x:c>
      <x:c r="I93" s="68" t="str">
        <x:f>IF(COLUMN()-2&lt;=$E$3,INDEX($B$10:$B$59,RANDBETWEEN(1,$E$3)),"")</x:f>
      </x:c>
      <x:c r="J93" s="68" t="str">
        <x:f>IF(COLUMN()-2&lt;=$E$3,INDEX($B$10:$B$59,RANDBETWEEN(1,$E$3)),"")</x:f>
      </x:c>
      <x:c r="K93" s="68" t="str">
        <x:f>IF(COLUMN()-2&lt;=$E$3,INDEX($B$10:$B$59,RANDBETWEEN(1,$E$3)),"")</x:f>
      </x:c>
      <x:c r="L93" s="68" t="str">
        <x:f>IF(COLUMN()-2&lt;=$E$3,INDEX($B$10:$B$59,RANDBETWEEN(1,$E$3)),"")</x:f>
      </x:c>
      <x:c r="M93" s="68" t="str">
        <x:f>IF(COLUMN()-2&lt;=$E$3,INDEX($B$10:$B$59,RANDBETWEEN(1,$E$3)),"")</x:f>
      </x:c>
      <x:c r="N93" s="68" t="str">
        <x:f>IF(COLUMN()-2&lt;=$E$3,INDEX($B$10:$B$59,RANDBETWEEN(1,$E$3)),"")</x:f>
      </x:c>
      <x:c r="O93" s="68" t="str">
        <x:f>IF(COLUMN()-2&lt;=$E$3,INDEX($B$10:$B$59,RANDBETWEEN(1,$E$3)),"")</x:f>
      </x:c>
      <x:c r="P93" s="68" t="str">
        <x:f>IF(COLUMN()-2&lt;=$E$3,INDEX($B$10:$B$59,RANDBETWEEN(1,$E$3)),"")</x:f>
      </x:c>
      <x:c r="Q93" s="68" t="str">
        <x:f>IF(COLUMN()-2&lt;=$E$3,INDEX($B$10:$B$59,RANDBETWEEN(1,$E$3)),"")</x:f>
      </x:c>
      <x:c r="R93" s="68" t="str">
        <x:f>IF(COLUMN()-2&lt;=$E$3,INDEX($B$10:$B$59,RANDBETWEEN(1,$E$3)),"")</x:f>
      </x:c>
      <x:c r="S93" s="68" t="str">
        <x:f>IF(COLUMN()-2&lt;=$E$3,INDEX($B$10:$B$59,RANDBETWEEN(1,$E$3)),"")</x:f>
      </x:c>
      <x:c r="T93" s="68" t="str">
        <x:f>IF(COLUMN()-2&lt;=$E$3,INDEX($B$10:$B$59,RANDBETWEEN(1,$E$3)),"")</x:f>
      </x:c>
      <x:c r="U93" s="68" t="str">
        <x:f>IF(COLUMN()-2&lt;=$E$3,INDEX($B$10:$B$59,RANDBETWEEN(1,$E$3)),"")</x:f>
      </x:c>
      <x:c r="V93" s="68" t="str">
        <x:f>IF(COLUMN()-2&lt;=$E$3,INDEX($B$10:$B$59,RANDBETWEEN(1,$E$3)),"")</x:f>
      </x:c>
      <x:c r="W93" s="68" t="str">
        <x:f>IF(COLUMN()-2&lt;=$E$3,INDEX($B$10:$B$59,RANDBETWEEN(1,$E$3)),"")</x:f>
      </x:c>
      <x:c r="X93" s="68" t="str">
        <x:f>IF(COLUMN()-2&lt;=$E$3,INDEX($B$10:$B$59,RANDBETWEEN(1,$E$3)),"")</x:f>
      </x:c>
      <x:c r="Y93" s="68" t="str">
        <x:f>IF(COLUMN()-2&lt;=$E$3,INDEX($B$10:$B$59,RANDBETWEEN(1,$E$3)),"")</x:f>
      </x:c>
      <x:c r="Z93" s="68" t="str">
        <x:f>IF(COLUMN()-2&lt;=$E$3,INDEX($B$10:$B$59,RANDBETWEEN(1,$E$3)),"")</x:f>
      </x:c>
      <x:c r="AA93" s="68" t="str">
        <x:f>IF(COLUMN()-2&lt;=$E$3,INDEX($B$10:$B$59,RANDBETWEEN(1,$E$3)),"")</x:f>
      </x:c>
      <x:c r="AB93" s="68" t="str">
        <x:f>IF(COLUMN()-2&lt;=$E$3,INDEX($B$10:$B$59,RANDBETWEEN(1,$E$3)),"")</x:f>
      </x:c>
      <x:c r="AC93" s="68" t="str">
        <x:f>IF(COLUMN()-2&lt;=$E$3,INDEX($B$10:$B$59,RANDBETWEEN(1,$E$3)),"")</x:f>
      </x:c>
      <x:c r="AD93" s="68" t="str">
        <x:f>IF(COLUMN()-2&lt;=$E$3,INDEX($B$10:$B$59,RANDBETWEEN(1,$E$3)),"")</x:f>
      </x:c>
      <x:c r="AE93" s="68" t="str">
        <x:f>IF(COLUMN()-2&lt;=$E$3,INDEX($B$10:$B$59,RANDBETWEEN(1,$E$3)),"")</x:f>
      </x:c>
      <x:c r="AF93" s="68" t="str">
        <x:f>IF(COLUMN()-2&lt;=$E$3,INDEX($B$10:$B$59,RANDBETWEEN(1,$E$3)),"")</x:f>
      </x:c>
      <x:c r="AG93" s="68" t="str">
        <x:f>IF(COLUMN()-2&lt;=$E$3,INDEX($B$10:$B$59,RANDBETWEEN(1,$E$3)),"")</x:f>
      </x:c>
      <x:c r="AH93" s="68" t="str">
        <x:f>IF(COLUMN()-2&lt;=$E$3,INDEX($B$10:$B$59,RANDBETWEEN(1,$E$3)),"")</x:f>
      </x:c>
      <x:c r="AI93" s="68" t="str">
        <x:f>IF(COLUMN()-2&lt;=$E$3,INDEX($B$10:$B$59,RANDBETWEEN(1,$E$3)),"")</x:f>
      </x:c>
      <x:c r="AJ93" s="68" t="str">
        <x:f>IF(COLUMN()-2&lt;=$E$3,INDEX($B$10:$B$59,RANDBETWEEN(1,$E$3)),"")</x:f>
      </x:c>
      <x:c r="AK93" s="68" t="str">
        <x:f>IF(COLUMN()-2&lt;=$E$3,INDEX($B$10:$B$59,RANDBETWEEN(1,$E$3)),"")</x:f>
      </x:c>
      <x:c r="AL93" s="68" t="str">
        <x:f>IF(COLUMN()-2&lt;=$E$3,INDEX($B$10:$B$59,RANDBETWEEN(1,$E$3)),"")</x:f>
      </x:c>
      <x:c r="AM93" s="68" t="str">
        <x:f>IF(COLUMN()-2&lt;=$E$3,INDEX($B$10:$B$59,RANDBETWEEN(1,$E$3)),"")</x:f>
      </x:c>
      <x:c r="AN93" s="68" t="str">
        <x:f>IF(COLUMN()-2&lt;=$E$3,INDEX($B$10:$B$59,RANDBETWEEN(1,$E$3)),"")</x:f>
      </x:c>
      <x:c r="AO93" s="68" t="str">
        <x:f>IF(COLUMN()-2&lt;=$E$3,INDEX($B$10:$B$59,RANDBETWEEN(1,$E$3)),"")</x:f>
      </x:c>
      <x:c r="AP93" s="68" t="str">
        <x:f>IF(COLUMN()-2&lt;=$E$3,INDEX($B$10:$B$59,RANDBETWEEN(1,$E$3)),"")</x:f>
      </x:c>
      <x:c r="AQ93" s="68" t="str">
        <x:f>IF(COLUMN()-2&lt;=$E$3,INDEX($B$10:$B$59,RANDBETWEEN(1,$E$3)),"")</x:f>
      </x:c>
      <x:c r="AR93" s="68" t="str">
        <x:f>IF(COLUMN()-2&lt;=$E$3,INDEX($B$10:$B$59,RANDBETWEEN(1,$E$3)),"")</x:f>
      </x:c>
      <x:c r="AS93" s="68" t="str">
        <x:f>IF(COLUMN()-2&lt;=$E$3,INDEX($B$10:$B$59,RANDBETWEEN(1,$E$3)),"")</x:f>
      </x:c>
      <x:c r="AT93" s="68" t="str">
        <x:f>IF(COLUMN()-2&lt;=$E$3,INDEX($B$10:$B$59,RANDBETWEEN(1,$E$3)),"")</x:f>
      </x:c>
      <x:c r="AU93" s="68" t="str">
        <x:f>IF(COLUMN()-2&lt;=$E$3,INDEX($B$10:$B$59,RANDBETWEEN(1,$E$3)),"")</x:f>
      </x:c>
      <x:c r="AV93" s="68" t="str">
        <x:f>IF(COLUMN()-2&lt;=$E$3,INDEX($B$10:$B$59,RANDBETWEEN(1,$E$3)),"")</x:f>
      </x:c>
      <x:c r="AW93" s="68" t="str">
        <x:f>IF(COLUMN()-2&lt;=$E$3,INDEX($B$10:$B$59,RANDBETWEEN(1,$E$3)),"")</x:f>
      </x:c>
      <x:c r="AX93" s="68" t="str">
        <x:f>IF(COLUMN()-2&lt;=$E$3,INDEX($B$10:$B$59,RANDBETWEEN(1,$E$3)),"")</x:f>
      </x:c>
      <x:c r="AY93" s="68" t="str">
        <x:f>IF(COLUMN()-2&lt;=$E$3,INDEX($B$10:$B$59,RANDBETWEEN(1,$E$3)),"")</x:f>
      </x:c>
      <x:c r="AZ93" s="68" t="str">
        <x:f>IF(COLUMN()-2&lt;=$E$3,INDEX($B$10:$B$59,RANDBETWEEN(1,$E$3)),"")</x:f>
      </x:c>
      <x:c r="BA93" s="68" t="str">
        <x:f>IF($E$3=0,"",AVERAGE(C93:AZ93))</x:f>
      </x:c>
    </x:row>
    <x:row r="94">
      <x:c r="A94" t="n">
        <x:v>30</x:v>
      </x:c>
      <x:c r="C94" s="68" t="str">
        <x:f>IF(COLUMN()-2&lt;=$E$3,INDEX($B$10:$B$59,RANDBETWEEN(1,$E$3)),"")</x:f>
      </x:c>
      <x:c r="D94" s="68" t="str">
        <x:f>IF(COLUMN()-2&lt;=$E$3,INDEX($B$10:$B$59,RANDBETWEEN(1,$E$3)),"")</x:f>
      </x:c>
      <x:c r="E94" s="68" t="str">
        <x:f>IF(COLUMN()-2&lt;=$E$3,INDEX($B$10:$B$59,RANDBETWEEN(1,$E$3)),"")</x:f>
      </x:c>
      <x:c r="F94" s="68" t="str">
        <x:f>IF(COLUMN()-2&lt;=$E$3,INDEX($B$10:$B$59,RANDBETWEEN(1,$E$3)),"")</x:f>
      </x:c>
      <x:c r="G94" s="68" t="str">
        <x:f>IF(COLUMN()-2&lt;=$E$3,INDEX($B$10:$B$59,RANDBETWEEN(1,$E$3)),"")</x:f>
      </x:c>
      <x:c r="H94" s="68" t="str">
        <x:f>IF(COLUMN()-2&lt;=$E$3,INDEX($B$10:$B$59,RANDBETWEEN(1,$E$3)),"")</x:f>
      </x:c>
      <x:c r="I94" s="68" t="str">
        <x:f>IF(COLUMN()-2&lt;=$E$3,INDEX($B$10:$B$59,RANDBETWEEN(1,$E$3)),"")</x:f>
      </x:c>
      <x:c r="J94" s="68" t="str">
        <x:f>IF(COLUMN()-2&lt;=$E$3,INDEX($B$10:$B$59,RANDBETWEEN(1,$E$3)),"")</x:f>
      </x:c>
      <x:c r="K94" s="68" t="str">
        <x:f>IF(COLUMN()-2&lt;=$E$3,INDEX($B$10:$B$59,RANDBETWEEN(1,$E$3)),"")</x:f>
      </x:c>
      <x:c r="L94" s="68" t="str">
        <x:f>IF(COLUMN()-2&lt;=$E$3,INDEX($B$10:$B$59,RANDBETWEEN(1,$E$3)),"")</x:f>
      </x:c>
      <x:c r="M94" s="68" t="str">
        <x:f>IF(COLUMN()-2&lt;=$E$3,INDEX($B$10:$B$59,RANDBETWEEN(1,$E$3)),"")</x:f>
      </x:c>
      <x:c r="N94" s="68" t="str">
        <x:f>IF(COLUMN()-2&lt;=$E$3,INDEX($B$10:$B$59,RANDBETWEEN(1,$E$3)),"")</x:f>
      </x:c>
      <x:c r="O94" s="68" t="str">
        <x:f>IF(COLUMN()-2&lt;=$E$3,INDEX($B$10:$B$59,RANDBETWEEN(1,$E$3)),"")</x:f>
      </x:c>
      <x:c r="P94" s="68" t="str">
        <x:f>IF(COLUMN()-2&lt;=$E$3,INDEX($B$10:$B$59,RANDBETWEEN(1,$E$3)),"")</x:f>
      </x:c>
      <x:c r="Q94" s="68" t="str">
        <x:f>IF(COLUMN()-2&lt;=$E$3,INDEX($B$10:$B$59,RANDBETWEEN(1,$E$3)),"")</x:f>
      </x:c>
      <x:c r="R94" s="68" t="str">
        <x:f>IF(COLUMN()-2&lt;=$E$3,INDEX($B$10:$B$59,RANDBETWEEN(1,$E$3)),"")</x:f>
      </x:c>
      <x:c r="S94" s="68" t="str">
        <x:f>IF(COLUMN()-2&lt;=$E$3,INDEX($B$10:$B$59,RANDBETWEEN(1,$E$3)),"")</x:f>
      </x:c>
      <x:c r="T94" s="68" t="str">
        <x:f>IF(COLUMN()-2&lt;=$E$3,INDEX($B$10:$B$59,RANDBETWEEN(1,$E$3)),"")</x:f>
      </x:c>
      <x:c r="U94" s="68" t="str">
        <x:f>IF(COLUMN()-2&lt;=$E$3,INDEX($B$10:$B$59,RANDBETWEEN(1,$E$3)),"")</x:f>
      </x:c>
      <x:c r="V94" s="68" t="str">
        <x:f>IF(COLUMN()-2&lt;=$E$3,INDEX($B$10:$B$59,RANDBETWEEN(1,$E$3)),"")</x:f>
      </x:c>
      <x:c r="W94" s="68" t="str">
        <x:f>IF(COLUMN()-2&lt;=$E$3,INDEX($B$10:$B$59,RANDBETWEEN(1,$E$3)),"")</x:f>
      </x:c>
      <x:c r="X94" s="68" t="str">
        <x:f>IF(COLUMN()-2&lt;=$E$3,INDEX($B$10:$B$59,RANDBETWEEN(1,$E$3)),"")</x:f>
      </x:c>
      <x:c r="Y94" s="68" t="str">
        <x:f>IF(COLUMN()-2&lt;=$E$3,INDEX($B$10:$B$59,RANDBETWEEN(1,$E$3)),"")</x:f>
      </x:c>
      <x:c r="Z94" s="68" t="str">
        <x:f>IF(COLUMN()-2&lt;=$E$3,INDEX($B$10:$B$59,RANDBETWEEN(1,$E$3)),"")</x:f>
      </x:c>
      <x:c r="AA94" s="68" t="str">
        <x:f>IF(COLUMN()-2&lt;=$E$3,INDEX($B$10:$B$59,RANDBETWEEN(1,$E$3)),"")</x:f>
      </x:c>
      <x:c r="AB94" s="68" t="str">
        <x:f>IF(COLUMN()-2&lt;=$E$3,INDEX($B$10:$B$59,RANDBETWEEN(1,$E$3)),"")</x:f>
      </x:c>
      <x:c r="AC94" s="68" t="str">
        <x:f>IF(COLUMN()-2&lt;=$E$3,INDEX($B$10:$B$59,RANDBETWEEN(1,$E$3)),"")</x:f>
      </x:c>
      <x:c r="AD94" s="68" t="str">
        <x:f>IF(COLUMN()-2&lt;=$E$3,INDEX($B$10:$B$59,RANDBETWEEN(1,$E$3)),"")</x:f>
      </x:c>
      <x:c r="AE94" s="68" t="str">
        <x:f>IF(COLUMN()-2&lt;=$E$3,INDEX($B$10:$B$59,RANDBETWEEN(1,$E$3)),"")</x:f>
      </x:c>
      <x:c r="AF94" s="68" t="str">
        <x:f>IF(COLUMN()-2&lt;=$E$3,INDEX($B$10:$B$59,RANDBETWEEN(1,$E$3)),"")</x:f>
      </x:c>
      <x:c r="AG94" s="68" t="str">
        <x:f>IF(COLUMN()-2&lt;=$E$3,INDEX($B$10:$B$59,RANDBETWEEN(1,$E$3)),"")</x:f>
      </x:c>
      <x:c r="AH94" s="68" t="str">
        <x:f>IF(COLUMN()-2&lt;=$E$3,INDEX($B$10:$B$59,RANDBETWEEN(1,$E$3)),"")</x:f>
      </x:c>
      <x:c r="AI94" s="68" t="str">
        <x:f>IF(COLUMN()-2&lt;=$E$3,INDEX($B$10:$B$59,RANDBETWEEN(1,$E$3)),"")</x:f>
      </x:c>
      <x:c r="AJ94" s="68" t="str">
        <x:f>IF(COLUMN()-2&lt;=$E$3,INDEX($B$10:$B$59,RANDBETWEEN(1,$E$3)),"")</x:f>
      </x:c>
      <x:c r="AK94" s="68" t="str">
        <x:f>IF(COLUMN()-2&lt;=$E$3,INDEX($B$10:$B$59,RANDBETWEEN(1,$E$3)),"")</x:f>
      </x:c>
      <x:c r="AL94" s="68" t="str">
        <x:f>IF(COLUMN()-2&lt;=$E$3,INDEX($B$10:$B$59,RANDBETWEEN(1,$E$3)),"")</x:f>
      </x:c>
      <x:c r="AM94" s="68" t="str">
        <x:f>IF(COLUMN()-2&lt;=$E$3,INDEX($B$10:$B$59,RANDBETWEEN(1,$E$3)),"")</x:f>
      </x:c>
      <x:c r="AN94" s="68" t="str">
        <x:f>IF(COLUMN()-2&lt;=$E$3,INDEX($B$10:$B$59,RANDBETWEEN(1,$E$3)),"")</x:f>
      </x:c>
      <x:c r="AO94" s="68" t="str">
        <x:f>IF(COLUMN()-2&lt;=$E$3,INDEX($B$10:$B$59,RANDBETWEEN(1,$E$3)),"")</x:f>
      </x:c>
      <x:c r="AP94" s="68" t="str">
        <x:f>IF(COLUMN()-2&lt;=$E$3,INDEX($B$10:$B$59,RANDBETWEEN(1,$E$3)),"")</x:f>
      </x:c>
      <x:c r="AQ94" s="68" t="str">
        <x:f>IF(COLUMN()-2&lt;=$E$3,INDEX($B$10:$B$59,RANDBETWEEN(1,$E$3)),"")</x:f>
      </x:c>
      <x:c r="AR94" s="68" t="str">
        <x:f>IF(COLUMN()-2&lt;=$E$3,INDEX($B$10:$B$59,RANDBETWEEN(1,$E$3)),"")</x:f>
      </x:c>
      <x:c r="AS94" s="68" t="str">
        <x:f>IF(COLUMN()-2&lt;=$E$3,INDEX($B$10:$B$59,RANDBETWEEN(1,$E$3)),"")</x:f>
      </x:c>
      <x:c r="AT94" s="68" t="str">
        <x:f>IF(COLUMN()-2&lt;=$E$3,INDEX($B$10:$B$59,RANDBETWEEN(1,$E$3)),"")</x:f>
      </x:c>
      <x:c r="AU94" s="68" t="str">
        <x:f>IF(COLUMN()-2&lt;=$E$3,INDEX($B$10:$B$59,RANDBETWEEN(1,$E$3)),"")</x:f>
      </x:c>
      <x:c r="AV94" s="68" t="str">
        <x:f>IF(COLUMN()-2&lt;=$E$3,INDEX($B$10:$B$59,RANDBETWEEN(1,$E$3)),"")</x:f>
      </x:c>
      <x:c r="AW94" s="68" t="str">
        <x:f>IF(COLUMN()-2&lt;=$E$3,INDEX($B$10:$B$59,RANDBETWEEN(1,$E$3)),"")</x:f>
      </x:c>
      <x:c r="AX94" s="68" t="str">
        <x:f>IF(COLUMN()-2&lt;=$E$3,INDEX($B$10:$B$59,RANDBETWEEN(1,$E$3)),"")</x:f>
      </x:c>
      <x:c r="AY94" s="68" t="str">
        <x:f>IF(COLUMN()-2&lt;=$E$3,INDEX($B$10:$B$59,RANDBETWEEN(1,$E$3)),"")</x:f>
      </x:c>
      <x:c r="AZ94" s="68" t="str">
        <x:f>IF(COLUMN()-2&lt;=$E$3,INDEX($B$10:$B$59,RANDBETWEEN(1,$E$3)),"")</x:f>
      </x:c>
      <x:c r="BA94" s="68" t="str">
        <x:f>IF($E$3=0,"",AVERAGE(C94:AZ94))</x:f>
      </x:c>
    </x:row>
    <x:row r="95">
      <x:c r="A95" t="n">
        <x:v>31</x:v>
      </x:c>
      <x:c r="C95" s="68" t="str">
        <x:f>IF(COLUMN()-2&lt;=$E$3,INDEX($B$10:$B$59,RANDBETWEEN(1,$E$3)),"")</x:f>
      </x:c>
      <x:c r="D95" s="68" t="str">
        <x:f>IF(COLUMN()-2&lt;=$E$3,INDEX($B$10:$B$59,RANDBETWEEN(1,$E$3)),"")</x:f>
      </x:c>
      <x:c r="E95" s="68" t="str">
        <x:f>IF(COLUMN()-2&lt;=$E$3,INDEX($B$10:$B$59,RANDBETWEEN(1,$E$3)),"")</x:f>
      </x:c>
      <x:c r="F95" s="68" t="str">
        <x:f>IF(COLUMN()-2&lt;=$E$3,INDEX($B$10:$B$59,RANDBETWEEN(1,$E$3)),"")</x:f>
      </x:c>
      <x:c r="G95" s="68" t="str">
        <x:f>IF(COLUMN()-2&lt;=$E$3,INDEX($B$10:$B$59,RANDBETWEEN(1,$E$3)),"")</x:f>
      </x:c>
      <x:c r="H95" s="68" t="str">
        <x:f>IF(COLUMN()-2&lt;=$E$3,INDEX($B$10:$B$59,RANDBETWEEN(1,$E$3)),"")</x:f>
      </x:c>
      <x:c r="I95" s="68" t="str">
        <x:f>IF(COLUMN()-2&lt;=$E$3,INDEX($B$10:$B$59,RANDBETWEEN(1,$E$3)),"")</x:f>
      </x:c>
      <x:c r="J95" s="68" t="str">
        <x:f>IF(COLUMN()-2&lt;=$E$3,INDEX($B$10:$B$59,RANDBETWEEN(1,$E$3)),"")</x:f>
      </x:c>
      <x:c r="K95" s="68" t="str">
        <x:f>IF(COLUMN()-2&lt;=$E$3,INDEX($B$10:$B$59,RANDBETWEEN(1,$E$3)),"")</x:f>
      </x:c>
      <x:c r="L95" s="68" t="str">
        <x:f>IF(COLUMN()-2&lt;=$E$3,INDEX($B$10:$B$59,RANDBETWEEN(1,$E$3)),"")</x:f>
      </x:c>
      <x:c r="M95" s="68" t="str">
        <x:f>IF(COLUMN()-2&lt;=$E$3,INDEX($B$10:$B$59,RANDBETWEEN(1,$E$3)),"")</x:f>
      </x:c>
      <x:c r="N95" s="68" t="str">
        <x:f>IF(COLUMN()-2&lt;=$E$3,INDEX($B$10:$B$59,RANDBETWEEN(1,$E$3)),"")</x:f>
      </x:c>
      <x:c r="O95" s="68" t="str">
        <x:f>IF(COLUMN()-2&lt;=$E$3,INDEX($B$10:$B$59,RANDBETWEEN(1,$E$3)),"")</x:f>
      </x:c>
      <x:c r="P95" s="68" t="str">
        <x:f>IF(COLUMN()-2&lt;=$E$3,INDEX($B$10:$B$59,RANDBETWEEN(1,$E$3)),"")</x:f>
      </x:c>
      <x:c r="Q95" s="68" t="str">
        <x:f>IF(COLUMN()-2&lt;=$E$3,INDEX($B$10:$B$59,RANDBETWEEN(1,$E$3)),"")</x:f>
      </x:c>
      <x:c r="R95" s="68" t="str">
        <x:f>IF(COLUMN()-2&lt;=$E$3,INDEX($B$10:$B$59,RANDBETWEEN(1,$E$3)),"")</x:f>
      </x:c>
      <x:c r="S95" s="68" t="str">
        <x:f>IF(COLUMN()-2&lt;=$E$3,INDEX($B$10:$B$59,RANDBETWEEN(1,$E$3)),"")</x:f>
      </x:c>
      <x:c r="T95" s="68" t="str">
        <x:f>IF(COLUMN()-2&lt;=$E$3,INDEX($B$10:$B$59,RANDBETWEEN(1,$E$3)),"")</x:f>
      </x:c>
      <x:c r="U95" s="68" t="str">
        <x:f>IF(COLUMN()-2&lt;=$E$3,INDEX($B$10:$B$59,RANDBETWEEN(1,$E$3)),"")</x:f>
      </x:c>
      <x:c r="V95" s="68" t="str">
        <x:f>IF(COLUMN()-2&lt;=$E$3,INDEX($B$10:$B$59,RANDBETWEEN(1,$E$3)),"")</x:f>
      </x:c>
      <x:c r="W95" s="68" t="str">
        <x:f>IF(COLUMN()-2&lt;=$E$3,INDEX($B$10:$B$59,RANDBETWEEN(1,$E$3)),"")</x:f>
      </x:c>
      <x:c r="X95" s="68" t="str">
        <x:f>IF(COLUMN()-2&lt;=$E$3,INDEX($B$10:$B$59,RANDBETWEEN(1,$E$3)),"")</x:f>
      </x:c>
      <x:c r="Y95" s="68" t="str">
        <x:f>IF(COLUMN()-2&lt;=$E$3,INDEX($B$10:$B$59,RANDBETWEEN(1,$E$3)),"")</x:f>
      </x:c>
      <x:c r="Z95" s="68" t="str">
        <x:f>IF(COLUMN()-2&lt;=$E$3,INDEX($B$10:$B$59,RANDBETWEEN(1,$E$3)),"")</x:f>
      </x:c>
      <x:c r="AA95" s="68" t="str">
        <x:f>IF(COLUMN()-2&lt;=$E$3,INDEX($B$10:$B$59,RANDBETWEEN(1,$E$3)),"")</x:f>
      </x:c>
      <x:c r="AB95" s="68" t="str">
        <x:f>IF(COLUMN()-2&lt;=$E$3,INDEX($B$10:$B$59,RANDBETWEEN(1,$E$3)),"")</x:f>
      </x:c>
      <x:c r="AC95" s="68" t="str">
        <x:f>IF(COLUMN()-2&lt;=$E$3,INDEX($B$10:$B$59,RANDBETWEEN(1,$E$3)),"")</x:f>
      </x:c>
      <x:c r="AD95" s="68" t="str">
        <x:f>IF(COLUMN()-2&lt;=$E$3,INDEX($B$10:$B$59,RANDBETWEEN(1,$E$3)),"")</x:f>
      </x:c>
      <x:c r="AE95" s="68" t="str">
        <x:f>IF(COLUMN()-2&lt;=$E$3,INDEX($B$10:$B$59,RANDBETWEEN(1,$E$3)),"")</x:f>
      </x:c>
      <x:c r="AF95" s="68" t="str">
        <x:f>IF(COLUMN()-2&lt;=$E$3,INDEX($B$10:$B$59,RANDBETWEEN(1,$E$3)),"")</x:f>
      </x:c>
      <x:c r="AG95" s="68" t="str">
        <x:f>IF(COLUMN()-2&lt;=$E$3,INDEX($B$10:$B$59,RANDBETWEEN(1,$E$3)),"")</x:f>
      </x:c>
      <x:c r="AH95" s="68" t="str">
        <x:f>IF(COLUMN()-2&lt;=$E$3,INDEX($B$10:$B$59,RANDBETWEEN(1,$E$3)),"")</x:f>
      </x:c>
      <x:c r="AI95" s="68" t="str">
        <x:f>IF(COLUMN()-2&lt;=$E$3,INDEX($B$10:$B$59,RANDBETWEEN(1,$E$3)),"")</x:f>
      </x:c>
      <x:c r="AJ95" s="68" t="str">
        <x:f>IF(COLUMN()-2&lt;=$E$3,INDEX($B$10:$B$59,RANDBETWEEN(1,$E$3)),"")</x:f>
      </x:c>
      <x:c r="AK95" s="68" t="str">
        <x:f>IF(COLUMN()-2&lt;=$E$3,INDEX($B$10:$B$59,RANDBETWEEN(1,$E$3)),"")</x:f>
      </x:c>
      <x:c r="AL95" s="68" t="str">
        <x:f>IF(COLUMN()-2&lt;=$E$3,INDEX($B$10:$B$59,RANDBETWEEN(1,$E$3)),"")</x:f>
      </x:c>
      <x:c r="AM95" s="68" t="str">
        <x:f>IF(COLUMN()-2&lt;=$E$3,INDEX($B$10:$B$59,RANDBETWEEN(1,$E$3)),"")</x:f>
      </x:c>
      <x:c r="AN95" s="68" t="str">
        <x:f>IF(COLUMN()-2&lt;=$E$3,INDEX($B$10:$B$59,RANDBETWEEN(1,$E$3)),"")</x:f>
      </x:c>
      <x:c r="AO95" s="68" t="str">
        <x:f>IF(COLUMN()-2&lt;=$E$3,INDEX($B$10:$B$59,RANDBETWEEN(1,$E$3)),"")</x:f>
      </x:c>
      <x:c r="AP95" s="68" t="str">
        <x:f>IF(COLUMN()-2&lt;=$E$3,INDEX($B$10:$B$59,RANDBETWEEN(1,$E$3)),"")</x:f>
      </x:c>
      <x:c r="AQ95" s="68" t="str">
        <x:f>IF(COLUMN()-2&lt;=$E$3,INDEX($B$10:$B$59,RANDBETWEEN(1,$E$3)),"")</x:f>
      </x:c>
      <x:c r="AR95" s="68" t="str">
        <x:f>IF(COLUMN()-2&lt;=$E$3,INDEX($B$10:$B$59,RANDBETWEEN(1,$E$3)),"")</x:f>
      </x:c>
      <x:c r="AS95" s="68" t="str">
        <x:f>IF(COLUMN()-2&lt;=$E$3,INDEX($B$10:$B$59,RANDBETWEEN(1,$E$3)),"")</x:f>
      </x:c>
      <x:c r="AT95" s="68" t="str">
        <x:f>IF(COLUMN()-2&lt;=$E$3,INDEX($B$10:$B$59,RANDBETWEEN(1,$E$3)),"")</x:f>
      </x:c>
      <x:c r="AU95" s="68" t="str">
        <x:f>IF(COLUMN()-2&lt;=$E$3,INDEX($B$10:$B$59,RANDBETWEEN(1,$E$3)),"")</x:f>
      </x:c>
      <x:c r="AV95" s="68" t="str">
        <x:f>IF(COLUMN()-2&lt;=$E$3,INDEX($B$10:$B$59,RANDBETWEEN(1,$E$3)),"")</x:f>
      </x:c>
      <x:c r="AW95" s="68" t="str">
        <x:f>IF(COLUMN()-2&lt;=$E$3,INDEX($B$10:$B$59,RANDBETWEEN(1,$E$3)),"")</x:f>
      </x:c>
      <x:c r="AX95" s="68" t="str">
        <x:f>IF(COLUMN()-2&lt;=$E$3,INDEX($B$10:$B$59,RANDBETWEEN(1,$E$3)),"")</x:f>
      </x:c>
      <x:c r="AY95" s="68" t="str">
        <x:f>IF(COLUMN()-2&lt;=$E$3,INDEX($B$10:$B$59,RANDBETWEEN(1,$E$3)),"")</x:f>
      </x:c>
      <x:c r="AZ95" s="68" t="str">
        <x:f>IF(COLUMN()-2&lt;=$E$3,INDEX($B$10:$B$59,RANDBETWEEN(1,$E$3)),"")</x:f>
      </x:c>
      <x:c r="BA95" s="68" t="str">
        <x:f>IF($E$3=0,"",AVERAGE(C95:AZ95))</x:f>
      </x:c>
    </x:row>
    <x:row r="96">
      <x:c r="A96" t="n">
        <x:v>32</x:v>
      </x:c>
      <x:c r="C96" s="68" t="str">
        <x:f>IF(COLUMN()-2&lt;=$E$3,INDEX($B$10:$B$59,RANDBETWEEN(1,$E$3)),"")</x:f>
      </x:c>
      <x:c r="D96" s="68" t="str">
        <x:f>IF(COLUMN()-2&lt;=$E$3,INDEX($B$10:$B$59,RANDBETWEEN(1,$E$3)),"")</x:f>
      </x:c>
      <x:c r="E96" s="68" t="str">
        <x:f>IF(COLUMN()-2&lt;=$E$3,INDEX($B$10:$B$59,RANDBETWEEN(1,$E$3)),"")</x:f>
      </x:c>
      <x:c r="F96" s="68" t="str">
        <x:f>IF(COLUMN()-2&lt;=$E$3,INDEX($B$10:$B$59,RANDBETWEEN(1,$E$3)),"")</x:f>
      </x:c>
      <x:c r="G96" s="68" t="str">
        <x:f>IF(COLUMN()-2&lt;=$E$3,INDEX($B$10:$B$59,RANDBETWEEN(1,$E$3)),"")</x:f>
      </x:c>
      <x:c r="H96" s="68" t="str">
        <x:f>IF(COLUMN()-2&lt;=$E$3,INDEX($B$10:$B$59,RANDBETWEEN(1,$E$3)),"")</x:f>
      </x:c>
      <x:c r="I96" s="68" t="str">
        <x:f>IF(COLUMN()-2&lt;=$E$3,INDEX($B$10:$B$59,RANDBETWEEN(1,$E$3)),"")</x:f>
      </x:c>
      <x:c r="J96" s="68" t="str">
        <x:f>IF(COLUMN()-2&lt;=$E$3,INDEX($B$10:$B$59,RANDBETWEEN(1,$E$3)),"")</x:f>
      </x:c>
      <x:c r="K96" s="68" t="str">
        <x:f>IF(COLUMN()-2&lt;=$E$3,INDEX($B$10:$B$59,RANDBETWEEN(1,$E$3)),"")</x:f>
      </x:c>
      <x:c r="L96" s="68" t="str">
        <x:f>IF(COLUMN()-2&lt;=$E$3,INDEX($B$10:$B$59,RANDBETWEEN(1,$E$3)),"")</x:f>
      </x:c>
      <x:c r="M96" s="68" t="str">
        <x:f>IF(COLUMN()-2&lt;=$E$3,INDEX($B$10:$B$59,RANDBETWEEN(1,$E$3)),"")</x:f>
      </x:c>
      <x:c r="N96" s="68" t="str">
        <x:f>IF(COLUMN()-2&lt;=$E$3,INDEX($B$10:$B$59,RANDBETWEEN(1,$E$3)),"")</x:f>
      </x:c>
      <x:c r="O96" s="68" t="str">
        <x:f>IF(COLUMN()-2&lt;=$E$3,INDEX($B$10:$B$59,RANDBETWEEN(1,$E$3)),"")</x:f>
      </x:c>
      <x:c r="P96" s="68" t="str">
        <x:f>IF(COLUMN()-2&lt;=$E$3,INDEX($B$10:$B$59,RANDBETWEEN(1,$E$3)),"")</x:f>
      </x:c>
      <x:c r="Q96" s="68" t="str">
        <x:f>IF(COLUMN()-2&lt;=$E$3,INDEX($B$10:$B$59,RANDBETWEEN(1,$E$3)),"")</x:f>
      </x:c>
      <x:c r="R96" s="68" t="str">
        <x:f>IF(COLUMN()-2&lt;=$E$3,INDEX($B$10:$B$59,RANDBETWEEN(1,$E$3)),"")</x:f>
      </x:c>
      <x:c r="S96" s="68" t="str">
        <x:f>IF(COLUMN()-2&lt;=$E$3,INDEX($B$10:$B$59,RANDBETWEEN(1,$E$3)),"")</x:f>
      </x:c>
      <x:c r="T96" s="68" t="str">
        <x:f>IF(COLUMN()-2&lt;=$E$3,INDEX($B$10:$B$59,RANDBETWEEN(1,$E$3)),"")</x:f>
      </x:c>
      <x:c r="U96" s="68" t="str">
        <x:f>IF(COLUMN()-2&lt;=$E$3,INDEX($B$10:$B$59,RANDBETWEEN(1,$E$3)),"")</x:f>
      </x:c>
      <x:c r="V96" s="68" t="str">
        <x:f>IF(COLUMN()-2&lt;=$E$3,INDEX($B$10:$B$59,RANDBETWEEN(1,$E$3)),"")</x:f>
      </x:c>
      <x:c r="W96" s="68" t="str">
        <x:f>IF(COLUMN()-2&lt;=$E$3,INDEX($B$10:$B$59,RANDBETWEEN(1,$E$3)),"")</x:f>
      </x:c>
      <x:c r="X96" s="68" t="str">
        <x:f>IF(COLUMN()-2&lt;=$E$3,INDEX($B$10:$B$59,RANDBETWEEN(1,$E$3)),"")</x:f>
      </x:c>
      <x:c r="Y96" s="68" t="str">
        <x:f>IF(COLUMN()-2&lt;=$E$3,INDEX($B$10:$B$59,RANDBETWEEN(1,$E$3)),"")</x:f>
      </x:c>
      <x:c r="Z96" s="68" t="str">
        <x:f>IF(COLUMN()-2&lt;=$E$3,INDEX($B$10:$B$59,RANDBETWEEN(1,$E$3)),"")</x:f>
      </x:c>
      <x:c r="AA96" s="68" t="str">
        <x:f>IF(COLUMN()-2&lt;=$E$3,INDEX($B$10:$B$59,RANDBETWEEN(1,$E$3)),"")</x:f>
      </x:c>
      <x:c r="AB96" s="68" t="str">
        <x:f>IF(COLUMN()-2&lt;=$E$3,INDEX($B$10:$B$59,RANDBETWEEN(1,$E$3)),"")</x:f>
      </x:c>
      <x:c r="AC96" s="68" t="str">
        <x:f>IF(COLUMN()-2&lt;=$E$3,INDEX($B$10:$B$59,RANDBETWEEN(1,$E$3)),"")</x:f>
      </x:c>
      <x:c r="AD96" s="68" t="str">
        <x:f>IF(COLUMN()-2&lt;=$E$3,INDEX($B$10:$B$59,RANDBETWEEN(1,$E$3)),"")</x:f>
      </x:c>
      <x:c r="AE96" s="68" t="str">
        <x:f>IF(COLUMN()-2&lt;=$E$3,INDEX($B$10:$B$59,RANDBETWEEN(1,$E$3)),"")</x:f>
      </x:c>
      <x:c r="AF96" s="68" t="str">
        <x:f>IF(COLUMN()-2&lt;=$E$3,INDEX($B$10:$B$59,RANDBETWEEN(1,$E$3)),"")</x:f>
      </x:c>
      <x:c r="AG96" s="68" t="str">
        <x:f>IF(COLUMN()-2&lt;=$E$3,INDEX($B$10:$B$59,RANDBETWEEN(1,$E$3)),"")</x:f>
      </x:c>
      <x:c r="AH96" s="68" t="str">
        <x:f>IF(COLUMN()-2&lt;=$E$3,INDEX($B$10:$B$59,RANDBETWEEN(1,$E$3)),"")</x:f>
      </x:c>
      <x:c r="AI96" s="68" t="str">
        <x:f>IF(COLUMN()-2&lt;=$E$3,INDEX($B$10:$B$59,RANDBETWEEN(1,$E$3)),"")</x:f>
      </x:c>
      <x:c r="AJ96" s="68" t="str">
        <x:f>IF(COLUMN()-2&lt;=$E$3,INDEX($B$10:$B$59,RANDBETWEEN(1,$E$3)),"")</x:f>
      </x:c>
      <x:c r="AK96" s="68" t="str">
        <x:f>IF(COLUMN()-2&lt;=$E$3,INDEX($B$10:$B$59,RANDBETWEEN(1,$E$3)),"")</x:f>
      </x:c>
      <x:c r="AL96" s="68" t="str">
        <x:f>IF(COLUMN()-2&lt;=$E$3,INDEX($B$10:$B$59,RANDBETWEEN(1,$E$3)),"")</x:f>
      </x:c>
      <x:c r="AM96" s="68" t="str">
        <x:f>IF(COLUMN()-2&lt;=$E$3,INDEX($B$10:$B$59,RANDBETWEEN(1,$E$3)),"")</x:f>
      </x:c>
      <x:c r="AN96" s="68" t="str">
        <x:f>IF(COLUMN()-2&lt;=$E$3,INDEX($B$10:$B$59,RANDBETWEEN(1,$E$3)),"")</x:f>
      </x:c>
      <x:c r="AO96" s="68" t="str">
        <x:f>IF(COLUMN()-2&lt;=$E$3,INDEX($B$10:$B$59,RANDBETWEEN(1,$E$3)),"")</x:f>
      </x:c>
      <x:c r="AP96" s="68" t="str">
        <x:f>IF(COLUMN()-2&lt;=$E$3,INDEX($B$10:$B$59,RANDBETWEEN(1,$E$3)),"")</x:f>
      </x:c>
      <x:c r="AQ96" s="68" t="str">
        <x:f>IF(COLUMN()-2&lt;=$E$3,INDEX($B$10:$B$59,RANDBETWEEN(1,$E$3)),"")</x:f>
      </x:c>
      <x:c r="AR96" s="68" t="str">
        <x:f>IF(COLUMN()-2&lt;=$E$3,INDEX($B$10:$B$59,RANDBETWEEN(1,$E$3)),"")</x:f>
      </x:c>
      <x:c r="AS96" s="68" t="str">
        <x:f>IF(COLUMN()-2&lt;=$E$3,INDEX($B$10:$B$59,RANDBETWEEN(1,$E$3)),"")</x:f>
      </x:c>
      <x:c r="AT96" s="68" t="str">
        <x:f>IF(COLUMN()-2&lt;=$E$3,INDEX($B$10:$B$59,RANDBETWEEN(1,$E$3)),"")</x:f>
      </x:c>
      <x:c r="AU96" s="68" t="str">
        <x:f>IF(COLUMN()-2&lt;=$E$3,INDEX($B$10:$B$59,RANDBETWEEN(1,$E$3)),"")</x:f>
      </x:c>
      <x:c r="AV96" s="68" t="str">
        <x:f>IF(COLUMN()-2&lt;=$E$3,INDEX($B$10:$B$59,RANDBETWEEN(1,$E$3)),"")</x:f>
      </x:c>
      <x:c r="AW96" s="68" t="str">
        <x:f>IF(COLUMN()-2&lt;=$E$3,INDEX($B$10:$B$59,RANDBETWEEN(1,$E$3)),"")</x:f>
      </x:c>
      <x:c r="AX96" s="68" t="str">
        <x:f>IF(COLUMN()-2&lt;=$E$3,INDEX($B$10:$B$59,RANDBETWEEN(1,$E$3)),"")</x:f>
      </x:c>
      <x:c r="AY96" s="68" t="str">
        <x:f>IF(COLUMN()-2&lt;=$E$3,INDEX($B$10:$B$59,RANDBETWEEN(1,$E$3)),"")</x:f>
      </x:c>
      <x:c r="AZ96" s="68" t="str">
        <x:f>IF(COLUMN()-2&lt;=$E$3,INDEX($B$10:$B$59,RANDBETWEEN(1,$E$3)),"")</x:f>
      </x:c>
      <x:c r="BA96" s="68" t="str">
        <x:f>IF($E$3=0,"",AVERAGE(C96:AZ96))</x:f>
      </x:c>
    </x:row>
    <x:row r="97">
      <x:c r="A97" t="n">
        <x:v>33</x:v>
      </x:c>
      <x:c r="C97" s="68" t="str">
        <x:f>IF(COLUMN()-2&lt;=$E$3,INDEX($B$10:$B$59,RANDBETWEEN(1,$E$3)),"")</x:f>
      </x:c>
      <x:c r="D97" s="68" t="str">
        <x:f>IF(COLUMN()-2&lt;=$E$3,INDEX($B$10:$B$59,RANDBETWEEN(1,$E$3)),"")</x:f>
      </x:c>
      <x:c r="E97" s="68" t="str">
        <x:f>IF(COLUMN()-2&lt;=$E$3,INDEX($B$10:$B$59,RANDBETWEEN(1,$E$3)),"")</x:f>
      </x:c>
      <x:c r="F97" s="68" t="str">
        <x:f>IF(COLUMN()-2&lt;=$E$3,INDEX($B$10:$B$59,RANDBETWEEN(1,$E$3)),"")</x:f>
      </x:c>
      <x:c r="G97" s="68" t="str">
        <x:f>IF(COLUMN()-2&lt;=$E$3,INDEX($B$10:$B$59,RANDBETWEEN(1,$E$3)),"")</x:f>
      </x:c>
      <x:c r="H97" s="68" t="str">
        <x:f>IF(COLUMN()-2&lt;=$E$3,INDEX($B$10:$B$59,RANDBETWEEN(1,$E$3)),"")</x:f>
      </x:c>
      <x:c r="I97" s="68" t="str">
        <x:f>IF(COLUMN()-2&lt;=$E$3,INDEX($B$10:$B$59,RANDBETWEEN(1,$E$3)),"")</x:f>
      </x:c>
      <x:c r="J97" s="68" t="str">
        <x:f>IF(COLUMN()-2&lt;=$E$3,INDEX($B$10:$B$59,RANDBETWEEN(1,$E$3)),"")</x:f>
      </x:c>
      <x:c r="K97" s="68" t="str">
        <x:f>IF(COLUMN()-2&lt;=$E$3,INDEX($B$10:$B$59,RANDBETWEEN(1,$E$3)),"")</x:f>
      </x:c>
      <x:c r="L97" s="68" t="str">
        <x:f>IF(COLUMN()-2&lt;=$E$3,INDEX($B$10:$B$59,RANDBETWEEN(1,$E$3)),"")</x:f>
      </x:c>
      <x:c r="M97" s="68" t="str">
        <x:f>IF(COLUMN()-2&lt;=$E$3,INDEX($B$10:$B$59,RANDBETWEEN(1,$E$3)),"")</x:f>
      </x:c>
      <x:c r="N97" s="68" t="str">
        <x:f>IF(COLUMN()-2&lt;=$E$3,INDEX($B$10:$B$59,RANDBETWEEN(1,$E$3)),"")</x:f>
      </x:c>
      <x:c r="O97" s="68" t="str">
        <x:f>IF(COLUMN()-2&lt;=$E$3,INDEX($B$10:$B$59,RANDBETWEEN(1,$E$3)),"")</x:f>
      </x:c>
      <x:c r="P97" s="68" t="str">
        <x:f>IF(COLUMN()-2&lt;=$E$3,INDEX($B$10:$B$59,RANDBETWEEN(1,$E$3)),"")</x:f>
      </x:c>
      <x:c r="Q97" s="68" t="str">
        <x:f>IF(COLUMN()-2&lt;=$E$3,INDEX($B$10:$B$59,RANDBETWEEN(1,$E$3)),"")</x:f>
      </x:c>
      <x:c r="R97" s="68" t="str">
        <x:f>IF(COLUMN()-2&lt;=$E$3,INDEX($B$10:$B$59,RANDBETWEEN(1,$E$3)),"")</x:f>
      </x:c>
      <x:c r="S97" s="68" t="str">
        <x:f>IF(COLUMN()-2&lt;=$E$3,INDEX($B$10:$B$59,RANDBETWEEN(1,$E$3)),"")</x:f>
      </x:c>
      <x:c r="T97" s="68" t="str">
        <x:f>IF(COLUMN()-2&lt;=$E$3,INDEX($B$10:$B$59,RANDBETWEEN(1,$E$3)),"")</x:f>
      </x:c>
      <x:c r="U97" s="68" t="str">
        <x:f>IF(COLUMN()-2&lt;=$E$3,INDEX($B$10:$B$59,RANDBETWEEN(1,$E$3)),"")</x:f>
      </x:c>
      <x:c r="V97" s="68" t="str">
        <x:f>IF(COLUMN()-2&lt;=$E$3,INDEX($B$10:$B$59,RANDBETWEEN(1,$E$3)),"")</x:f>
      </x:c>
      <x:c r="W97" s="68" t="str">
        <x:f>IF(COLUMN()-2&lt;=$E$3,INDEX($B$10:$B$59,RANDBETWEEN(1,$E$3)),"")</x:f>
      </x:c>
      <x:c r="X97" s="68" t="str">
        <x:f>IF(COLUMN()-2&lt;=$E$3,INDEX($B$10:$B$59,RANDBETWEEN(1,$E$3)),"")</x:f>
      </x:c>
      <x:c r="Y97" s="68" t="str">
        <x:f>IF(COLUMN()-2&lt;=$E$3,INDEX($B$10:$B$59,RANDBETWEEN(1,$E$3)),"")</x:f>
      </x:c>
      <x:c r="Z97" s="68" t="str">
        <x:f>IF(COLUMN()-2&lt;=$E$3,INDEX($B$10:$B$59,RANDBETWEEN(1,$E$3)),"")</x:f>
      </x:c>
      <x:c r="AA97" s="68" t="str">
        <x:f>IF(COLUMN()-2&lt;=$E$3,INDEX($B$10:$B$59,RANDBETWEEN(1,$E$3)),"")</x:f>
      </x:c>
      <x:c r="AB97" s="68" t="str">
        <x:f>IF(COLUMN()-2&lt;=$E$3,INDEX($B$10:$B$59,RANDBETWEEN(1,$E$3)),"")</x:f>
      </x:c>
      <x:c r="AC97" s="68" t="str">
        <x:f>IF(COLUMN()-2&lt;=$E$3,INDEX($B$10:$B$59,RANDBETWEEN(1,$E$3)),"")</x:f>
      </x:c>
      <x:c r="AD97" s="68" t="str">
        <x:f>IF(COLUMN()-2&lt;=$E$3,INDEX($B$10:$B$59,RANDBETWEEN(1,$E$3)),"")</x:f>
      </x:c>
      <x:c r="AE97" s="68" t="str">
        <x:f>IF(COLUMN()-2&lt;=$E$3,INDEX($B$10:$B$59,RANDBETWEEN(1,$E$3)),"")</x:f>
      </x:c>
      <x:c r="AF97" s="68" t="str">
        <x:f>IF(COLUMN()-2&lt;=$E$3,INDEX($B$10:$B$59,RANDBETWEEN(1,$E$3)),"")</x:f>
      </x:c>
      <x:c r="AG97" s="68" t="str">
        <x:f>IF(COLUMN()-2&lt;=$E$3,INDEX($B$10:$B$59,RANDBETWEEN(1,$E$3)),"")</x:f>
      </x:c>
      <x:c r="AH97" s="68" t="str">
        <x:f>IF(COLUMN()-2&lt;=$E$3,INDEX($B$10:$B$59,RANDBETWEEN(1,$E$3)),"")</x:f>
      </x:c>
      <x:c r="AI97" s="68" t="str">
        <x:f>IF(COLUMN()-2&lt;=$E$3,INDEX($B$10:$B$59,RANDBETWEEN(1,$E$3)),"")</x:f>
      </x:c>
      <x:c r="AJ97" s="68" t="str">
        <x:f>IF(COLUMN()-2&lt;=$E$3,INDEX($B$10:$B$59,RANDBETWEEN(1,$E$3)),"")</x:f>
      </x:c>
      <x:c r="AK97" s="68" t="str">
        <x:f>IF(COLUMN()-2&lt;=$E$3,INDEX($B$10:$B$59,RANDBETWEEN(1,$E$3)),"")</x:f>
      </x:c>
      <x:c r="AL97" s="68" t="str">
        <x:f>IF(COLUMN()-2&lt;=$E$3,INDEX($B$10:$B$59,RANDBETWEEN(1,$E$3)),"")</x:f>
      </x:c>
      <x:c r="AM97" s="68" t="str">
        <x:f>IF(COLUMN()-2&lt;=$E$3,INDEX($B$10:$B$59,RANDBETWEEN(1,$E$3)),"")</x:f>
      </x:c>
      <x:c r="AN97" s="68" t="str">
        <x:f>IF(COLUMN()-2&lt;=$E$3,INDEX($B$10:$B$59,RANDBETWEEN(1,$E$3)),"")</x:f>
      </x:c>
      <x:c r="AO97" s="68" t="str">
        <x:f>IF(COLUMN()-2&lt;=$E$3,INDEX($B$10:$B$59,RANDBETWEEN(1,$E$3)),"")</x:f>
      </x:c>
      <x:c r="AP97" s="68" t="str">
        <x:f>IF(COLUMN()-2&lt;=$E$3,INDEX($B$10:$B$59,RANDBETWEEN(1,$E$3)),"")</x:f>
      </x:c>
      <x:c r="AQ97" s="68" t="str">
        <x:f>IF(COLUMN()-2&lt;=$E$3,INDEX($B$10:$B$59,RANDBETWEEN(1,$E$3)),"")</x:f>
      </x:c>
      <x:c r="AR97" s="68" t="str">
        <x:f>IF(COLUMN()-2&lt;=$E$3,INDEX($B$10:$B$59,RANDBETWEEN(1,$E$3)),"")</x:f>
      </x:c>
      <x:c r="AS97" s="68" t="str">
        <x:f>IF(COLUMN()-2&lt;=$E$3,INDEX($B$10:$B$59,RANDBETWEEN(1,$E$3)),"")</x:f>
      </x:c>
      <x:c r="AT97" s="68" t="str">
        <x:f>IF(COLUMN()-2&lt;=$E$3,INDEX($B$10:$B$59,RANDBETWEEN(1,$E$3)),"")</x:f>
      </x:c>
      <x:c r="AU97" s="68" t="str">
        <x:f>IF(COLUMN()-2&lt;=$E$3,INDEX($B$10:$B$59,RANDBETWEEN(1,$E$3)),"")</x:f>
      </x:c>
      <x:c r="AV97" s="68" t="str">
        <x:f>IF(COLUMN()-2&lt;=$E$3,INDEX($B$10:$B$59,RANDBETWEEN(1,$E$3)),"")</x:f>
      </x:c>
      <x:c r="AW97" s="68" t="str">
        <x:f>IF(COLUMN()-2&lt;=$E$3,INDEX($B$10:$B$59,RANDBETWEEN(1,$E$3)),"")</x:f>
      </x:c>
      <x:c r="AX97" s="68" t="str">
        <x:f>IF(COLUMN()-2&lt;=$E$3,INDEX($B$10:$B$59,RANDBETWEEN(1,$E$3)),"")</x:f>
      </x:c>
      <x:c r="AY97" s="68" t="str">
        <x:f>IF(COLUMN()-2&lt;=$E$3,INDEX($B$10:$B$59,RANDBETWEEN(1,$E$3)),"")</x:f>
      </x:c>
      <x:c r="AZ97" s="68" t="str">
        <x:f>IF(COLUMN()-2&lt;=$E$3,INDEX($B$10:$B$59,RANDBETWEEN(1,$E$3)),"")</x:f>
      </x:c>
      <x:c r="BA97" s="68" t="str">
        <x:f>IF($E$3=0,"",AVERAGE(C97:AZ97))</x:f>
      </x:c>
    </x:row>
    <x:row r="98">
      <x:c r="A98" t="n">
        <x:v>34</x:v>
      </x:c>
      <x:c r="C98" s="68" t="str">
        <x:f>IF(COLUMN()-2&lt;=$E$3,INDEX($B$10:$B$59,RANDBETWEEN(1,$E$3)),"")</x:f>
      </x:c>
      <x:c r="D98" s="68" t="str">
        <x:f>IF(COLUMN()-2&lt;=$E$3,INDEX($B$10:$B$59,RANDBETWEEN(1,$E$3)),"")</x:f>
      </x:c>
      <x:c r="E98" s="68" t="str">
        <x:f>IF(COLUMN()-2&lt;=$E$3,INDEX($B$10:$B$59,RANDBETWEEN(1,$E$3)),"")</x:f>
      </x:c>
      <x:c r="F98" s="68" t="str">
        <x:f>IF(COLUMN()-2&lt;=$E$3,INDEX($B$10:$B$59,RANDBETWEEN(1,$E$3)),"")</x:f>
      </x:c>
      <x:c r="G98" s="68" t="str">
        <x:f>IF(COLUMN()-2&lt;=$E$3,INDEX($B$10:$B$59,RANDBETWEEN(1,$E$3)),"")</x:f>
      </x:c>
      <x:c r="H98" s="68" t="str">
        <x:f>IF(COLUMN()-2&lt;=$E$3,INDEX($B$10:$B$59,RANDBETWEEN(1,$E$3)),"")</x:f>
      </x:c>
      <x:c r="I98" s="68" t="str">
        <x:f>IF(COLUMN()-2&lt;=$E$3,INDEX($B$10:$B$59,RANDBETWEEN(1,$E$3)),"")</x:f>
      </x:c>
      <x:c r="J98" s="68" t="str">
        <x:f>IF(COLUMN()-2&lt;=$E$3,INDEX($B$10:$B$59,RANDBETWEEN(1,$E$3)),"")</x:f>
      </x:c>
      <x:c r="K98" s="68" t="str">
        <x:f>IF(COLUMN()-2&lt;=$E$3,INDEX($B$10:$B$59,RANDBETWEEN(1,$E$3)),"")</x:f>
      </x:c>
      <x:c r="L98" s="68" t="str">
        <x:f>IF(COLUMN()-2&lt;=$E$3,INDEX($B$10:$B$59,RANDBETWEEN(1,$E$3)),"")</x:f>
      </x:c>
      <x:c r="M98" s="68" t="str">
        <x:f>IF(COLUMN()-2&lt;=$E$3,INDEX($B$10:$B$59,RANDBETWEEN(1,$E$3)),"")</x:f>
      </x:c>
      <x:c r="N98" s="68" t="str">
        <x:f>IF(COLUMN()-2&lt;=$E$3,INDEX($B$10:$B$59,RANDBETWEEN(1,$E$3)),"")</x:f>
      </x:c>
      <x:c r="O98" s="68" t="str">
        <x:f>IF(COLUMN()-2&lt;=$E$3,INDEX($B$10:$B$59,RANDBETWEEN(1,$E$3)),"")</x:f>
      </x:c>
      <x:c r="P98" s="68" t="str">
        <x:f>IF(COLUMN()-2&lt;=$E$3,INDEX($B$10:$B$59,RANDBETWEEN(1,$E$3)),"")</x:f>
      </x:c>
      <x:c r="Q98" s="68" t="str">
        <x:f>IF(COLUMN()-2&lt;=$E$3,INDEX($B$10:$B$59,RANDBETWEEN(1,$E$3)),"")</x:f>
      </x:c>
      <x:c r="R98" s="68" t="str">
        <x:f>IF(COLUMN()-2&lt;=$E$3,INDEX($B$10:$B$59,RANDBETWEEN(1,$E$3)),"")</x:f>
      </x:c>
      <x:c r="S98" s="68" t="str">
        <x:f>IF(COLUMN()-2&lt;=$E$3,INDEX($B$10:$B$59,RANDBETWEEN(1,$E$3)),"")</x:f>
      </x:c>
      <x:c r="T98" s="68" t="str">
        <x:f>IF(COLUMN()-2&lt;=$E$3,INDEX($B$10:$B$59,RANDBETWEEN(1,$E$3)),"")</x:f>
      </x:c>
      <x:c r="U98" s="68" t="str">
        <x:f>IF(COLUMN()-2&lt;=$E$3,INDEX($B$10:$B$59,RANDBETWEEN(1,$E$3)),"")</x:f>
      </x:c>
      <x:c r="V98" s="68" t="str">
        <x:f>IF(COLUMN()-2&lt;=$E$3,INDEX($B$10:$B$59,RANDBETWEEN(1,$E$3)),"")</x:f>
      </x:c>
      <x:c r="W98" s="68" t="str">
        <x:f>IF(COLUMN()-2&lt;=$E$3,INDEX($B$10:$B$59,RANDBETWEEN(1,$E$3)),"")</x:f>
      </x:c>
      <x:c r="X98" s="68" t="str">
        <x:f>IF(COLUMN()-2&lt;=$E$3,INDEX($B$10:$B$59,RANDBETWEEN(1,$E$3)),"")</x:f>
      </x:c>
      <x:c r="Y98" s="68" t="str">
        <x:f>IF(COLUMN()-2&lt;=$E$3,INDEX($B$10:$B$59,RANDBETWEEN(1,$E$3)),"")</x:f>
      </x:c>
      <x:c r="Z98" s="68" t="str">
        <x:f>IF(COLUMN()-2&lt;=$E$3,INDEX($B$10:$B$59,RANDBETWEEN(1,$E$3)),"")</x:f>
      </x:c>
      <x:c r="AA98" s="68" t="str">
        <x:f>IF(COLUMN()-2&lt;=$E$3,INDEX($B$10:$B$59,RANDBETWEEN(1,$E$3)),"")</x:f>
      </x:c>
      <x:c r="AB98" s="68" t="str">
        <x:f>IF(COLUMN()-2&lt;=$E$3,INDEX($B$10:$B$59,RANDBETWEEN(1,$E$3)),"")</x:f>
      </x:c>
      <x:c r="AC98" s="68" t="str">
        <x:f>IF(COLUMN()-2&lt;=$E$3,INDEX($B$10:$B$59,RANDBETWEEN(1,$E$3)),"")</x:f>
      </x:c>
      <x:c r="AD98" s="68" t="str">
        <x:f>IF(COLUMN()-2&lt;=$E$3,INDEX($B$10:$B$59,RANDBETWEEN(1,$E$3)),"")</x:f>
      </x:c>
      <x:c r="AE98" s="68" t="str">
        <x:f>IF(COLUMN()-2&lt;=$E$3,INDEX($B$10:$B$59,RANDBETWEEN(1,$E$3)),"")</x:f>
      </x:c>
      <x:c r="AF98" s="68" t="str">
        <x:f>IF(COLUMN()-2&lt;=$E$3,INDEX($B$10:$B$59,RANDBETWEEN(1,$E$3)),"")</x:f>
      </x:c>
      <x:c r="AG98" s="68" t="str">
        <x:f>IF(COLUMN()-2&lt;=$E$3,INDEX($B$10:$B$59,RANDBETWEEN(1,$E$3)),"")</x:f>
      </x:c>
      <x:c r="AH98" s="68" t="str">
        <x:f>IF(COLUMN()-2&lt;=$E$3,INDEX($B$10:$B$59,RANDBETWEEN(1,$E$3)),"")</x:f>
      </x:c>
      <x:c r="AI98" s="68" t="str">
        <x:f>IF(COLUMN()-2&lt;=$E$3,INDEX($B$10:$B$59,RANDBETWEEN(1,$E$3)),"")</x:f>
      </x:c>
      <x:c r="AJ98" s="68" t="str">
        <x:f>IF(COLUMN()-2&lt;=$E$3,INDEX($B$10:$B$59,RANDBETWEEN(1,$E$3)),"")</x:f>
      </x:c>
      <x:c r="AK98" s="68" t="str">
        <x:f>IF(COLUMN()-2&lt;=$E$3,INDEX($B$10:$B$59,RANDBETWEEN(1,$E$3)),"")</x:f>
      </x:c>
      <x:c r="AL98" s="68" t="str">
        <x:f>IF(COLUMN()-2&lt;=$E$3,INDEX($B$10:$B$59,RANDBETWEEN(1,$E$3)),"")</x:f>
      </x:c>
      <x:c r="AM98" s="68" t="str">
        <x:f>IF(COLUMN()-2&lt;=$E$3,INDEX($B$10:$B$59,RANDBETWEEN(1,$E$3)),"")</x:f>
      </x:c>
      <x:c r="AN98" s="68" t="str">
        <x:f>IF(COLUMN()-2&lt;=$E$3,INDEX($B$10:$B$59,RANDBETWEEN(1,$E$3)),"")</x:f>
      </x:c>
      <x:c r="AO98" s="68" t="str">
        <x:f>IF(COLUMN()-2&lt;=$E$3,INDEX($B$10:$B$59,RANDBETWEEN(1,$E$3)),"")</x:f>
      </x:c>
      <x:c r="AP98" s="68" t="str">
        <x:f>IF(COLUMN()-2&lt;=$E$3,INDEX($B$10:$B$59,RANDBETWEEN(1,$E$3)),"")</x:f>
      </x:c>
      <x:c r="AQ98" s="68" t="str">
        <x:f>IF(COLUMN()-2&lt;=$E$3,INDEX($B$10:$B$59,RANDBETWEEN(1,$E$3)),"")</x:f>
      </x:c>
      <x:c r="AR98" s="68" t="str">
        <x:f>IF(COLUMN()-2&lt;=$E$3,INDEX($B$10:$B$59,RANDBETWEEN(1,$E$3)),"")</x:f>
      </x:c>
      <x:c r="AS98" s="68" t="str">
        <x:f>IF(COLUMN()-2&lt;=$E$3,INDEX($B$10:$B$59,RANDBETWEEN(1,$E$3)),"")</x:f>
      </x:c>
      <x:c r="AT98" s="68" t="str">
        <x:f>IF(COLUMN()-2&lt;=$E$3,INDEX($B$10:$B$59,RANDBETWEEN(1,$E$3)),"")</x:f>
      </x:c>
      <x:c r="AU98" s="68" t="str">
        <x:f>IF(COLUMN()-2&lt;=$E$3,INDEX($B$10:$B$59,RANDBETWEEN(1,$E$3)),"")</x:f>
      </x:c>
      <x:c r="AV98" s="68" t="str">
        <x:f>IF(COLUMN()-2&lt;=$E$3,INDEX($B$10:$B$59,RANDBETWEEN(1,$E$3)),"")</x:f>
      </x:c>
      <x:c r="AW98" s="68" t="str">
        <x:f>IF(COLUMN()-2&lt;=$E$3,INDEX($B$10:$B$59,RANDBETWEEN(1,$E$3)),"")</x:f>
      </x:c>
      <x:c r="AX98" s="68" t="str">
        <x:f>IF(COLUMN()-2&lt;=$E$3,INDEX($B$10:$B$59,RANDBETWEEN(1,$E$3)),"")</x:f>
      </x:c>
      <x:c r="AY98" s="68" t="str">
        <x:f>IF(COLUMN()-2&lt;=$E$3,INDEX($B$10:$B$59,RANDBETWEEN(1,$E$3)),"")</x:f>
      </x:c>
      <x:c r="AZ98" s="68" t="str">
        <x:f>IF(COLUMN()-2&lt;=$E$3,INDEX($B$10:$B$59,RANDBETWEEN(1,$E$3)),"")</x:f>
      </x:c>
      <x:c r="BA98" s="68" t="str">
        <x:f>IF($E$3=0,"",AVERAGE(C98:AZ98))</x:f>
      </x:c>
    </x:row>
    <x:row r="99">
      <x:c r="A99" t="n">
        <x:v>35</x:v>
      </x:c>
      <x:c r="C99" s="68" t="str">
        <x:f>IF(COLUMN()-2&lt;=$E$3,INDEX($B$10:$B$59,RANDBETWEEN(1,$E$3)),"")</x:f>
      </x:c>
      <x:c r="D99" s="68" t="str">
        <x:f>IF(COLUMN()-2&lt;=$E$3,INDEX($B$10:$B$59,RANDBETWEEN(1,$E$3)),"")</x:f>
      </x:c>
      <x:c r="E99" s="68" t="str">
        <x:f>IF(COLUMN()-2&lt;=$E$3,INDEX($B$10:$B$59,RANDBETWEEN(1,$E$3)),"")</x:f>
      </x:c>
      <x:c r="F99" s="68" t="str">
        <x:f>IF(COLUMN()-2&lt;=$E$3,INDEX($B$10:$B$59,RANDBETWEEN(1,$E$3)),"")</x:f>
      </x:c>
      <x:c r="G99" s="68" t="str">
        <x:f>IF(COLUMN()-2&lt;=$E$3,INDEX($B$10:$B$59,RANDBETWEEN(1,$E$3)),"")</x:f>
      </x:c>
      <x:c r="H99" s="68" t="str">
        <x:f>IF(COLUMN()-2&lt;=$E$3,INDEX($B$10:$B$59,RANDBETWEEN(1,$E$3)),"")</x:f>
      </x:c>
      <x:c r="I99" s="68" t="str">
        <x:f>IF(COLUMN()-2&lt;=$E$3,INDEX($B$10:$B$59,RANDBETWEEN(1,$E$3)),"")</x:f>
      </x:c>
      <x:c r="J99" s="68" t="str">
        <x:f>IF(COLUMN()-2&lt;=$E$3,INDEX($B$10:$B$59,RANDBETWEEN(1,$E$3)),"")</x:f>
      </x:c>
      <x:c r="K99" s="68" t="str">
        <x:f>IF(COLUMN()-2&lt;=$E$3,INDEX($B$10:$B$59,RANDBETWEEN(1,$E$3)),"")</x:f>
      </x:c>
      <x:c r="L99" s="68" t="str">
        <x:f>IF(COLUMN()-2&lt;=$E$3,INDEX($B$10:$B$59,RANDBETWEEN(1,$E$3)),"")</x:f>
      </x:c>
      <x:c r="M99" s="68" t="str">
        <x:f>IF(COLUMN()-2&lt;=$E$3,INDEX($B$10:$B$59,RANDBETWEEN(1,$E$3)),"")</x:f>
      </x:c>
      <x:c r="N99" s="68" t="str">
        <x:f>IF(COLUMN()-2&lt;=$E$3,INDEX($B$10:$B$59,RANDBETWEEN(1,$E$3)),"")</x:f>
      </x:c>
      <x:c r="O99" s="68" t="str">
        <x:f>IF(COLUMN()-2&lt;=$E$3,INDEX($B$10:$B$59,RANDBETWEEN(1,$E$3)),"")</x:f>
      </x:c>
      <x:c r="P99" s="68" t="str">
        <x:f>IF(COLUMN()-2&lt;=$E$3,INDEX($B$10:$B$59,RANDBETWEEN(1,$E$3)),"")</x:f>
      </x:c>
      <x:c r="Q99" s="68" t="str">
        <x:f>IF(COLUMN()-2&lt;=$E$3,INDEX($B$10:$B$59,RANDBETWEEN(1,$E$3)),"")</x:f>
      </x:c>
      <x:c r="R99" s="68" t="str">
        <x:f>IF(COLUMN()-2&lt;=$E$3,INDEX($B$10:$B$59,RANDBETWEEN(1,$E$3)),"")</x:f>
      </x:c>
      <x:c r="S99" s="68" t="str">
        <x:f>IF(COLUMN()-2&lt;=$E$3,INDEX($B$10:$B$59,RANDBETWEEN(1,$E$3)),"")</x:f>
      </x:c>
      <x:c r="T99" s="68" t="str">
        <x:f>IF(COLUMN()-2&lt;=$E$3,INDEX($B$10:$B$59,RANDBETWEEN(1,$E$3)),"")</x:f>
      </x:c>
      <x:c r="U99" s="68" t="str">
        <x:f>IF(COLUMN()-2&lt;=$E$3,INDEX($B$10:$B$59,RANDBETWEEN(1,$E$3)),"")</x:f>
      </x:c>
      <x:c r="V99" s="68" t="str">
        <x:f>IF(COLUMN()-2&lt;=$E$3,INDEX($B$10:$B$59,RANDBETWEEN(1,$E$3)),"")</x:f>
      </x:c>
      <x:c r="W99" s="68" t="str">
        <x:f>IF(COLUMN()-2&lt;=$E$3,INDEX($B$10:$B$59,RANDBETWEEN(1,$E$3)),"")</x:f>
      </x:c>
      <x:c r="X99" s="68" t="str">
        <x:f>IF(COLUMN()-2&lt;=$E$3,INDEX($B$10:$B$59,RANDBETWEEN(1,$E$3)),"")</x:f>
      </x:c>
      <x:c r="Y99" s="68" t="str">
        <x:f>IF(COLUMN()-2&lt;=$E$3,INDEX($B$10:$B$59,RANDBETWEEN(1,$E$3)),"")</x:f>
      </x:c>
      <x:c r="Z99" s="68" t="str">
        <x:f>IF(COLUMN()-2&lt;=$E$3,INDEX($B$10:$B$59,RANDBETWEEN(1,$E$3)),"")</x:f>
      </x:c>
      <x:c r="AA99" s="68" t="str">
        <x:f>IF(COLUMN()-2&lt;=$E$3,INDEX($B$10:$B$59,RANDBETWEEN(1,$E$3)),"")</x:f>
      </x:c>
      <x:c r="AB99" s="68" t="str">
        <x:f>IF(COLUMN()-2&lt;=$E$3,INDEX($B$10:$B$59,RANDBETWEEN(1,$E$3)),"")</x:f>
      </x:c>
      <x:c r="AC99" s="68" t="str">
        <x:f>IF(COLUMN()-2&lt;=$E$3,INDEX($B$10:$B$59,RANDBETWEEN(1,$E$3)),"")</x:f>
      </x:c>
      <x:c r="AD99" s="68" t="str">
        <x:f>IF(COLUMN()-2&lt;=$E$3,INDEX($B$10:$B$59,RANDBETWEEN(1,$E$3)),"")</x:f>
      </x:c>
      <x:c r="AE99" s="68" t="str">
        <x:f>IF(COLUMN()-2&lt;=$E$3,INDEX($B$10:$B$59,RANDBETWEEN(1,$E$3)),"")</x:f>
      </x:c>
      <x:c r="AF99" s="68" t="str">
        <x:f>IF(COLUMN()-2&lt;=$E$3,INDEX($B$10:$B$59,RANDBETWEEN(1,$E$3)),"")</x:f>
      </x:c>
      <x:c r="AG99" s="68" t="str">
        <x:f>IF(COLUMN()-2&lt;=$E$3,INDEX($B$10:$B$59,RANDBETWEEN(1,$E$3)),"")</x:f>
      </x:c>
      <x:c r="AH99" s="68" t="str">
        <x:f>IF(COLUMN()-2&lt;=$E$3,INDEX($B$10:$B$59,RANDBETWEEN(1,$E$3)),"")</x:f>
      </x:c>
      <x:c r="AI99" s="68" t="str">
        <x:f>IF(COLUMN()-2&lt;=$E$3,INDEX($B$10:$B$59,RANDBETWEEN(1,$E$3)),"")</x:f>
      </x:c>
      <x:c r="AJ99" s="68" t="str">
        <x:f>IF(COLUMN()-2&lt;=$E$3,INDEX($B$10:$B$59,RANDBETWEEN(1,$E$3)),"")</x:f>
      </x:c>
      <x:c r="AK99" s="68" t="str">
        <x:f>IF(COLUMN()-2&lt;=$E$3,INDEX($B$10:$B$59,RANDBETWEEN(1,$E$3)),"")</x:f>
      </x:c>
      <x:c r="AL99" s="68" t="str">
        <x:f>IF(COLUMN()-2&lt;=$E$3,INDEX($B$10:$B$59,RANDBETWEEN(1,$E$3)),"")</x:f>
      </x:c>
      <x:c r="AM99" s="68" t="str">
        <x:f>IF(COLUMN()-2&lt;=$E$3,INDEX($B$10:$B$59,RANDBETWEEN(1,$E$3)),"")</x:f>
      </x:c>
      <x:c r="AN99" s="68" t="str">
        <x:f>IF(COLUMN()-2&lt;=$E$3,INDEX($B$10:$B$59,RANDBETWEEN(1,$E$3)),"")</x:f>
      </x:c>
      <x:c r="AO99" s="68" t="str">
        <x:f>IF(COLUMN()-2&lt;=$E$3,INDEX($B$10:$B$59,RANDBETWEEN(1,$E$3)),"")</x:f>
      </x:c>
      <x:c r="AP99" s="68" t="str">
        <x:f>IF(COLUMN()-2&lt;=$E$3,INDEX($B$10:$B$59,RANDBETWEEN(1,$E$3)),"")</x:f>
      </x:c>
      <x:c r="AQ99" s="68" t="str">
        <x:f>IF(COLUMN()-2&lt;=$E$3,INDEX($B$10:$B$59,RANDBETWEEN(1,$E$3)),"")</x:f>
      </x:c>
      <x:c r="AR99" s="68" t="str">
        <x:f>IF(COLUMN()-2&lt;=$E$3,INDEX($B$10:$B$59,RANDBETWEEN(1,$E$3)),"")</x:f>
      </x:c>
      <x:c r="AS99" s="68" t="str">
        <x:f>IF(COLUMN()-2&lt;=$E$3,INDEX($B$10:$B$59,RANDBETWEEN(1,$E$3)),"")</x:f>
      </x:c>
      <x:c r="AT99" s="68" t="str">
        <x:f>IF(COLUMN()-2&lt;=$E$3,INDEX($B$10:$B$59,RANDBETWEEN(1,$E$3)),"")</x:f>
      </x:c>
      <x:c r="AU99" s="68" t="str">
        <x:f>IF(COLUMN()-2&lt;=$E$3,INDEX($B$10:$B$59,RANDBETWEEN(1,$E$3)),"")</x:f>
      </x:c>
      <x:c r="AV99" s="68" t="str">
        <x:f>IF(COLUMN()-2&lt;=$E$3,INDEX($B$10:$B$59,RANDBETWEEN(1,$E$3)),"")</x:f>
      </x:c>
      <x:c r="AW99" s="68" t="str">
        <x:f>IF(COLUMN()-2&lt;=$E$3,INDEX($B$10:$B$59,RANDBETWEEN(1,$E$3)),"")</x:f>
      </x:c>
      <x:c r="AX99" s="68" t="str">
        <x:f>IF(COLUMN()-2&lt;=$E$3,INDEX($B$10:$B$59,RANDBETWEEN(1,$E$3)),"")</x:f>
      </x:c>
      <x:c r="AY99" s="68" t="str">
        <x:f>IF(COLUMN()-2&lt;=$E$3,INDEX($B$10:$B$59,RANDBETWEEN(1,$E$3)),"")</x:f>
      </x:c>
      <x:c r="AZ99" s="68" t="str">
        <x:f>IF(COLUMN()-2&lt;=$E$3,INDEX($B$10:$B$59,RANDBETWEEN(1,$E$3)),"")</x:f>
      </x:c>
      <x:c r="BA99" s="68" t="str">
        <x:f>IF($E$3=0,"",AVERAGE(C99:AZ99))</x:f>
      </x:c>
    </x:row>
    <x:row r="100">
      <x:c r="A100" t="n">
        <x:v>36</x:v>
      </x:c>
      <x:c r="C100" s="68" t="str">
        <x:f>IF(COLUMN()-2&lt;=$E$3,INDEX($B$10:$B$59,RANDBETWEEN(1,$E$3)),"")</x:f>
      </x:c>
      <x:c r="D100" s="68" t="str">
        <x:f>IF(COLUMN()-2&lt;=$E$3,INDEX($B$10:$B$59,RANDBETWEEN(1,$E$3)),"")</x:f>
      </x:c>
      <x:c r="E100" s="68" t="str">
        <x:f>IF(COLUMN()-2&lt;=$E$3,INDEX($B$10:$B$59,RANDBETWEEN(1,$E$3)),"")</x:f>
      </x:c>
      <x:c r="F100" s="68" t="str">
        <x:f>IF(COLUMN()-2&lt;=$E$3,INDEX($B$10:$B$59,RANDBETWEEN(1,$E$3)),"")</x:f>
      </x:c>
      <x:c r="G100" s="68" t="str">
        <x:f>IF(COLUMN()-2&lt;=$E$3,INDEX($B$10:$B$59,RANDBETWEEN(1,$E$3)),"")</x:f>
      </x:c>
      <x:c r="H100" s="68" t="str">
        <x:f>IF(COLUMN()-2&lt;=$E$3,INDEX($B$10:$B$59,RANDBETWEEN(1,$E$3)),"")</x:f>
      </x:c>
      <x:c r="I100" s="68" t="str">
        <x:f>IF(COLUMN()-2&lt;=$E$3,INDEX($B$10:$B$59,RANDBETWEEN(1,$E$3)),"")</x:f>
      </x:c>
      <x:c r="J100" s="68" t="str">
        <x:f>IF(COLUMN()-2&lt;=$E$3,INDEX($B$10:$B$59,RANDBETWEEN(1,$E$3)),"")</x:f>
      </x:c>
      <x:c r="K100" s="68" t="str">
        <x:f>IF(COLUMN()-2&lt;=$E$3,INDEX($B$10:$B$59,RANDBETWEEN(1,$E$3)),"")</x:f>
      </x:c>
      <x:c r="L100" s="68" t="str">
        <x:f>IF(COLUMN()-2&lt;=$E$3,INDEX($B$10:$B$59,RANDBETWEEN(1,$E$3)),"")</x:f>
      </x:c>
      <x:c r="M100" s="68" t="str">
        <x:f>IF(COLUMN()-2&lt;=$E$3,INDEX($B$10:$B$59,RANDBETWEEN(1,$E$3)),"")</x:f>
      </x:c>
      <x:c r="N100" s="68" t="str">
        <x:f>IF(COLUMN()-2&lt;=$E$3,INDEX($B$10:$B$59,RANDBETWEEN(1,$E$3)),"")</x:f>
      </x:c>
      <x:c r="O100" s="68" t="str">
        <x:f>IF(COLUMN()-2&lt;=$E$3,INDEX($B$10:$B$59,RANDBETWEEN(1,$E$3)),"")</x:f>
      </x:c>
      <x:c r="P100" s="68" t="str">
        <x:f>IF(COLUMN()-2&lt;=$E$3,INDEX($B$10:$B$59,RANDBETWEEN(1,$E$3)),"")</x:f>
      </x:c>
      <x:c r="Q100" s="68" t="str">
        <x:f>IF(COLUMN()-2&lt;=$E$3,INDEX($B$10:$B$59,RANDBETWEEN(1,$E$3)),"")</x:f>
      </x:c>
      <x:c r="R100" s="68" t="str">
        <x:f>IF(COLUMN()-2&lt;=$E$3,INDEX($B$10:$B$59,RANDBETWEEN(1,$E$3)),"")</x:f>
      </x:c>
      <x:c r="S100" s="68" t="str">
        <x:f>IF(COLUMN()-2&lt;=$E$3,INDEX($B$10:$B$59,RANDBETWEEN(1,$E$3)),"")</x:f>
      </x:c>
      <x:c r="T100" s="68" t="str">
        <x:f>IF(COLUMN()-2&lt;=$E$3,INDEX($B$10:$B$59,RANDBETWEEN(1,$E$3)),"")</x:f>
      </x:c>
      <x:c r="U100" s="68" t="str">
        <x:f>IF(COLUMN()-2&lt;=$E$3,INDEX($B$10:$B$59,RANDBETWEEN(1,$E$3)),"")</x:f>
      </x:c>
      <x:c r="V100" s="68" t="str">
        <x:f>IF(COLUMN()-2&lt;=$E$3,INDEX($B$10:$B$59,RANDBETWEEN(1,$E$3)),"")</x:f>
      </x:c>
      <x:c r="W100" s="68" t="str">
        <x:f>IF(COLUMN()-2&lt;=$E$3,INDEX($B$10:$B$59,RANDBETWEEN(1,$E$3)),"")</x:f>
      </x:c>
      <x:c r="X100" s="68" t="str">
        <x:f>IF(COLUMN()-2&lt;=$E$3,INDEX($B$10:$B$59,RANDBETWEEN(1,$E$3)),"")</x:f>
      </x:c>
      <x:c r="Y100" s="68" t="str">
        <x:f>IF(COLUMN()-2&lt;=$E$3,INDEX($B$10:$B$59,RANDBETWEEN(1,$E$3)),"")</x:f>
      </x:c>
      <x:c r="Z100" s="68" t="str">
        <x:f>IF(COLUMN()-2&lt;=$E$3,INDEX($B$10:$B$59,RANDBETWEEN(1,$E$3)),"")</x:f>
      </x:c>
      <x:c r="AA100" s="68" t="str">
        <x:f>IF(COLUMN()-2&lt;=$E$3,INDEX($B$10:$B$59,RANDBETWEEN(1,$E$3)),"")</x:f>
      </x:c>
      <x:c r="AB100" s="68" t="str">
        <x:f>IF(COLUMN()-2&lt;=$E$3,INDEX($B$10:$B$59,RANDBETWEEN(1,$E$3)),"")</x:f>
      </x:c>
      <x:c r="AC100" s="68" t="str">
        <x:f>IF(COLUMN()-2&lt;=$E$3,INDEX($B$10:$B$59,RANDBETWEEN(1,$E$3)),"")</x:f>
      </x:c>
      <x:c r="AD100" s="68" t="str">
        <x:f>IF(COLUMN()-2&lt;=$E$3,INDEX($B$10:$B$59,RANDBETWEEN(1,$E$3)),"")</x:f>
      </x:c>
      <x:c r="AE100" s="68" t="str">
        <x:f>IF(COLUMN()-2&lt;=$E$3,INDEX($B$10:$B$59,RANDBETWEEN(1,$E$3)),"")</x:f>
      </x:c>
      <x:c r="AF100" s="68" t="str">
        <x:f>IF(COLUMN()-2&lt;=$E$3,INDEX($B$10:$B$59,RANDBETWEEN(1,$E$3)),"")</x:f>
      </x:c>
      <x:c r="AG100" s="68" t="str">
        <x:f>IF(COLUMN()-2&lt;=$E$3,INDEX($B$10:$B$59,RANDBETWEEN(1,$E$3)),"")</x:f>
      </x:c>
      <x:c r="AH100" s="68" t="str">
        <x:f>IF(COLUMN()-2&lt;=$E$3,INDEX($B$10:$B$59,RANDBETWEEN(1,$E$3)),"")</x:f>
      </x:c>
      <x:c r="AI100" s="68" t="str">
        <x:f>IF(COLUMN()-2&lt;=$E$3,INDEX($B$10:$B$59,RANDBETWEEN(1,$E$3)),"")</x:f>
      </x:c>
      <x:c r="AJ100" s="68" t="str">
        <x:f>IF(COLUMN()-2&lt;=$E$3,INDEX($B$10:$B$59,RANDBETWEEN(1,$E$3)),"")</x:f>
      </x:c>
      <x:c r="AK100" s="68" t="str">
        <x:f>IF(COLUMN()-2&lt;=$E$3,INDEX($B$10:$B$59,RANDBETWEEN(1,$E$3)),"")</x:f>
      </x:c>
      <x:c r="AL100" s="68" t="str">
        <x:f>IF(COLUMN()-2&lt;=$E$3,INDEX($B$10:$B$59,RANDBETWEEN(1,$E$3)),"")</x:f>
      </x:c>
      <x:c r="AM100" s="68" t="str">
        <x:f>IF(COLUMN()-2&lt;=$E$3,INDEX($B$10:$B$59,RANDBETWEEN(1,$E$3)),"")</x:f>
      </x:c>
      <x:c r="AN100" s="68" t="str">
        <x:f>IF(COLUMN()-2&lt;=$E$3,INDEX($B$10:$B$59,RANDBETWEEN(1,$E$3)),"")</x:f>
      </x:c>
      <x:c r="AO100" s="68" t="str">
        <x:f>IF(COLUMN()-2&lt;=$E$3,INDEX($B$10:$B$59,RANDBETWEEN(1,$E$3)),"")</x:f>
      </x:c>
      <x:c r="AP100" s="68" t="str">
        <x:f>IF(COLUMN()-2&lt;=$E$3,INDEX($B$10:$B$59,RANDBETWEEN(1,$E$3)),"")</x:f>
      </x:c>
      <x:c r="AQ100" s="68" t="str">
        <x:f>IF(COLUMN()-2&lt;=$E$3,INDEX($B$10:$B$59,RANDBETWEEN(1,$E$3)),"")</x:f>
      </x:c>
      <x:c r="AR100" s="68" t="str">
        <x:f>IF(COLUMN()-2&lt;=$E$3,INDEX($B$10:$B$59,RANDBETWEEN(1,$E$3)),"")</x:f>
      </x:c>
      <x:c r="AS100" s="68" t="str">
        <x:f>IF(COLUMN()-2&lt;=$E$3,INDEX($B$10:$B$59,RANDBETWEEN(1,$E$3)),"")</x:f>
      </x:c>
      <x:c r="AT100" s="68" t="str">
        <x:f>IF(COLUMN()-2&lt;=$E$3,INDEX($B$10:$B$59,RANDBETWEEN(1,$E$3)),"")</x:f>
      </x:c>
      <x:c r="AU100" s="68" t="str">
        <x:f>IF(COLUMN()-2&lt;=$E$3,INDEX($B$10:$B$59,RANDBETWEEN(1,$E$3)),"")</x:f>
      </x:c>
      <x:c r="AV100" s="68" t="str">
        <x:f>IF(COLUMN()-2&lt;=$E$3,INDEX($B$10:$B$59,RANDBETWEEN(1,$E$3)),"")</x:f>
      </x:c>
      <x:c r="AW100" s="68" t="str">
        <x:f>IF(COLUMN()-2&lt;=$E$3,INDEX($B$10:$B$59,RANDBETWEEN(1,$E$3)),"")</x:f>
      </x:c>
      <x:c r="AX100" s="68" t="str">
        <x:f>IF(COLUMN()-2&lt;=$E$3,INDEX($B$10:$B$59,RANDBETWEEN(1,$E$3)),"")</x:f>
      </x:c>
      <x:c r="AY100" s="68" t="str">
        <x:f>IF(COLUMN()-2&lt;=$E$3,INDEX($B$10:$B$59,RANDBETWEEN(1,$E$3)),"")</x:f>
      </x:c>
      <x:c r="AZ100" s="68" t="str">
        <x:f>IF(COLUMN()-2&lt;=$E$3,INDEX($B$10:$B$59,RANDBETWEEN(1,$E$3)),"")</x:f>
      </x:c>
      <x:c r="BA100" s="68" t="str">
        <x:f>IF($E$3=0,"",AVERAGE(C100:AZ100))</x:f>
      </x:c>
    </x:row>
    <x:row r="101">
      <x:c r="A101" t="n">
        <x:v>37</x:v>
      </x:c>
      <x:c r="C101" s="68" t="str">
        <x:f>IF(COLUMN()-2&lt;=$E$3,INDEX($B$10:$B$59,RANDBETWEEN(1,$E$3)),"")</x:f>
      </x:c>
      <x:c r="D101" s="68" t="str">
        <x:f>IF(COLUMN()-2&lt;=$E$3,INDEX($B$10:$B$59,RANDBETWEEN(1,$E$3)),"")</x:f>
      </x:c>
      <x:c r="E101" s="68" t="str">
        <x:f>IF(COLUMN()-2&lt;=$E$3,INDEX($B$10:$B$59,RANDBETWEEN(1,$E$3)),"")</x:f>
      </x:c>
      <x:c r="F101" s="68" t="str">
        <x:f>IF(COLUMN()-2&lt;=$E$3,INDEX($B$10:$B$59,RANDBETWEEN(1,$E$3)),"")</x:f>
      </x:c>
      <x:c r="G101" s="68" t="str">
        <x:f>IF(COLUMN()-2&lt;=$E$3,INDEX($B$10:$B$59,RANDBETWEEN(1,$E$3)),"")</x:f>
      </x:c>
      <x:c r="H101" s="68" t="str">
        <x:f>IF(COLUMN()-2&lt;=$E$3,INDEX($B$10:$B$59,RANDBETWEEN(1,$E$3)),"")</x:f>
      </x:c>
      <x:c r="I101" s="68" t="str">
        <x:f>IF(COLUMN()-2&lt;=$E$3,INDEX($B$10:$B$59,RANDBETWEEN(1,$E$3)),"")</x:f>
      </x:c>
      <x:c r="J101" s="68" t="str">
        <x:f>IF(COLUMN()-2&lt;=$E$3,INDEX($B$10:$B$59,RANDBETWEEN(1,$E$3)),"")</x:f>
      </x:c>
      <x:c r="K101" s="68" t="str">
        <x:f>IF(COLUMN()-2&lt;=$E$3,INDEX($B$10:$B$59,RANDBETWEEN(1,$E$3)),"")</x:f>
      </x:c>
      <x:c r="L101" s="68" t="str">
        <x:f>IF(COLUMN()-2&lt;=$E$3,INDEX($B$10:$B$59,RANDBETWEEN(1,$E$3)),"")</x:f>
      </x:c>
      <x:c r="M101" s="68" t="str">
        <x:f>IF(COLUMN()-2&lt;=$E$3,INDEX($B$10:$B$59,RANDBETWEEN(1,$E$3)),"")</x:f>
      </x:c>
      <x:c r="N101" s="68" t="str">
        <x:f>IF(COLUMN()-2&lt;=$E$3,INDEX($B$10:$B$59,RANDBETWEEN(1,$E$3)),"")</x:f>
      </x:c>
      <x:c r="O101" s="68" t="str">
        <x:f>IF(COLUMN()-2&lt;=$E$3,INDEX($B$10:$B$59,RANDBETWEEN(1,$E$3)),"")</x:f>
      </x:c>
      <x:c r="P101" s="68" t="str">
        <x:f>IF(COLUMN()-2&lt;=$E$3,INDEX($B$10:$B$59,RANDBETWEEN(1,$E$3)),"")</x:f>
      </x:c>
      <x:c r="Q101" s="68" t="str">
        <x:f>IF(COLUMN()-2&lt;=$E$3,INDEX($B$10:$B$59,RANDBETWEEN(1,$E$3)),"")</x:f>
      </x:c>
      <x:c r="R101" s="68" t="str">
        <x:f>IF(COLUMN()-2&lt;=$E$3,INDEX($B$10:$B$59,RANDBETWEEN(1,$E$3)),"")</x:f>
      </x:c>
      <x:c r="S101" s="68" t="str">
        <x:f>IF(COLUMN()-2&lt;=$E$3,INDEX($B$10:$B$59,RANDBETWEEN(1,$E$3)),"")</x:f>
      </x:c>
      <x:c r="T101" s="68" t="str">
        <x:f>IF(COLUMN()-2&lt;=$E$3,INDEX($B$10:$B$59,RANDBETWEEN(1,$E$3)),"")</x:f>
      </x:c>
      <x:c r="U101" s="68" t="str">
        <x:f>IF(COLUMN()-2&lt;=$E$3,INDEX($B$10:$B$59,RANDBETWEEN(1,$E$3)),"")</x:f>
      </x:c>
      <x:c r="V101" s="68" t="str">
        <x:f>IF(COLUMN()-2&lt;=$E$3,INDEX($B$10:$B$59,RANDBETWEEN(1,$E$3)),"")</x:f>
      </x:c>
      <x:c r="W101" s="68" t="str">
        <x:f>IF(COLUMN()-2&lt;=$E$3,INDEX($B$10:$B$59,RANDBETWEEN(1,$E$3)),"")</x:f>
      </x:c>
      <x:c r="X101" s="68" t="str">
        <x:f>IF(COLUMN()-2&lt;=$E$3,INDEX($B$10:$B$59,RANDBETWEEN(1,$E$3)),"")</x:f>
      </x:c>
      <x:c r="Y101" s="68" t="str">
        <x:f>IF(COLUMN()-2&lt;=$E$3,INDEX($B$10:$B$59,RANDBETWEEN(1,$E$3)),"")</x:f>
      </x:c>
      <x:c r="Z101" s="68" t="str">
        <x:f>IF(COLUMN()-2&lt;=$E$3,INDEX($B$10:$B$59,RANDBETWEEN(1,$E$3)),"")</x:f>
      </x:c>
      <x:c r="AA101" s="68" t="str">
        <x:f>IF(COLUMN()-2&lt;=$E$3,INDEX($B$10:$B$59,RANDBETWEEN(1,$E$3)),"")</x:f>
      </x:c>
      <x:c r="AB101" s="68" t="str">
        <x:f>IF(COLUMN()-2&lt;=$E$3,INDEX($B$10:$B$59,RANDBETWEEN(1,$E$3)),"")</x:f>
      </x:c>
      <x:c r="AC101" s="68" t="str">
        <x:f>IF(COLUMN()-2&lt;=$E$3,INDEX($B$10:$B$59,RANDBETWEEN(1,$E$3)),"")</x:f>
      </x:c>
      <x:c r="AD101" s="68" t="str">
        <x:f>IF(COLUMN()-2&lt;=$E$3,INDEX($B$10:$B$59,RANDBETWEEN(1,$E$3)),"")</x:f>
      </x:c>
      <x:c r="AE101" s="68" t="str">
        <x:f>IF(COLUMN()-2&lt;=$E$3,INDEX($B$10:$B$59,RANDBETWEEN(1,$E$3)),"")</x:f>
      </x:c>
      <x:c r="AF101" s="68" t="str">
        <x:f>IF(COLUMN()-2&lt;=$E$3,INDEX($B$10:$B$59,RANDBETWEEN(1,$E$3)),"")</x:f>
      </x:c>
      <x:c r="AG101" s="68" t="str">
        <x:f>IF(COLUMN()-2&lt;=$E$3,INDEX($B$10:$B$59,RANDBETWEEN(1,$E$3)),"")</x:f>
      </x:c>
      <x:c r="AH101" s="68" t="str">
        <x:f>IF(COLUMN()-2&lt;=$E$3,INDEX($B$10:$B$59,RANDBETWEEN(1,$E$3)),"")</x:f>
      </x:c>
      <x:c r="AI101" s="68" t="str">
        <x:f>IF(COLUMN()-2&lt;=$E$3,INDEX($B$10:$B$59,RANDBETWEEN(1,$E$3)),"")</x:f>
      </x:c>
      <x:c r="AJ101" s="68" t="str">
        <x:f>IF(COLUMN()-2&lt;=$E$3,INDEX($B$10:$B$59,RANDBETWEEN(1,$E$3)),"")</x:f>
      </x:c>
      <x:c r="AK101" s="68" t="str">
        <x:f>IF(COLUMN()-2&lt;=$E$3,INDEX($B$10:$B$59,RANDBETWEEN(1,$E$3)),"")</x:f>
      </x:c>
      <x:c r="AL101" s="68" t="str">
        <x:f>IF(COLUMN()-2&lt;=$E$3,INDEX($B$10:$B$59,RANDBETWEEN(1,$E$3)),"")</x:f>
      </x:c>
      <x:c r="AM101" s="68" t="str">
        <x:f>IF(COLUMN()-2&lt;=$E$3,INDEX($B$10:$B$59,RANDBETWEEN(1,$E$3)),"")</x:f>
      </x:c>
      <x:c r="AN101" s="68" t="str">
        <x:f>IF(COLUMN()-2&lt;=$E$3,INDEX($B$10:$B$59,RANDBETWEEN(1,$E$3)),"")</x:f>
      </x:c>
      <x:c r="AO101" s="68" t="str">
        <x:f>IF(COLUMN()-2&lt;=$E$3,INDEX($B$10:$B$59,RANDBETWEEN(1,$E$3)),"")</x:f>
      </x:c>
      <x:c r="AP101" s="68" t="str">
        <x:f>IF(COLUMN()-2&lt;=$E$3,INDEX($B$10:$B$59,RANDBETWEEN(1,$E$3)),"")</x:f>
      </x:c>
      <x:c r="AQ101" s="68" t="str">
        <x:f>IF(COLUMN()-2&lt;=$E$3,INDEX($B$10:$B$59,RANDBETWEEN(1,$E$3)),"")</x:f>
      </x:c>
      <x:c r="AR101" s="68" t="str">
        <x:f>IF(COLUMN()-2&lt;=$E$3,INDEX($B$10:$B$59,RANDBETWEEN(1,$E$3)),"")</x:f>
      </x:c>
      <x:c r="AS101" s="68" t="str">
        <x:f>IF(COLUMN()-2&lt;=$E$3,INDEX($B$10:$B$59,RANDBETWEEN(1,$E$3)),"")</x:f>
      </x:c>
      <x:c r="AT101" s="68" t="str">
        <x:f>IF(COLUMN()-2&lt;=$E$3,INDEX($B$10:$B$59,RANDBETWEEN(1,$E$3)),"")</x:f>
      </x:c>
      <x:c r="AU101" s="68" t="str">
        <x:f>IF(COLUMN()-2&lt;=$E$3,INDEX($B$10:$B$59,RANDBETWEEN(1,$E$3)),"")</x:f>
      </x:c>
      <x:c r="AV101" s="68" t="str">
        <x:f>IF(COLUMN()-2&lt;=$E$3,INDEX($B$10:$B$59,RANDBETWEEN(1,$E$3)),"")</x:f>
      </x:c>
      <x:c r="AW101" s="68" t="str">
        <x:f>IF(COLUMN()-2&lt;=$E$3,INDEX($B$10:$B$59,RANDBETWEEN(1,$E$3)),"")</x:f>
      </x:c>
      <x:c r="AX101" s="68" t="str">
        <x:f>IF(COLUMN()-2&lt;=$E$3,INDEX($B$10:$B$59,RANDBETWEEN(1,$E$3)),"")</x:f>
      </x:c>
      <x:c r="AY101" s="68" t="str">
        <x:f>IF(COLUMN()-2&lt;=$E$3,INDEX($B$10:$B$59,RANDBETWEEN(1,$E$3)),"")</x:f>
      </x:c>
      <x:c r="AZ101" s="68" t="str">
        <x:f>IF(COLUMN()-2&lt;=$E$3,INDEX($B$10:$B$59,RANDBETWEEN(1,$E$3)),"")</x:f>
      </x:c>
      <x:c r="BA101" s="68" t="str">
        <x:f>IF($E$3=0,"",AVERAGE(C101:AZ101))</x:f>
      </x:c>
    </x:row>
    <x:row r="102">
      <x:c r="A102" t="n">
        <x:v>38</x:v>
      </x:c>
      <x:c r="C102" s="68" t="str">
        <x:f>IF(COLUMN()-2&lt;=$E$3,INDEX($B$10:$B$59,RANDBETWEEN(1,$E$3)),"")</x:f>
      </x:c>
      <x:c r="D102" s="68" t="str">
        <x:f>IF(COLUMN()-2&lt;=$E$3,INDEX($B$10:$B$59,RANDBETWEEN(1,$E$3)),"")</x:f>
      </x:c>
      <x:c r="E102" s="68" t="str">
        <x:f>IF(COLUMN()-2&lt;=$E$3,INDEX($B$10:$B$59,RANDBETWEEN(1,$E$3)),"")</x:f>
      </x:c>
      <x:c r="F102" s="68" t="str">
        <x:f>IF(COLUMN()-2&lt;=$E$3,INDEX($B$10:$B$59,RANDBETWEEN(1,$E$3)),"")</x:f>
      </x:c>
      <x:c r="G102" s="68" t="str">
        <x:f>IF(COLUMN()-2&lt;=$E$3,INDEX($B$10:$B$59,RANDBETWEEN(1,$E$3)),"")</x:f>
      </x:c>
      <x:c r="H102" s="68" t="str">
        <x:f>IF(COLUMN()-2&lt;=$E$3,INDEX($B$10:$B$59,RANDBETWEEN(1,$E$3)),"")</x:f>
      </x:c>
      <x:c r="I102" s="68" t="str">
        <x:f>IF(COLUMN()-2&lt;=$E$3,INDEX($B$10:$B$59,RANDBETWEEN(1,$E$3)),"")</x:f>
      </x:c>
      <x:c r="J102" s="68" t="str">
        <x:f>IF(COLUMN()-2&lt;=$E$3,INDEX($B$10:$B$59,RANDBETWEEN(1,$E$3)),"")</x:f>
      </x:c>
      <x:c r="K102" s="68" t="str">
        <x:f>IF(COLUMN()-2&lt;=$E$3,INDEX($B$10:$B$59,RANDBETWEEN(1,$E$3)),"")</x:f>
      </x:c>
      <x:c r="L102" s="68" t="str">
        <x:f>IF(COLUMN()-2&lt;=$E$3,INDEX($B$10:$B$59,RANDBETWEEN(1,$E$3)),"")</x:f>
      </x:c>
      <x:c r="M102" s="68" t="str">
        <x:f>IF(COLUMN()-2&lt;=$E$3,INDEX($B$10:$B$59,RANDBETWEEN(1,$E$3)),"")</x:f>
      </x:c>
      <x:c r="N102" s="68" t="str">
        <x:f>IF(COLUMN()-2&lt;=$E$3,INDEX($B$10:$B$59,RANDBETWEEN(1,$E$3)),"")</x:f>
      </x:c>
      <x:c r="O102" s="68" t="str">
        <x:f>IF(COLUMN()-2&lt;=$E$3,INDEX($B$10:$B$59,RANDBETWEEN(1,$E$3)),"")</x:f>
      </x:c>
      <x:c r="P102" s="68" t="str">
        <x:f>IF(COLUMN()-2&lt;=$E$3,INDEX($B$10:$B$59,RANDBETWEEN(1,$E$3)),"")</x:f>
      </x:c>
      <x:c r="Q102" s="68" t="str">
        <x:f>IF(COLUMN()-2&lt;=$E$3,INDEX($B$10:$B$59,RANDBETWEEN(1,$E$3)),"")</x:f>
      </x:c>
      <x:c r="R102" s="68" t="str">
        <x:f>IF(COLUMN()-2&lt;=$E$3,INDEX($B$10:$B$59,RANDBETWEEN(1,$E$3)),"")</x:f>
      </x:c>
      <x:c r="S102" s="68" t="str">
        <x:f>IF(COLUMN()-2&lt;=$E$3,INDEX($B$10:$B$59,RANDBETWEEN(1,$E$3)),"")</x:f>
      </x:c>
      <x:c r="T102" s="68" t="str">
        <x:f>IF(COLUMN()-2&lt;=$E$3,INDEX($B$10:$B$59,RANDBETWEEN(1,$E$3)),"")</x:f>
      </x:c>
      <x:c r="U102" s="68" t="str">
        <x:f>IF(COLUMN()-2&lt;=$E$3,INDEX($B$10:$B$59,RANDBETWEEN(1,$E$3)),"")</x:f>
      </x:c>
      <x:c r="V102" s="68" t="str">
        <x:f>IF(COLUMN()-2&lt;=$E$3,INDEX($B$10:$B$59,RANDBETWEEN(1,$E$3)),"")</x:f>
      </x:c>
      <x:c r="W102" s="68" t="str">
        <x:f>IF(COLUMN()-2&lt;=$E$3,INDEX($B$10:$B$59,RANDBETWEEN(1,$E$3)),"")</x:f>
      </x:c>
      <x:c r="X102" s="68" t="str">
        <x:f>IF(COLUMN()-2&lt;=$E$3,INDEX($B$10:$B$59,RANDBETWEEN(1,$E$3)),"")</x:f>
      </x:c>
      <x:c r="Y102" s="68" t="str">
        <x:f>IF(COLUMN()-2&lt;=$E$3,INDEX($B$10:$B$59,RANDBETWEEN(1,$E$3)),"")</x:f>
      </x:c>
      <x:c r="Z102" s="68" t="str">
        <x:f>IF(COLUMN()-2&lt;=$E$3,INDEX($B$10:$B$59,RANDBETWEEN(1,$E$3)),"")</x:f>
      </x:c>
      <x:c r="AA102" s="68" t="str">
        <x:f>IF(COLUMN()-2&lt;=$E$3,INDEX($B$10:$B$59,RANDBETWEEN(1,$E$3)),"")</x:f>
      </x:c>
      <x:c r="AB102" s="68" t="str">
        <x:f>IF(COLUMN()-2&lt;=$E$3,INDEX($B$10:$B$59,RANDBETWEEN(1,$E$3)),"")</x:f>
      </x:c>
      <x:c r="AC102" s="68" t="str">
        <x:f>IF(COLUMN()-2&lt;=$E$3,INDEX($B$10:$B$59,RANDBETWEEN(1,$E$3)),"")</x:f>
      </x:c>
      <x:c r="AD102" s="68" t="str">
        <x:f>IF(COLUMN()-2&lt;=$E$3,INDEX($B$10:$B$59,RANDBETWEEN(1,$E$3)),"")</x:f>
      </x:c>
      <x:c r="AE102" s="68" t="str">
        <x:f>IF(COLUMN()-2&lt;=$E$3,INDEX($B$10:$B$59,RANDBETWEEN(1,$E$3)),"")</x:f>
      </x:c>
      <x:c r="AF102" s="68" t="str">
        <x:f>IF(COLUMN()-2&lt;=$E$3,INDEX($B$10:$B$59,RANDBETWEEN(1,$E$3)),"")</x:f>
      </x:c>
      <x:c r="AG102" s="68" t="str">
        <x:f>IF(COLUMN()-2&lt;=$E$3,INDEX($B$10:$B$59,RANDBETWEEN(1,$E$3)),"")</x:f>
      </x:c>
      <x:c r="AH102" s="68" t="str">
        <x:f>IF(COLUMN()-2&lt;=$E$3,INDEX($B$10:$B$59,RANDBETWEEN(1,$E$3)),"")</x:f>
      </x:c>
      <x:c r="AI102" s="68" t="str">
        <x:f>IF(COLUMN()-2&lt;=$E$3,INDEX($B$10:$B$59,RANDBETWEEN(1,$E$3)),"")</x:f>
      </x:c>
      <x:c r="AJ102" s="68" t="str">
        <x:f>IF(COLUMN()-2&lt;=$E$3,INDEX($B$10:$B$59,RANDBETWEEN(1,$E$3)),"")</x:f>
      </x:c>
      <x:c r="AK102" s="68" t="str">
        <x:f>IF(COLUMN()-2&lt;=$E$3,INDEX($B$10:$B$59,RANDBETWEEN(1,$E$3)),"")</x:f>
      </x:c>
      <x:c r="AL102" s="68" t="str">
        <x:f>IF(COLUMN()-2&lt;=$E$3,INDEX($B$10:$B$59,RANDBETWEEN(1,$E$3)),"")</x:f>
      </x:c>
      <x:c r="AM102" s="68" t="str">
        <x:f>IF(COLUMN()-2&lt;=$E$3,INDEX($B$10:$B$59,RANDBETWEEN(1,$E$3)),"")</x:f>
      </x:c>
      <x:c r="AN102" s="68" t="str">
        <x:f>IF(COLUMN()-2&lt;=$E$3,INDEX($B$10:$B$59,RANDBETWEEN(1,$E$3)),"")</x:f>
      </x:c>
      <x:c r="AO102" s="68" t="str">
        <x:f>IF(COLUMN()-2&lt;=$E$3,INDEX($B$10:$B$59,RANDBETWEEN(1,$E$3)),"")</x:f>
      </x:c>
      <x:c r="AP102" s="68" t="str">
        <x:f>IF(COLUMN()-2&lt;=$E$3,INDEX($B$10:$B$59,RANDBETWEEN(1,$E$3)),"")</x:f>
      </x:c>
      <x:c r="AQ102" s="68" t="str">
        <x:f>IF(COLUMN()-2&lt;=$E$3,INDEX($B$10:$B$59,RANDBETWEEN(1,$E$3)),"")</x:f>
      </x:c>
      <x:c r="AR102" s="68" t="str">
        <x:f>IF(COLUMN()-2&lt;=$E$3,INDEX($B$10:$B$59,RANDBETWEEN(1,$E$3)),"")</x:f>
      </x:c>
      <x:c r="AS102" s="68" t="str">
        <x:f>IF(COLUMN()-2&lt;=$E$3,INDEX($B$10:$B$59,RANDBETWEEN(1,$E$3)),"")</x:f>
      </x:c>
      <x:c r="AT102" s="68" t="str">
        <x:f>IF(COLUMN()-2&lt;=$E$3,INDEX($B$10:$B$59,RANDBETWEEN(1,$E$3)),"")</x:f>
      </x:c>
      <x:c r="AU102" s="68" t="str">
        <x:f>IF(COLUMN()-2&lt;=$E$3,INDEX($B$10:$B$59,RANDBETWEEN(1,$E$3)),"")</x:f>
      </x:c>
      <x:c r="AV102" s="68" t="str">
        <x:f>IF(COLUMN()-2&lt;=$E$3,INDEX($B$10:$B$59,RANDBETWEEN(1,$E$3)),"")</x:f>
      </x:c>
      <x:c r="AW102" s="68" t="str">
        <x:f>IF(COLUMN()-2&lt;=$E$3,INDEX($B$10:$B$59,RANDBETWEEN(1,$E$3)),"")</x:f>
      </x:c>
      <x:c r="AX102" s="68" t="str">
        <x:f>IF(COLUMN()-2&lt;=$E$3,INDEX($B$10:$B$59,RANDBETWEEN(1,$E$3)),"")</x:f>
      </x:c>
      <x:c r="AY102" s="68" t="str">
        <x:f>IF(COLUMN()-2&lt;=$E$3,INDEX($B$10:$B$59,RANDBETWEEN(1,$E$3)),"")</x:f>
      </x:c>
      <x:c r="AZ102" s="68" t="str">
        <x:f>IF(COLUMN()-2&lt;=$E$3,INDEX($B$10:$B$59,RANDBETWEEN(1,$E$3)),"")</x:f>
      </x:c>
      <x:c r="BA102" s="68" t="str">
        <x:f>IF($E$3=0,"",AVERAGE(C102:AZ102))</x:f>
      </x:c>
    </x:row>
    <x:row r="103">
      <x:c r="A103" t="n">
        <x:v>39</x:v>
      </x:c>
      <x:c r="C103" s="68" t="str">
        <x:f>IF(COLUMN()-2&lt;=$E$3,INDEX($B$10:$B$59,RANDBETWEEN(1,$E$3)),"")</x:f>
      </x:c>
      <x:c r="D103" s="68" t="str">
        <x:f>IF(COLUMN()-2&lt;=$E$3,INDEX($B$10:$B$59,RANDBETWEEN(1,$E$3)),"")</x:f>
      </x:c>
      <x:c r="E103" s="68" t="str">
        <x:f>IF(COLUMN()-2&lt;=$E$3,INDEX($B$10:$B$59,RANDBETWEEN(1,$E$3)),"")</x:f>
      </x:c>
      <x:c r="F103" s="68" t="str">
        <x:f>IF(COLUMN()-2&lt;=$E$3,INDEX($B$10:$B$59,RANDBETWEEN(1,$E$3)),"")</x:f>
      </x:c>
      <x:c r="G103" s="68" t="str">
        <x:f>IF(COLUMN()-2&lt;=$E$3,INDEX($B$10:$B$59,RANDBETWEEN(1,$E$3)),"")</x:f>
      </x:c>
      <x:c r="H103" s="68" t="str">
        <x:f>IF(COLUMN()-2&lt;=$E$3,INDEX($B$10:$B$59,RANDBETWEEN(1,$E$3)),"")</x:f>
      </x:c>
      <x:c r="I103" s="68" t="str">
        <x:f>IF(COLUMN()-2&lt;=$E$3,INDEX($B$10:$B$59,RANDBETWEEN(1,$E$3)),"")</x:f>
      </x:c>
      <x:c r="J103" s="68" t="str">
        <x:f>IF(COLUMN()-2&lt;=$E$3,INDEX($B$10:$B$59,RANDBETWEEN(1,$E$3)),"")</x:f>
      </x:c>
      <x:c r="K103" s="68" t="str">
        <x:f>IF(COLUMN()-2&lt;=$E$3,INDEX($B$10:$B$59,RANDBETWEEN(1,$E$3)),"")</x:f>
      </x:c>
      <x:c r="L103" s="68" t="str">
        <x:f>IF(COLUMN()-2&lt;=$E$3,INDEX($B$10:$B$59,RANDBETWEEN(1,$E$3)),"")</x:f>
      </x:c>
      <x:c r="M103" s="68" t="str">
        <x:f>IF(COLUMN()-2&lt;=$E$3,INDEX($B$10:$B$59,RANDBETWEEN(1,$E$3)),"")</x:f>
      </x:c>
      <x:c r="N103" s="68" t="str">
        <x:f>IF(COLUMN()-2&lt;=$E$3,INDEX($B$10:$B$59,RANDBETWEEN(1,$E$3)),"")</x:f>
      </x:c>
      <x:c r="O103" s="68" t="str">
        <x:f>IF(COLUMN()-2&lt;=$E$3,INDEX($B$10:$B$59,RANDBETWEEN(1,$E$3)),"")</x:f>
      </x:c>
      <x:c r="P103" s="68" t="str">
        <x:f>IF(COLUMN()-2&lt;=$E$3,INDEX($B$10:$B$59,RANDBETWEEN(1,$E$3)),"")</x:f>
      </x:c>
      <x:c r="Q103" s="68" t="str">
        <x:f>IF(COLUMN()-2&lt;=$E$3,INDEX($B$10:$B$59,RANDBETWEEN(1,$E$3)),"")</x:f>
      </x:c>
      <x:c r="R103" s="68" t="str">
        <x:f>IF(COLUMN()-2&lt;=$E$3,INDEX($B$10:$B$59,RANDBETWEEN(1,$E$3)),"")</x:f>
      </x:c>
      <x:c r="S103" s="68" t="str">
        <x:f>IF(COLUMN()-2&lt;=$E$3,INDEX($B$10:$B$59,RANDBETWEEN(1,$E$3)),"")</x:f>
      </x:c>
      <x:c r="T103" s="68" t="str">
        <x:f>IF(COLUMN()-2&lt;=$E$3,INDEX($B$10:$B$59,RANDBETWEEN(1,$E$3)),"")</x:f>
      </x:c>
      <x:c r="U103" s="68" t="str">
        <x:f>IF(COLUMN()-2&lt;=$E$3,INDEX($B$10:$B$59,RANDBETWEEN(1,$E$3)),"")</x:f>
      </x:c>
      <x:c r="V103" s="68" t="str">
        <x:f>IF(COLUMN()-2&lt;=$E$3,INDEX($B$10:$B$59,RANDBETWEEN(1,$E$3)),"")</x:f>
      </x:c>
      <x:c r="W103" s="68" t="str">
        <x:f>IF(COLUMN()-2&lt;=$E$3,INDEX($B$10:$B$59,RANDBETWEEN(1,$E$3)),"")</x:f>
      </x:c>
      <x:c r="X103" s="68" t="str">
        <x:f>IF(COLUMN()-2&lt;=$E$3,INDEX($B$10:$B$59,RANDBETWEEN(1,$E$3)),"")</x:f>
      </x:c>
      <x:c r="Y103" s="68" t="str">
        <x:f>IF(COLUMN()-2&lt;=$E$3,INDEX($B$10:$B$59,RANDBETWEEN(1,$E$3)),"")</x:f>
      </x:c>
      <x:c r="Z103" s="68" t="str">
        <x:f>IF(COLUMN()-2&lt;=$E$3,INDEX($B$10:$B$59,RANDBETWEEN(1,$E$3)),"")</x:f>
      </x:c>
      <x:c r="AA103" s="68" t="str">
        <x:f>IF(COLUMN()-2&lt;=$E$3,INDEX($B$10:$B$59,RANDBETWEEN(1,$E$3)),"")</x:f>
      </x:c>
      <x:c r="AB103" s="68" t="str">
        <x:f>IF(COLUMN()-2&lt;=$E$3,INDEX($B$10:$B$59,RANDBETWEEN(1,$E$3)),"")</x:f>
      </x:c>
      <x:c r="AC103" s="68" t="str">
        <x:f>IF(COLUMN()-2&lt;=$E$3,INDEX($B$10:$B$59,RANDBETWEEN(1,$E$3)),"")</x:f>
      </x:c>
      <x:c r="AD103" s="68" t="str">
        <x:f>IF(COLUMN()-2&lt;=$E$3,INDEX($B$10:$B$59,RANDBETWEEN(1,$E$3)),"")</x:f>
      </x:c>
      <x:c r="AE103" s="68" t="str">
        <x:f>IF(COLUMN()-2&lt;=$E$3,INDEX($B$10:$B$59,RANDBETWEEN(1,$E$3)),"")</x:f>
      </x:c>
      <x:c r="AF103" s="68" t="str">
        <x:f>IF(COLUMN()-2&lt;=$E$3,INDEX($B$10:$B$59,RANDBETWEEN(1,$E$3)),"")</x:f>
      </x:c>
      <x:c r="AG103" s="68" t="str">
        <x:f>IF(COLUMN()-2&lt;=$E$3,INDEX($B$10:$B$59,RANDBETWEEN(1,$E$3)),"")</x:f>
      </x:c>
      <x:c r="AH103" s="68" t="str">
        <x:f>IF(COLUMN()-2&lt;=$E$3,INDEX($B$10:$B$59,RANDBETWEEN(1,$E$3)),"")</x:f>
      </x:c>
      <x:c r="AI103" s="68" t="str">
        <x:f>IF(COLUMN()-2&lt;=$E$3,INDEX($B$10:$B$59,RANDBETWEEN(1,$E$3)),"")</x:f>
      </x:c>
      <x:c r="AJ103" s="68" t="str">
        <x:f>IF(COLUMN()-2&lt;=$E$3,INDEX($B$10:$B$59,RANDBETWEEN(1,$E$3)),"")</x:f>
      </x:c>
      <x:c r="AK103" s="68" t="str">
        <x:f>IF(COLUMN()-2&lt;=$E$3,INDEX($B$10:$B$59,RANDBETWEEN(1,$E$3)),"")</x:f>
      </x:c>
      <x:c r="AL103" s="68" t="str">
        <x:f>IF(COLUMN()-2&lt;=$E$3,INDEX($B$10:$B$59,RANDBETWEEN(1,$E$3)),"")</x:f>
      </x:c>
      <x:c r="AM103" s="68" t="str">
        <x:f>IF(COLUMN()-2&lt;=$E$3,INDEX($B$10:$B$59,RANDBETWEEN(1,$E$3)),"")</x:f>
      </x:c>
      <x:c r="AN103" s="68" t="str">
        <x:f>IF(COLUMN()-2&lt;=$E$3,INDEX($B$10:$B$59,RANDBETWEEN(1,$E$3)),"")</x:f>
      </x:c>
      <x:c r="AO103" s="68" t="str">
        <x:f>IF(COLUMN()-2&lt;=$E$3,INDEX($B$10:$B$59,RANDBETWEEN(1,$E$3)),"")</x:f>
      </x:c>
      <x:c r="AP103" s="68" t="str">
        <x:f>IF(COLUMN()-2&lt;=$E$3,INDEX($B$10:$B$59,RANDBETWEEN(1,$E$3)),"")</x:f>
      </x:c>
      <x:c r="AQ103" s="68" t="str">
        <x:f>IF(COLUMN()-2&lt;=$E$3,INDEX($B$10:$B$59,RANDBETWEEN(1,$E$3)),"")</x:f>
      </x:c>
      <x:c r="AR103" s="68" t="str">
        <x:f>IF(COLUMN()-2&lt;=$E$3,INDEX($B$10:$B$59,RANDBETWEEN(1,$E$3)),"")</x:f>
      </x:c>
      <x:c r="AS103" s="68" t="str">
        <x:f>IF(COLUMN()-2&lt;=$E$3,INDEX($B$10:$B$59,RANDBETWEEN(1,$E$3)),"")</x:f>
      </x:c>
      <x:c r="AT103" s="68" t="str">
        <x:f>IF(COLUMN()-2&lt;=$E$3,INDEX($B$10:$B$59,RANDBETWEEN(1,$E$3)),"")</x:f>
      </x:c>
      <x:c r="AU103" s="68" t="str">
        <x:f>IF(COLUMN()-2&lt;=$E$3,INDEX($B$10:$B$59,RANDBETWEEN(1,$E$3)),"")</x:f>
      </x:c>
      <x:c r="AV103" s="68" t="str">
        <x:f>IF(COLUMN()-2&lt;=$E$3,INDEX($B$10:$B$59,RANDBETWEEN(1,$E$3)),"")</x:f>
      </x:c>
      <x:c r="AW103" s="68" t="str">
        <x:f>IF(COLUMN()-2&lt;=$E$3,INDEX($B$10:$B$59,RANDBETWEEN(1,$E$3)),"")</x:f>
      </x:c>
      <x:c r="AX103" s="68" t="str">
        <x:f>IF(COLUMN()-2&lt;=$E$3,INDEX($B$10:$B$59,RANDBETWEEN(1,$E$3)),"")</x:f>
      </x:c>
      <x:c r="AY103" s="68" t="str">
        <x:f>IF(COLUMN()-2&lt;=$E$3,INDEX($B$10:$B$59,RANDBETWEEN(1,$E$3)),"")</x:f>
      </x:c>
      <x:c r="AZ103" s="68" t="str">
        <x:f>IF(COLUMN()-2&lt;=$E$3,INDEX($B$10:$B$59,RANDBETWEEN(1,$E$3)),"")</x:f>
      </x:c>
      <x:c r="BA103" s="68" t="str">
        <x:f>IF($E$3=0,"",AVERAGE(C103:AZ103))</x:f>
      </x:c>
    </x:row>
    <x:row r="104">
      <x:c r="A104" t="n">
        <x:v>40</x:v>
      </x:c>
      <x:c r="C104" s="68" t="str">
        <x:f>IF(COLUMN()-2&lt;=$E$3,INDEX($B$10:$B$59,RANDBETWEEN(1,$E$3)),"")</x:f>
      </x:c>
      <x:c r="D104" s="68" t="str">
        <x:f>IF(COLUMN()-2&lt;=$E$3,INDEX($B$10:$B$59,RANDBETWEEN(1,$E$3)),"")</x:f>
      </x:c>
      <x:c r="E104" s="68" t="str">
        <x:f>IF(COLUMN()-2&lt;=$E$3,INDEX($B$10:$B$59,RANDBETWEEN(1,$E$3)),"")</x:f>
      </x:c>
      <x:c r="F104" s="68" t="str">
        <x:f>IF(COLUMN()-2&lt;=$E$3,INDEX($B$10:$B$59,RANDBETWEEN(1,$E$3)),"")</x:f>
      </x:c>
      <x:c r="G104" s="68" t="str">
        <x:f>IF(COLUMN()-2&lt;=$E$3,INDEX($B$10:$B$59,RANDBETWEEN(1,$E$3)),"")</x:f>
      </x:c>
      <x:c r="H104" s="68" t="str">
        <x:f>IF(COLUMN()-2&lt;=$E$3,INDEX($B$10:$B$59,RANDBETWEEN(1,$E$3)),"")</x:f>
      </x:c>
      <x:c r="I104" s="68" t="str">
        <x:f>IF(COLUMN()-2&lt;=$E$3,INDEX($B$10:$B$59,RANDBETWEEN(1,$E$3)),"")</x:f>
      </x:c>
      <x:c r="J104" s="68" t="str">
        <x:f>IF(COLUMN()-2&lt;=$E$3,INDEX($B$10:$B$59,RANDBETWEEN(1,$E$3)),"")</x:f>
      </x:c>
      <x:c r="K104" s="68" t="str">
        <x:f>IF(COLUMN()-2&lt;=$E$3,INDEX($B$10:$B$59,RANDBETWEEN(1,$E$3)),"")</x:f>
      </x:c>
      <x:c r="L104" s="68" t="str">
        <x:f>IF(COLUMN()-2&lt;=$E$3,INDEX($B$10:$B$59,RANDBETWEEN(1,$E$3)),"")</x:f>
      </x:c>
      <x:c r="M104" s="68" t="str">
        <x:f>IF(COLUMN()-2&lt;=$E$3,INDEX($B$10:$B$59,RANDBETWEEN(1,$E$3)),"")</x:f>
      </x:c>
      <x:c r="N104" s="68" t="str">
        <x:f>IF(COLUMN()-2&lt;=$E$3,INDEX($B$10:$B$59,RANDBETWEEN(1,$E$3)),"")</x:f>
      </x:c>
      <x:c r="O104" s="68" t="str">
        <x:f>IF(COLUMN()-2&lt;=$E$3,INDEX($B$10:$B$59,RANDBETWEEN(1,$E$3)),"")</x:f>
      </x:c>
      <x:c r="P104" s="68" t="str">
        <x:f>IF(COLUMN()-2&lt;=$E$3,INDEX($B$10:$B$59,RANDBETWEEN(1,$E$3)),"")</x:f>
      </x:c>
      <x:c r="Q104" s="68" t="str">
        <x:f>IF(COLUMN()-2&lt;=$E$3,INDEX($B$10:$B$59,RANDBETWEEN(1,$E$3)),"")</x:f>
      </x:c>
      <x:c r="R104" s="68" t="str">
        <x:f>IF(COLUMN()-2&lt;=$E$3,INDEX($B$10:$B$59,RANDBETWEEN(1,$E$3)),"")</x:f>
      </x:c>
      <x:c r="S104" s="68" t="str">
        <x:f>IF(COLUMN()-2&lt;=$E$3,INDEX($B$10:$B$59,RANDBETWEEN(1,$E$3)),"")</x:f>
      </x:c>
      <x:c r="T104" s="68" t="str">
        <x:f>IF(COLUMN()-2&lt;=$E$3,INDEX($B$10:$B$59,RANDBETWEEN(1,$E$3)),"")</x:f>
      </x:c>
      <x:c r="U104" s="68" t="str">
        <x:f>IF(COLUMN()-2&lt;=$E$3,INDEX($B$10:$B$59,RANDBETWEEN(1,$E$3)),"")</x:f>
      </x:c>
      <x:c r="V104" s="68" t="str">
        <x:f>IF(COLUMN()-2&lt;=$E$3,INDEX($B$10:$B$59,RANDBETWEEN(1,$E$3)),"")</x:f>
      </x:c>
      <x:c r="W104" s="68" t="str">
        <x:f>IF(COLUMN()-2&lt;=$E$3,INDEX($B$10:$B$59,RANDBETWEEN(1,$E$3)),"")</x:f>
      </x:c>
      <x:c r="X104" s="68" t="str">
        <x:f>IF(COLUMN()-2&lt;=$E$3,INDEX($B$10:$B$59,RANDBETWEEN(1,$E$3)),"")</x:f>
      </x:c>
      <x:c r="Y104" s="68" t="str">
        <x:f>IF(COLUMN()-2&lt;=$E$3,INDEX($B$10:$B$59,RANDBETWEEN(1,$E$3)),"")</x:f>
      </x:c>
      <x:c r="Z104" s="68" t="str">
        <x:f>IF(COLUMN()-2&lt;=$E$3,INDEX($B$10:$B$59,RANDBETWEEN(1,$E$3)),"")</x:f>
      </x:c>
      <x:c r="AA104" s="68" t="str">
        <x:f>IF(COLUMN()-2&lt;=$E$3,INDEX($B$10:$B$59,RANDBETWEEN(1,$E$3)),"")</x:f>
      </x:c>
      <x:c r="AB104" s="68" t="str">
        <x:f>IF(COLUMN()-2&lt;=$E$3,INDEX($B$10:$B$59,RANDBETWEEN(1,$E$3)),"")</x:f>
      </x:c>
      <x:c r="AC104" s="68" t="str">
        <x:f>IF(COLUMN()-2&lt;=$E$3,INDEX($B$10:$B$59,RANDBETWEEN(1,$E$3)),"")</x:f>
      </x:c>
      <x:c r="AD104" s="68" t="str">
        <x:f>IF(COLUMN()-2&lt;=$E$3,INDEX($B$10:$B$59,RANDBETWEEN(1,$E$3)),"")</x:f>
      </x:c>
      <x:c r="AE104" s="68" t="str">
        <x:f>IF(COLUMN()-2&lt;=$E$3,INDEX($B$10:$B$59,RANDBETWEEN(1,$E$3)),"")</x:f>
      </x:c>
      <x:c r="AF104" s="68" t="str">
        <x:f>IF(COLUMN()-2&lt;=$E$3,INDEX($B$10:$B$59,RANDBETWEEN(1,$E$3)),"")</x:f>
      </x:c>
      <x:c r="AG104" s="68" t="str">
        <x:f>IF(COLUMN()-2&lt;=$E$3,INDEX($B$10:$B$59,RANDBETWEEN(1,$E$3)),"")</x:f>
      </x:c>
      <x:c r="AH104" s="68" t="str">
        <x:f>IF(COLUMN()-2&lt;=$E$3,INDEX($B$10:$B$59,RANDBETWEEN(1,$E$3)),"")</x:f>
      </x:c>
      <x:c r="AI104" s="68" t="str">
        <x:f>IF(COLUMN()-2&lt;=$E$3,INDEX($B$10:$B$59,RANDBETWEEN(1,$E$3)),"")</x:f>
      </x:c>
      <x:c r="AJ104" s="68" t="str">
        <x:f>IF(COLUMN()-2&lt;=$E$3,INDEX($B$10:$B$59,RANDBETWEEN(1,$E$3)),"")</x:f>
      </x:c>
      <x:c r="AK104" s="68" t="str">
        <x:f>IF(COLUMN()-2&lt;=$E$3,INDEX($B$10:$B$59,RANDBETWEEN(1,$E$3)),"")</x:f>
      </x:c>
      <x:c r="AL104" s="68" t="str">
        <x:f>IF(COLUMN()-2&lt;=$E$3,INDEX($B$10:$B$59,RANDBETWEEN(1,$E$3)),"")</x:f>
      </x:c>
      <x:c r="AM104" s="68" t="str">
        <x:f>IF(COLUMN()-2&lt;=$E$3,INDEX($B$10:$B$59,RANDBETWEEN(1,$E$3)),"")</x:f>
      </x:c>
      <x:c r="AN104" s="68" t="str">
        <x:f>IF(COLUMN()-2&lt;=$E$3,INDEX($B$10:$B$59,RANDBETWEEN(1,$E$3)),"")</x:f>
      </x:c>
      <x:c r="AO104" s="68" t="str">
        <x:f>IF(COLUMN()-2&lt;=$E$3,INDEX($B$10:$B$59,RANDBETWEEN(1,$E$3)),"")</x:f>
      </x:c>
      <x:c r="AP104" s="68" t="str">
        <x:f>IF(COLUMN()-2&lt;=$E$3,INDEX($B$10:$B$59,RANDBETWEEN(1,$E$3)),"")</x:f>
      </x:c>
      <x:c r="AQ104" s="68" t="str">
        <x:f>IF(COLUMN()-2&lt;=$E$3,INDEX($B$10:$B$59,RANDBETWEEN(1,$E$3)),"")</x:f>
      </x:c>
      <x:c r="AR104" s="68" t="str">
        <x:f>IF(COLUMN()-2&lt;=$E$3,INDEX($B$10:$B$59,RANDBETWEEN(1,$E$3)),"")</x:f>
      </x:c>
      <x:c r="AS104" s="68" t="str">
        <x:f>IF(COLUMN()-2&lt;=$E$3,INDEX($B$10:$B$59,RANDBETWEEN(1,$E$3)),"")</x:f>
      </x:c>
      <x:c r="AT104" s="68" t="str">
        <x:f>IF(COLUMN()-2&lt;=$E$3,INDEX($B$10:$B$59,RANDBETWEEN(1,$E$3)),"")</x:f>
      </x:c>
      <x:c r="AU104" s="68" t="str">
        <x:f>IF(COLUMN()-2&lt;=$E$3,INDEX($B$10:$B$59,RANDBETWEEN(1,$E$3)),"")</x:f>
      </x:c>
      <x:c r="AV104" s="68" t="str">
        <x:f>IF(COLUMN()-2&lt;=$E$3,INDEX($B$10:$B$59,RANDBETWEEN(1,$E$3)),"")</x:f>
      </x:c>
      <x:c r="AW104" s="68" t="str">
        <x:f>IF(COLUMN()-2&lt;=$E$3,INDEX($B$10:$B$59,RANDBETWEEN(1,$E$3)),"")</x:f>
      </x:c>
      <x:c r="AX104" s="68" t="str">
        <x:f>IF(COLUMN()-2&lt;=$E$3,INDEX($B$10:$B$59,RANDBETWEEN(1,$E$3)),"")</x:f>
      </x:c>
      <x:c r="AY104" s="68" t="str">
        <x:f>IF(COLUMN()-2&lt;=$E$3,INDEX($B$10:$B$59,RANDBETWEEN(1,$E$3)),"")</x:f>
      </x:c>
      <x:c r="AZ104" s="68" t="str">
        <x:f>IF(COLUMN()-2&lt;=$E$3,INDEX($B$10:$B$59,RANDBETWEEN(1,$E$3)),"")</x:f>
      </x:c>
      <x:c r="BA104" s="68" t="str">
        <x:f>IF($E$3=0,"",AVERAGE(C104:AZ104))</x:f>
      </x:c>
    </x:row>
    <x:row r="105">
      <x:c r="A105" t="n">
        <x:v>41</x:v>
      </x:c>
      <x:c r="C105" s="68" t="str">
        <x:f>IF(COLUMN()-2&lt;=$E$3,INDEX($B$10:$B$59,RANDBETWEEN(1,$E$3)),"")</x:f>
      </x:c>
      <x:c r="D105" s="68" t="str">
        <x:f>IF(COLUMN()-2&lt;=$E$3,INDEX($B$10:$B$59,RANDBETWEEN(1,$E$3)),"")</x:f>
      </x:c>
      <x:c r="E105" s="68" t="str">
        <x:f>IF(COLUMN()-2&lt;=$E$3,INDEX($B$10:$B$59,RANDBETWEEN(1,$E$3)),"")</x:f>
      </x:c>
      <x:c r="F105" s="68" t="str">
        <x:f>IF(COLUMN()-2&lt;=$E$3,INDEX($B$10:$B$59,RANDBETWEEN(1,$E$3)),"")</x:f>
      </x:c>
      <x:c r="G105" s="68" t="str">
        <x:f>IF(COLUMN()-2&lt;=$E$3,INDEX($B$10:$B$59,RANDBETWEEN(1,$E$3)),"")</x:f>
      </x:c>
      <x:c r="H105" s="68" t="str">
        <x:f>IF(COLUMN()-2&lt;=$E$3,INDEX($B$10:$B$59,RANDBETWEEN(1,$E$3)),"")</x:f>
      </x:c>
      <x:c r="I105" s="68" t="str">
        <x:f>IF(COLUMN()-2&lt;=$E$3,INDEX($B$10:$B$59,RANDBETWEEN(1,$E$3)),"")</x:f>
      </x:c>
      <x:c r="J105" s="68" t="str">
        <x:f>IF(COLUMN()-2&lt;=$E$3,INDEX($B$10:$B$59,RANDBETWEEN(1,$E$3)),"")</x:f>
      </x:c>
      <x:c r="K105" s="68" t="str">
        <x:f>IF(COLUMN()-2&lt;=$E$3,INDEX($B$10:$B$59,RANDBETWEEN(1,$E$3)),"")</x:f>
      </x:c>
      <x:c r="L105" s="68" t="str">
        <x:f>IF(COLUMN()-2&lt;=$E$3,INDEX($B$10:$B$59,RANDBETWEEN(1,$E$3)),"")</x:f>
      </x:c>
      <x:c r="M105" s="68" t="str">
        <x:f>IF(COLUMN()-2&lt;=$E$3,INDEX($B$10:$B$59,RANDBETWEEN(1,$E$3)),"")</x:f>
      </x:c>
      <x:c r="N105" s="68" t="str">
        <x:f>IF(COLUMN()-2&lt;=$E$3,INDEX($B$10:$B$59,RANDBETWEEN(1,$E$3)),"")</x:f>
      </x:c>
      <x:c r="O105" s="68" t="str">
        <x:f>IF(COLUMN()-2&lt;=$E$3,INDEX($B$10:$B$59,RANDBETWEEN(1,$E$3)),"")</x:f>
      </x:c>
      <x:c r="P105" s="68" t="str">
        <x:f>IF(COLUMN()-2&lt;=$E$3,INDEX($B$10:$B$59,RANDBETWEEN(1,$E$3)),"")</x:f>
      </x:c>
      <x:c r="Q105" s="68" t="str">
        <x:f>IF(COLUMN()-2&lt;=$E$3,INDEX($B$10:$B$59,RANDBETWEEN(1,$E$3)),"")</x:f>
      </x:c>
      <x:c r="R105" s="68" t="str">
        <x:f>IF(COLUMN()-2&lt;=$E$3,INDEX($B$10:$B$59,RANDBETWEEN(1,$E$3)),"")</x:f>
      </x:c>
      <x:c r="S105" s="68" t="str">
        <x:f>IF(COLUMN()-2&lt;=$E$3,INDEX($B$10:$B$59,RANDBETWEEN(1,$E$3)),"")</x:f>
      </x:c>
      <x:c r="T105" s="68" t="str">
        <x:f>IF(COLUMN()-2&lt;=$E$3,INDEX($B$10:$B$59,RANDBETWEEN(1,$E$3)),"")</x:f>
      </x:c>
      <x:c r="U105" s="68" t="str">
        <x:f>IF(COLUMN()-2&lt;=$E$3,INDEX($B$10:$B$59,RANDBETWEEN(1,$E$3)),"")</x:f>
      </x:c>
      <x:c r="V105" s="68" t="str">
        <x:f>IF(COLUMN()-2&lt;=$E$3,INDEX($B$10:$B$59,RANDBETWEEN(1,$E$3)),"")</x:f>
      </x:c>
      <x:c r="W105" s="68" t="str">
        <x:f>IF(COLUMN()-2&lt;=$E$3,INDEX($B$10:$B$59,RANDBETWEEN(1,$E$3)),"")</x:f>
      </x:c>
      <x:c r="X105" s="68" t="str">
        <x:f>IF(COLUMN()-2&lt;=$E$3,INDEX($B$10:$B$59,RANDBETWEEN(1,$E$3)),"")</x:f>
      </x:c>
      <x:c r="Y105" s="68" t="str">
        <x:f>IF(COLUMN()-2&lt;=$E$3,INDEX($B$10:$B$59,RANDBETWEEN(1,$E$3)),"")</x:f>
      </x:c>
      <x:c r="Z105" s="68" t="str">
        <x:f>IF(COLUMN()-2&lt;=$E$3,INDEX($B$10:$B$59,RANDBETWEEN(1,$E$3)),"")</x:f>
      </x:c>
      <x:c r="AA105" s="68" t="str">
        <x:f>IF(COLUMN()-2&lt;=$E$3,INDEX($B$10:$B$59,RANDBETWEEN(1,$E$3)),"")</x:f>
      </x:c>
      <x:c r="AB105" s="68" t="str">
        <x:f>IF(COLUMN()-2&lt;=$E$3,INDEX($B$10:$B$59,RANDBETWEEN(1,$E$3)),"")</x:f>
      </x:c>
      <x:c r="AC105" s="68" t="str">
        <x:f>IF(COLUMN()-2&lt;=$E$3,INDEX($B$10:$B$59,RANDBETWEEN(1,$E$3)),"")</x:f>
      </x:c>
      <x:c r="AD105" s="68" t="str">
        <x:f>IF(COLUMN()-2&lt;=$E$3,INDEX($B$10:$B$59,RANDBETWEEN(1,$E$3)),"")</x:f>
      </x:c>
      <x:c r="AE105" s="68" t="str">
        <x:f>IF(COLUMN()-2&lt;=$E$3,INDEX($B$10:$B$59,RANDBETWEEN(1,$E$3)),"")</x:f>
      </x:c>
      <x:c r="AF105" s="68" t="str">
        <x:f>IF(COLUMN()-2&lt;=$E$3,INDEX($B$10:$B$59,RANDBETWEEN(1,$E$3)),"")</x:f>
      </x:c>
      <x:c r="AG105" s="68" t="str">
        <x:f>IF(COLUMN()-2&lt;=$E$3,INDEX($B$10:$B$59,RANDBETWEEN(1,$E$3)),"")</x:f>
      </x:c>
      <x:c r="AH105" s="68" t="str">
        <x:f>IF(COLUMN()-2&lt;=$E$3,INDEX($B$10:$B$59,RANDBETWEEN(1,$E$3)),"")</x:f>
      </x:c>
      <x:c r="AI105" s="68" t="str">
        <x:f>IF(COLUMN()-2&lt;=$E$3,INDEX($B$10:$B$59,RANDBETWEEN(1,$E$3)),"")</x:f>
      </x:c>
      <x:c r="AJ105" s="68" t="str">
        <x:f>IF(COLUMN()-2&lt;=$E$3,INDEX($B$10:$B$59,RANDBETWEEN(1,$E$3)),"")</x:f>
      </x:c>
      <x:c r="AK105" s="68" t="str">
        <x:f>IF(COLUMN()-2&lt;=$E$3,INDEX($B$10:$B$59,RANDBETWEEN(1,$E$3)),"")</x:f>
      </x:c>
      <x:c r="AL105" s="68" t="str">
        <x:f>IF(COLUMN()-2&lt;=$E$3,INDEX($B$10:$B$59,RANDBETWEEN(1,$E$3)),"")</x:f>
      </x:c>
      <x:c r="AM105" s="68" t="str">
        <x:f>IF(COLUMN()-2&lt;=$E$3,INDEX($B$10:$B$59,RANDBETWEEN(1,$E$3)),"")</x:f>
      </x:c>
      <x:c r="AN105" s="68" t="str">
        <x:f>IF(COLUMN()-2&lt;=$E$3,INDEX($B$10:$B$59,RANDBETWEEN(1,$E$3)),"")</x:f>
      </x:c>
      <x:c r="AO105" s="68" t="str">
        <x:f>IF(COLUMN()-2&lt;=$E$3,INDEX($B$10:$B$59,RANDBETWEEN(1,$E$3)),"")</x:f>
      </x:c>
      <x:c r="AP105" s="68" t="str">
        <x:f>IF(COLUMN()-2&lt;=$E$3,INDEX($B$10:$B$59,RANDBETWEEN(1,$E$3)),"")</x:f>
      </x:c>
      <x:c r="AQ105" s="68" t="str">
        <x:f>IF(COLUMN()-2&lt;=$E$3,INDEX($B$10:$B$59,RANDBETWEEN(1,$E$3)),"")</x:f>
      </x:c>
      <x:c r="AR105" s="68" t="str">
        <x:f>IF(COLUMN()-2&lt;=$E$3,INDEX($B$10:$B$59,RANDBETWEEN(1,$E$3)),"")</x:f>
      </x:c>
      <x:c r="AS105" s="68" t="str">
        <x:f>IF(COLUMN()-2&lt;=$E$3,INDEX($B$10:$B$59,RANDBETWEEN(1,$E$3)),"")</x:f>
      </x:c>
      <x:c r="AT105" s="68" t="str">
        <x:f>IF(COLUMN()-2&lt;=$E$3,INDEX($B$10:$B$59,RANDBETWEEN(1,$E$3)),"")</x:f>
      </x:c>
      <x:c r="AU105" s="68" t="str">
        <x:f>IF(COLUMN()-2&lt;=$E$3,INDEX($B$10:$B$59,RANDBETWEEN(1,$E$3)),"")</x:f>
      </x:c>
      <x:c r="AV105" s="68" t="str">
        <x:f>IF(COLUMN()-2&lt;=$E$3,INDEX($B$10:$B$59,RANDBETWEEN(1,$E$3)),"")</x:f>
      </x:c>
      <x:c r="AW105" s="68" t="str">
        <x:f>IF(COLUMN()-2&lt;=$E$3,INDEX($B$10:$B$59,RANDBETWEEN(1,$E$3)),"")</x:f>
      </x:c>
      <x:c r="AX105" s="68" t="str">
        <x:f>IF(COLUMN()-2&lt;=$E$3,INDEX($B$10:$B$59,RANDBETWEEN(1,$E$3)),"")</x:f>
      </x:c>
      <x:c r="AY105" s="68" t="str">
        <x:f>IF(COLUMN()-2&lt;=$E$3,INDEX($B$10:$B$59,RANDBETWEEN(1,$E$3)),"")</x:f>
      </x:c>
      <x:c r="AZ105" s="68" t="str">
        <x:f>IF(COLUMN()-2&lt;=$E$3,INDEX($B$10:$B$59,RANDBETWEEN(1,$E$3)),"")</x:f>
      </x:c>
      <x:c r="BA105" s="68" t="str">
        <x:f>IF($E$3=0,"",AVERAGE(C105:AZ105))</x:f>
      </x:c>
    </x:row>
    <x:row r="106">
      <x:c r="A106" t="n">
        <x:v>42</x:v>
      </x:c>
      <x:c r="C106" s="68" t="str">
        <x:f>IF(COLUMN()-2&lt;=$E$3,INDEX($B$10:$B$59,RANDBETWEEN(1,$E$3)),"")</x:f>
      </x:c>
      <x:c r="D106" s="68" t="str">
        <x:f>IF(COLUMN()-2&lt;=$E$3,INDEX($B$10:$B$59,RANDBETWEEN(1,$E$3)),"")</x:f>
      </x:c>
      <x:c r="E106" s="68" t="str">
        <x:f>IF(COLUMN()-2&lt;=$E$3,INDEX($B$10:$B$59,RANDBETWEEN(1,$E$3)),"")</x:f>
      </x:c>
      <x:c r="F106" s="68" t="str">
        <x:f>IF(COLUMN()-2&lt;=$E$3,INDEX($B$10:$B$59,RANDBETWEEN(1,$E$3)),"")</x:f>
      </x:c>
      <x:c r="G106" s="68" t="str">
        <x:f>IF(COLUMN()-2&lt;=$E$3,INDEX($B$10:$B$59,RANDBETWEEN(1,$E$3)),"")</x:f>
      </x:c>
      <x:c r="H106" s="68" t="str">
        <x:f>IF(COLUMN()-2&lt;=$E$3,INDEX($B$10:$B$59,RANDBETWEEN(1,$E$3)),"")</x:f>
      </x:c>
      <x:c r="I106" s="68" t="str">
        <x:f>IF(COLUMN()-2&lt;=$E$3,INDEX($B$10:$B$59,RANDBETWEEN(1,$E$3)),"")</x:f>
      </x:c>
      <x:c r="J106" s="68" t="str">
        <x:f>IF(COLUMN()-2&lt;=$E$3,INDEX($B$10:$B$59,RANDBETWEEN(1,$E$3)),"")</x:f>
      </x:c>
      <x:c r="K106" s="68" t="str">
        <x:f>IF(COLUMN()-2&lt;=$E$3,INDEX($B$10:$B$59,RANDBETWEEN(1,$E$3)),"")</x:f>
      </x:c>
      <x:c r="L106" s="68" t="str">
        <x:f>IF(COLUMN()-2&lt;=$E$3,INDEX($B$10:$B$59,RANDBETWEEN(1,$E$3)),"")</x:f>
      </x:c>
      <x:c r="M106" s="68" t="str">
        <x:f>IF(COLUMN()-2&lt;=$E$3,INDEX($B$10:$B$59,RANDBETWEEN(1,$E$3)),"")</x:f>
      </x:c>
      <x:c r="N106" s="68" t="str">
        <x:f>IF(COLUMN()-2&lt;=$E$3,INDEX($B$10:$B$59,RANDBETWEEN(1,$E$3)),"")</x:f>
      </x:c>
      <x:c r="O106" s="68" t="str">
        <x:f>IF(COLUMN()-2&lt;=$E$3,INDEX($B$10:$B$59,RANDBETWEEN(1,$E$3)),"")</x:f>
      </x:c>
      <x:c r="P106" s="68" t="str">
        <x:f>IF(COLUMN()-2&lt;=$E$3,INDEX($B$10:$B$59,RANDBETWEEN(1,$E$3)),"")</x:f>
      </x:c>
      <x:c r="Q106" s="68" t="str">
        <x:f>IF(COLUMN()-2&lt;=$E$3,INDEX($B$10:$B$59,RANDBETWEEN(1,$E$3)),"")</x:f>
      </x:c>
      <x:c r="R106" s="68" t="str">
        <x:f>IF(COLUMN()-2&lt;=$E$3,INDEX($B$10:$B$59,RANDBETWEEN(1,$E$3)),"")</x:f>
      </x:c>
      <x:c r="S106" s="68" t="str">
        <x:f>IF(COLUMN()-2&lt;=$E$3,INDEX($B$10:$B$59,RANDBETWEEN(1,$E$3)),"")</x:f>
      </x:c>
      <x:c r="T106" s="68" t="str">
        <x:f>IF(COLUMN()-2&lt;=$E$3,INDEX($B$10:$B$59,RANDBETWEEN(1,$E$3)),"")</x:f>
      </x:c>
      <x:c r="U106" s="68" t="str">
        <x:f>IF(COLUMN()-2&lt;=$E$3,INDEX($B$10:$B$59,RANDBETWEEN(1,$E$3)),"")</x:f>
      </x:c>
      <x:c r="V106" s="68" t="str">
        <x:f>IF(COLUMN()-2&lt;=$E$3,INDEX($B$10:$B$59,RANDBETWEEN(1,$E$3)),"")</x:f>
      </x:c>
      <x:c r="W106" s="68" t="str">
        <x:f>IF(COLUMN()-2&lt;=$E$3,INDEX($B$10:$B$59,RANDBETWEEN(1,$E$3)),"")</x:f>
      </x:c>
      <x:c r="X106" s="68" t="str">
        <x:f>IF(COLUMN()-2&lt;=$E$3,INDEX($B$10:$B$59,RANDBETWEEN(1,$E$3)),"")</x:f>
      </x:c>
      <x:c r="Y106" s="68" t="str">
        <x:f>IF(COLUMN()-2&lt;=$E$3,INDEX($B$10:$B$59,RANDBETWEEN(1,$E$3)),"")</x:f>
      </x:c>
      <x:c r="Z106" s="68" t="str">
        <x:f>IF(COLUMN()-2&lt;=$E$3,INDEX($B$10:$B$59,RANDBETWEEN(1,$E$3)),"")</x:f>
      </x:c>
      <x:c r="AA106" s="68" t="str">
        <x:f>IF(COLUMN()-2&lt;=$E$3,INDEX($B$10:$B$59,RANDBETWEEN(1,$E$3)),"")</x:f>
      </x:c>
      <x:c r="AB106" s="68" t="str">
        <x:f>IF(COLUMN()-2&lt;=$E$3,INDEX($B$10:$B$59,RANDBETWEEN(1,$E$3)),"")</x:f>
      </x:c>
      <x:c r="AC106" s="68" t="str">
        <x:f>IF(COLUMN()-2&lt;=$E$3,INDEX($B$10:$B$59,RANDBETWEEN(1,$E$3)),"")</x:f>
      </x:c>
      <x:c r="AD106" s="68" t="str">
        <x:f>IF(COLUMN()-2&lt;=$E$3,INDEX($B$10:$B$59,RANDBETWEEN(1,$E$3)),"")</x:f>
      </x:c>
      <x:c r="AE106" s="68" t="str">
        <x:f>IF(COLUMN()-2&lt;=$E$3,INDEX($B$10:$B$59,RANDBETWEEN(1,$E$3)),"")</x:f>
      </x:c>
      <x:c r="AF106" s="68" t="str">
        <x:f>IF(COLUMN()-2&lt;=$E$3,INDEX($B$10:$B$59,RANDBETWEEN(1,$E$3)),"")</x:f>
      </x:c>
      <x:c r="AG106" s="68" t="str">
        <x:f>IF(COLUMN()-2&lt;=$E$3,INDEX($B$10:$B$59,RANDBETWEEN(1,$E$3)),"")</x:f>
      </x:c>
      <x:c r="AH106" s="68" t="str">
        <x:f>IF(COLUMN()-2&lt;=$E$3,INDEX($B$10:$B$59,RANDBETWEEN(1,$E$3)),"")</x:f>
      </x:c>
      <x:c r="AI106" s="68" t="str">
        <x:f>IF(COLUMN()-2&lt;=$E$3,INDEX($B$10:$B$59,RANDBETWEEN(1,$E$3)),"")</x:f>
      </x:c>
      <x:c r="AJ106" s="68" t="str">
        <x:f>IF(COLUMN()-2&lt;=$E$3,INDEX($B$10:$B$59,RANDBETWEEN(1,$E$3)),"")</x:f>
      </x:c>
      <x:c r="AK106" s="68" t="str">
        <x:f>IF(COLUMN()-2&lt;=$E$3,INDEX($B$10:$B$59,RANDBETWEEN(1,$E$3)),"")</x:f>
      </x:c>
      <x:c r="AL106" s="68" t="str">
        <x:f>IF(COLUMN()-2&lt;=$E$3,INDEX($B$10:$B$59,RANDBETWEEN(1,$E$3)),"")</x:f>
      </x:c>
      <x:c r="AM106" s="68" t="str">
        <x:f>IF(COLUMN()-2&lt;=$E$3,INDEX($B$10:$B$59,RANDBETWEEN(1,$E$3)),"")</x:f>
      </x:c>
      <x:c r="AN106" s="68" t="str">
        <x:f>IF(COLUMN()-2&lt;=$E$3,INDEX($B$10:$B$59,RANDBETWEEN(1,$E$3)),"")</x:f>
      </x:c>
      <x:c r="AO106" s="68" t="str">
        <x:f>IF(COLUMN()-2&lt;=$E$3,INDEX($B$10:$B$59,RANDBETWEEN(1,$E$3)),"")</x:f>
      </x:c>
      <x:c r="AP106" s="68" t="str">
        <x:f>IF(COLUMN()-2&lt;=$E$3,INDEX($B$10:$B$59,RANDBETWEEN(1,$E$3)),"")</x:f>
      </x:c>
      <x:c r="AQ106" s="68" t="str">
        <x:f>IF(COLUMN()-2&lt;=$E$3,INDEX($B$10:$B$59,RANDBETWEEN(1,$E$3)),"")</x:f>
      </x:c>
      <x:c r="AR106" s="68" t="str">
        <x:f>IF(COLUMN()-2&lt;=$E$3,INDEX($B$10:$B$59,RANDBETWEEN(1,$E$3)),"")</x:f>
      </x:c>
      <x:c r="AS106" s="68" t="str">
        <x:f>IF(COLUMN()-2&lt;=$E$3,INDEX($B$10:$B$59,RANDBETWEEN(1,$E$3)),"")</x:f>
      </x:c>
      <x:c r="AT106" s="68" t="str">
        <x:f>IF(COLUMN()-2&lt;=$E$3,INDEX($B$10:$B$59,RANDBETWEEN(1,$E$3)),"")</x:f>
      </x:c>
      <x:c r="AU106" s="68" t="str">
        <x:f>IF(COLUMN()-2&lt;=$E$3,INDEX($B$10:$B$59,RANDBETWEEN(1,$E$3)),"")</x:f>
      </x:c>
      <x:c r="AV106" s="68" t="str">
        <x:f>IF(COLUMN()-2&lt;=$E$3,INDEX($B$10:$B$59,RANDBETWEEN(1,$E$3)),"")</x:f>
      </x:c>
      <x:c r="AW106" s="68" t="str">
        <x:f>IF(COLUMN()-2&lt;=$E$3,INDEX($B$10:$B$59,RANDBETWEEN(1,$E$3)),"")</x:f>
      </x:c>
      <x:c r="AX106" s="68" t="str">
        <x:f>IF(COLUMN()-2&lt;=$E$3,INDEX($B$10:$B$59,RANDBETWEEN(1,$E$3)),"")</x:f>
      </x:c>
      <x:c r="AY106" s="68" t="str">
        <x:f>IF(COLUMN()-2&lt;=$E$3,INDEX($B$10:$B$59,RANDBETWEEN(1,$E$3)),"")</x:f>
      </x:c>
      <x:c r="AZ106" s="68" t="str">
        <x:f>IF(COLUMN()-2&lt;=$E$3,INDEX($B$10:$B$59,RANDBETWEEN(1,$E$3)),"")</x:f>
      </x:c>
      <x:c r="BA106" s="68" t="str">
        <x:f>IF($E$3=0,"",AVERAGE(C106:AZ106))</x:f>
      </x:c>
    </x:row>
    <x:row r="107">
      <x:c r="A107" t="n">
        <x:v>43</x:v>
      </x:c>
      <x:c r="C107" s="68" t="str">
        <x:f>IF(COLUMN()-2&lt;=$E$3,INDEX($B$10:$B$59,RANDBETWEEN(1,$E$3)),"")</x:f>
      </x:c>
      <x:c r="D107" s="68" t="str">
        <x:f>IF(COLUMN()-2&lt;=$E$3,INDEX($B$10:$B$59,RANDBETWEEN(1,$E$3)),"")</x:f>
      </x:c>
      <x:c r="E107" s="68" t="str">
        <x:f>IF(COLUMN()-2&lt;=$E$3,INDEX($B$10:$B$59,RANDBETWEEN(1,$E$3)),"")</x:f>
      </x:c>
      <x:c r="F107" s="68" t="str">
        <x:f>IF(COLUMN()-2&lt;=$E$3,INDEX($B$10:$B$59,RANDBETWEEN(1,$E$3)),"")</x:f>
      </x:c>
      <x:c r="G107" s="68" t="str">
        <x:f>IF(COLUMN()-2&lt;=$E$3,INDEX($B$10:$B$59,RANDBETWEEN(1,$E$3)),"")</x:f>
      </x:c>
      <x:c r="H107" s="68" t="str">
        <x:f>IF(COLUMN()-2&lt;=$E$3,INDEX($B$10:$B$59,RANDBETWEEN(1,$E$3)),"")</x:f>
      </x:c>
      <x:c r="I107" s="68" t="str">
        <x:f>IF(COLUMN()-2&lt;=$E$3,INDEX($B$10:$B$59,RANDBETWEEN(1,$E$3)),"")</x:f>
      </x:c>
      <x:c r="J107" s="68" t="str">
        <x:f>IF(COLUMN()-2&lt;=$E$3,INDEX($B$10:$B$59,RANDBETWEEN(1,$E$3)),"")</x:f>
      </x:c>
      <x:c r="K107" s="68" t="str">
        <x:f>IF(COLUMN()-2&lt;=$E$3,INDEX($B$10:$B$59,RANDBETWEEN(1,$E$3)),"")</x:f>
      </x:c>
      <x:c r="L107" s="68" t="str">
        <x:f>IF(COLUMN()-2&lt;=$E$3,INDEX($B$10:$B$59,RANDBETWEEN(1,$E$3)),"")</x:f>
      </x:c>
      <x:c r="M107" s="68" t="str">
        <x:f>IF(COLUMN()-2&lt;=$E$3,INDEX($B$10:$B$59,RANDBETWEEN(1,$E$3)),"")</x:f>
      </x:c>
      <x:c r="N107" s="68" t="str">
        <x:f>IF(COLUMN()-2&lt;=$E$3,INDEX($B$10:$B$59,RANDBETWEEN(1,$E$3)),"")</x:f>
      </x:c>
      <x:c r="O107" s="68" t="str">
        <x:f>IF(COLUMN()-2&lt;=$E$3,INDEX($B$10:$B$59,RANDBETWEEN(1,$E$3)),"")</x:f>
      </x:c>
      <x:c r="P107" s="68" t="str">
        <x:f>IF(COLUMN()-2&lt;=$E$3,INDEX($B$10:$B$59,RANDBETWEEN(1,$E$3)),"")</x:f>
      </x:c>
      <x:c r="Q107" s="68" t="str">
        <x:f>IF(COLUMN()-2&lt;=$E$3,INDEX($B$10:$B$59,RANDBETWEEN(1,$E$3)),"")</x:f>
      </x:c>
      <x:c r="R107" s="68" t="str">
        <x:f>IF(COLUMN()-2&lt;=$E$3,INDEX($B$10:$B$59,RANDBETWEEN(1,$E$3)),"")</x:f>
      </x:c>
      <x:c r="S107" s="68" t="str">
        <x:f>IF(COLUMN()-2&lt;=$E$3,INDEX($B$10:$B$59,RANDBETWEEN(1,$E$3)),"")</x:f>
      </x:c>
      <x:c r="T107" s="68" t="str">
        <x:f>IF(COLUMN()-2&lt;=$E$3,INDEX($B$10:$B$59,RANDBETWEEN(1,$E$3)),"")</x:f>
      </x:c>
      <x:c r="U107" s="68" t="str">
        <x:f>IF(COLUMN()-2&lt;=$E$3,INDEX($B$10:$B$59,RANDBETWEEN(1,$E$3)),"")</x:f>
      </x:c>
      <x:c r="V107" s="68" t="str">
        <x:f>IF(COLUMN()-2&lt;=$E$3,INDEX($B$10:$B$59,RANDBETWEEN(1,$E$3)),"")</x:f>
      </x:c>
      <x:c r="W107" s="68" t="str">
        <x:f>IF(COLUMN()-2&lt;=$E$3,INDEX($B$10:$B$59,RANDBETWEEN(1,$E$3)),"")</x:f>
      </x:c>
      <x:c r="X107" s="68" t="str">
        <x:f>IF(COLUMN()-2&lt;=$E$3,INDEX($B$10:$B$59,RANDBETWEEN(1,$E$3)),"")</x:f>
      </x:c>
      <x:c r="Y107" s="68" t="str">
        <x:f>IF(COLUMN()-2&lt;=$E$3,INDEX($B$10:$B$59,RANDBETWEEN(1,$E$3)),"")</x:f>
      </x:c>
      <x:c r="Z107" s="68" t="str">
        <x:f>IF(COLUMN()-2&lt;=$E$3,INDEX($B$10:$B$59,RANDBETWEEN(1,$E$3)),"")</x:f>
      </x:c>
      <x:c r="AA107" s="68" t="str">
        <x:f>IF(COLUMN()-2&lt;=$E$3,INDEX($B$10:$B$59,RANDBETWEEN(1,$E$3)),"")</x:f>
      </x:c>
      <x:c r="AB107" s="68" t="str">
        <x:f>IF(COLUMN()-2&lt;=$E$3,INDEX($B$10:$B$59,RANDBETWEEN(1,$E$3)),"")</x:f>
      </x:c>
      <x:c r="AC107" s="68" t="str">
        <x:f>IF(COLUMN()-2&lt;=$E$3,INDEX($B$10:$B$59,RANDBETWEEN(1,$E$3)),"")</x:f>
      </x:c>
      <x:c r="AD107" s="68" t="str">
        <x:f>IF(COLUMN()-2&lt;=$E$3,INDEX($B$10:$B$59,RANDBETWEEN(1,$E$3)),"")</x:f>
      </x:c>
      <x:c r="AE107" s="68" t="str">
        <x:f>IF(COLUMN()-2&lt;=$E$3,INDEX($B$10:$B$59,RANDBETWEEN(1,$E$3)),"")</x:f>
      </x:c>
      <x:c r="AF107" s="68" t="str">
        <x:f>IF(COLUMN()-2&lt;=$E$3,INDEX($B$10:$B$59,RANDBETWEEN(1,$E$3)),"")</x:f>
      </x:c>
      <x:c r="AG107" s="68" t="str">
        <x:f>IF(COLUMN()-2&lt;=$E$3,INDEX($B$10:$B$59,RANDBETWEEN(1,$E$3)),"")</x:f>
      </x:c>
      <x:c r="AH107" s="68" t="str">
        <x:f>IF(COLUMN()-2&lt;=$E$3,INDEX($B$10:$B$59,RANDBETWEEN(1,$E$3)),"")</x:f>
      </x:c>
      <x:c r="AI107" s="68" t="str">
        <x:f>IF(COLUMN()-2&lt;=$E$3,INDEX($B$10:$B$59,RANDBETWEEN(1,$E$3)),"")</x:f>
      </x:c>
      <x:c r="AJ107" s="68" t="str">
        <x:f>IF(COLUMN()-2&lt;=$E$3,INDEX($B$10:$B$59,RANDBETWEEN(1,$E$3)),"")</x:f>
      </x:c>
      <x:c r="AK107" s="68" t="str">
        <x:f>IF(COLUMN()-2&lt;=$E$3,INDEX($B$10:$B$59,RANDBETWEEN(1,$E$3)),"")</x:f>
      </x:c>
      <x:c r="AL107" s="68" t="str">
        <x:f>IF(COLUMN()-2&lt;=$E$3,INDEX($B$10:$B$59,RANDBETWEEN(1,$E$3)),"")</x:f>
      </x:c>
      <x:c r="AM107" s="68" t="str">
        <x:f>IF(COLUMN()-2&lt;=$E$3,INDEX($B$10:$B$59,RANDBETWEEN(1,$E$3)),"")</x:f>
      </x:c>
      <x:c r="AN107" s="68" t="str">
        <x:f>IF(COLUMN()-2&lt;=$E$3,INDEX($B$10:$B$59,RANDBETWEEN(1,$E$3)),"")</x:f>
      </x:c>
      <x:c r="AO107" s="68" t="str">
        <x:f>IF(COLUMN()-2&lt;=$E$3,INDEX($B$10:$B$59,RANDBETWEEN(1,$E$3)),"")</x:f>
      </x:c>
      <x:c r="AP107" s="68" t="str">
        <x:f>IF(COLUMN()-2&lt;=$E$3,INDEX($B$10:$B$59,RANDBETWEEN(1,$E$3)),"")</x:f>
      </x:c>
      <x:c r="AQ107" s="68" t="str">
        <x:f>IF(COLUMN()-2&lt;=$E$3,INDEX($B$10:$B$59,RANDBETWEEN(1,$E$3)),"")</x:f>
      </x:c>
      <x:c r="AR107" s="68" t="str">
        <x:f>IF(COLUMN()-2&lt;=$E$3,INDEX($B$10:$B$59,RANDBETWEEN(1,$E$3)),"")</x:f>
      </x:c>
      <x:c r="AS107" s="68" t="str">
        <x:f>IF(COLUMN()-2&lt;=$E$3,INDEX($B$10:$B$59,RANDBETWEEN(1,$E$3)),"")</x:f>
      </x:c>
      <x:c r="AT107" s="68" t="str">
        <x:f>IF(COLUMN()-2&lt;=$E$3,INDEX($B$10:$B$59,RANDBETWEEN(1,$E$3)),"")</x:f>
      </x:c>
      <x:c r="AU107" s="68" t="str">
        <x:f>IF(COLUMN()-2&lt;=$E$3,INDEX($B$10:$B$59,RANDBETWEEN(1,$E$3)),"")</x:f>
      </x:c>
      <x:c r="AV107" s="68" t="str">
        <x:f>IF(COLUMN()-2&lt;=$E$3,INDEX($B$10:$B$59,RANDBETWEEN(1,$E$3)),"")</x:f>
      </x:c>
      <x:c r="AW107" s="68" t="str">
        <x:f>IF(COLUMN()-2&lt;=$E$3,INDEX($B$10:$B$59,RANDBETWEEN(1,$E$3)),"")</x:f>
      </x:c>
      <x:c r="AX107" s="68" t="str">
        <x:f>IF(COLUMN()-2&lt;=$E$3,INDEX($B$10:$B$59,RANDBETWEEN(1,$E$3)),"")</x:f>
      </x:c>
      <x:c r="AY107" s="68" t="str">
        <x:f>IF(COLUMN()-2&lt;=$E$3,INDEX($B$10:$B$59,RANDBETWEEN(1,$E$3)),"")</x:f>
      </x:c>
      <x:c r="AZ107" s="68" t="str">
        <x:f>IF(COLUMN()-2&lt;=$E$3,INDEX($B$10:$B$59,RANDBETWEEN(1,$E$3)),"")</x:f>
      </x:c>
      <x:c r="BA107" s="68" t="str">
        <x:f>IF($E$3=0,"",AVERAGE(C107:AZ107))</x:f>
      </x:c>
    </x:row>
    <x:row r="108">
      <x:c r="A108" t="n">
        <x:v>44</x:v>
      </x:c>
      <x:c r="C108" s="68" t="str">
        <x:f>IF(COLUMN()-2&lt;=$E$3,INDEX($B$10:$B$59,RANDBETWEEN(1,$E$3)),"")</x:f>
      </x:c>
      <x:c r="D108" s="68" t="str">
        <x:f>IF(COLUMN()-2&lt;=$E$3,INDEX($B$10:$B$59,RANDBETWEEN(1,$E$3)),"")</x:f>
      </x:c>
      <x:c r="E108" s="68" t="str">
        <x:f>IF(COLUMN()-2&lt;=$E$3,INDEX($B$10:$B$59,RANDBETWEEN(1,$E$3)),"")</x:f>
      </x:c>
      <x:c r="F108" s="68" t="str">
        <x:f>IF(COLUMN()-2&lt;=$E$3,INDEX($B$10:$B$59,RANDBETWEEN(1,$E$3)),"")</x:f>
      </x:c>
      <x:c r="G108" s="68" t="str">
        <x:f>IF(COLUMN()-2&lt;=$E$3,INDEX($B$10:$B$59,RANDBETWEEN(1,$E$3)),"")</x:f>
      </x:c>
      <x:c r="H108" s="68" t="str">
        <x:f>IF(COLUMN()-2&lt;=$E$3,INDEX($B$10:$B$59,RANDBETWEEN(1,$E$3)),"")</x:f>
      </x:c>
      <x:c r="I108" s="68" t="str">
        <x:f>IF(COLUMN()-2&lt;=$E$3,INDEX($B$10:$B$59,RANDBETWEEN(1,$E$3)),"")</x:f>
      </x:c>
      <x:c r="J108" s="68" t="str">
        <x:f>IF(COLUMN()-2&lt;=$E$3,INDEX($B$10:$B$59,RANDBETWEEN(1,$E$3)),"")</x:f>
      </x:c>
      <x:c r="K108" s="68" t="str">
        <x:f>IF(COLUMN()-2&lt;=$E$3,INDEX($B$10:$B$59,RANDBETWEEN(1,$E$3)),"")</x:f>
      </x:c>
      <x:c r="L108" s="68" t="str">
        <x:f>IF(COLUMN()-2&lt;=$E$3,INDEX($B$10:$B$59,RANDBETWEEN(1,$E$3)),"")</x:f>
      </x:c>
      <x:c r="M108" s="68" t="str">
        <x:f>IF(COLUMN()-2&lt;=$E$3,INDEX($B$10:$B$59,RANDBETWEEN(1,$E$3)),"")</x:f>
      </x:c>
      <x:c r="N108" s="68" t="str">
        <x:f>IF(COLUMN()-2&lt;=$E$3,INDEX($B$10:$B$59,RANDBETWEEN(1,$E$3)),"")</x:f>
      </x:c>
      <x:c r="O108" s="68" t="str">
        <x:f>IF(COLUMN()-2&lt;=$E$3,INDEX($B$10:$B$59,RANDBETWEEN(1,$E$3)),"")</x:f>
      </x:c>
      <x:c r="P108" s="68" t="str">
        <x:f>IF(COLUMN()-2&lt;=$E$3,INDEX($B$10:$B$59,RANDBETWEEN(1,$E$3)),"")</x:f>
      </x:c>
      <x:c r="Q108" s="68" t="str">
        <x:f>IF(COLUMN()-2&lt;=$E$3,INDEX($B$10:$B$59,RANDBETWEEN(1,$E$3)),"")</x:f>
      </x:c>
      <x:c r="R108" s="68" t="str">
        <x:f>IF(COLUMN()-2&lt;=$E$3,INDEX($B$10:$B$59,RANDBETWEEN(1,$E$3)),"")</x:f>
      </x:c>
      <x:c r="S108" s="68" t="str">
        <x:f>IF(COLUMN()-2&lt;=$E$3,INDEX($B$10:$B$59,RANDBETWEEN(1,$E$3)),"")</x:f>
      </x:c>
      <x:c r="T108" s="68" t="str">
        <x:f>IF(COLUMN()-2&lt;=$E$3,INDEX($B$10:$B$59,RANDBETWEEN(1,$E$3)),"")</x:f>
      </x:c>
      <x:c r="U108" s="68" t="str">
        <x:f>IF(COLUMN()-2&lt;=$E$3,INDEX($B$10:$B$59,RANDBETWEEN(1,$E$3)),"")</x:f>
      </x:c>
      <x:c r="V108" s="68" t="str">
        <x:f>IF(COLUMN()-2&lt;=$E$3,INDEX($B$10:$B$59,RANDBETWEEN(1,$E$3)),"")</x:f>
      </x:c>
      <x:c r="W108" s="68" t="str">
        <x:f>IF(COLUMN()-2&lt;=$E$3,INDEX($B$10:$B$59,RANDBETWEEN(1,$E$3)),"")</x:f>
      </x:c>
      <x:c r="X108" s="68" t="str">
        <x:f>IF(COLUMN()-2&lt;=$E$3,INDEX($B$10:$B$59,RANDBETWEEN(1,$E$3)),"")</x:f>
      </x:c>
      <x:c r="Y108" s="68" t="str">
        <x:f>IF(COLUMN()-2&lt;=$E$3,INDEX($B$10:$B$59,RANDBETWEEN(1,$E$3)),"")</x:f>
      </x:c>
      <x:c r="Z108" s="68" t="str">
        <x:f>IF(COLUMN()-2&lt;=$E$3,INDEX($B$10:$B$59,RANDBETWEEN(1,$E$3)),"")</x:f>
      </x:c>
      <x:c r="AA108" s="68" t="str">
        <x:f>IF(COLUMN()-2&lt;=$E$3,INDEX($B$10:$B$59,RANDBETWEEN(1,$E$3)),"")</x:f>
      </x:c>
      <x:c r="AB108" s="68" t="str">
        <x:f>IF(COLUMN()-2&lt;=$E$3,INDEX($B$10:$B$59,RANDBETWEEN(1,$E$3)),"")</x:f>
      </x:c>
      <x:c r="AC108" s="68" t="str">
        <x:f>IF(COLUMN()-2&lt;=$E$3,INDEX($B$10:$B$59,RANDBETWEEN(1,$E$3)),"")</x:f>
      </x:c>
      <x:c r="AD108" s="68" t="str">
        <x:f>IF(COLUMN()-2&lt;=$E$3,INDEX($B$10:$B$59,RANDBETWEEN(1,$E$3)),"")</x:f>
      </x:c>
      <x:c r="AE108" s="68" t="str">
        <x:f>IF(COLUMN()-2&lt;=$E$3,INDEX($B$10:$B$59,RANDBETWEEN(1,$E$3)),"")</x:f>
      </x:c>
      <x:c r="AF108" s="68" t="str">
        <x:f>IF(COLUMN()-2&lt;=$E$3,INDEX($B$10:$B$59,RANDBETWEEN(1,$E$3)),"")</x:f>
      </x:c>
      <x:c r="AG108" s="68" t="str">
        <x:f>IF(COLUMN()-2&lt;=$E$3,INDEX($B$10:$B$59,RANDBETWEEN(1,$E$3)),"")</x:f>
      </x:c>
      <x:c r="AH108" s="68" t="str">
        <x:f>IF(COLUMN()-2&lt;=$E$3,INDEX($B$10:$B$59,RANDBETWEEN(1,$E$3)),"")</x:f>
      </x:c>
      <x:c r="AI108" s="68" t="str">
        <x:f>IF(COLUMN()-2&lt;=$E$3,INDEX($B$10:$B$59,RANDBETWEEN(1,$E$3)),"")</x:f>
      </x:c>
      <x:c r="AJ108" s="68" t="str">
        <x:f>IF(COLUMN()-2&lt;=$E$3,INDEX($B$10:$B$59,RANDBETWEEN(1,$E$3)),"")</x:f>
      </x:c>
      <x:c r="AK108" s="68" t="str">
        <x:f>IF(COLUMN()-2&lt;=$E$3,INDEX($B$10:$B$59,RANDBETWEEN(1,$E$3)),"")</x:f>
      </x:c>
      <x:c r="AL108" s="68" t="str">
        <x:f>IF(COLUMN()-2&lt;=$E$3,INDEX($B$10:$B$59,RANDBETWEEN(1,$E$3)),"")</x:f>
      </x:c>
      <x:c r="AM108" s="68" t="str">
        <x:f>IF(COLUMN()-2&lt;=$E$3,INDEX($B$10:$B$59,RANDBETWEEN(1,$E$3)),"")</x:f>
      </x:c>
      <x:c r="AN108" s="68" t="str">
        <x:f>IF(COLUMN()-2&lt;=$E$3,INDEX($B$10:$B$59,RANDBETWEEN(1,$E$3)),"")</x:f>
      </x:c>
      <x:c r="AO108" s="68" t="str">
        <x:f>IF(COLUMN()-2&lt;=$E$3,INDEX($B$10:$B$59,RANDBETWEEN(1,$E$3)),"")</x:f>
      </x:c>
      <x:c r="AP108" s="68" t="str">
        <x:f>IF(COLUMN()-2&lt;=$E$3,INDEX($B$10:$B$59,RANDBETWEEN(1,$E$3)),"")</x:f>
      </x:c>
      <x:c r="AQ108" s="68" t="str">
        <x:f>IF(COLUMN()-2&lt;=$E$3,INDEX($B$10:$B$59,RANDBETWEEN(1,$E$3)),"")</x:f>
      </x:c>
      <x:c r="AR108" s="68" t="str">
        <x:f>IF(COLUMN()-2&lt;=$E$3,INDEX($B$10:$B$59,RANDBETWEEN(1,$E$3)),"")</x:f>
      </x:c>
      <x:c r="AS108" s="68" t="str">
        <x:f>IF(COLUMN()-2&lt;=$E$3,INDEX($B$10:$B$59,RANDBETWEEN(1,$E$3)),"")</x:f>
      </x:c>
      <x:c r="AT108" s="68" t="str">
        <x:f>IF(COLUMN()-2&lt;=$E$3,INDEX($B$10:$B$59,RANDBETWEEN(1,$E$3)),"")</x:f>
      </x:c>
      <x:c r="AU108" s="68" t="str">
        <x:f>IF(COLUMN()-2&lt;=$E$3,INDEX($B$10:$B$59,RANDBETWEEN(1,$E$3)),"")</x:f>
      </x:c>
      <x:c r="AV108" s="68" t="str">
        <x:f>IF(COLUMN()-2&lt;=$E$3,INDEX($B$10:$B$59,RANDBETWEEN(1,$E$3)),"")</x:f>
      </x:c>
      <x:c r="AW108" s="68" t="str">
        <x:f>IF(COLUMN()-2&lt;=$E$3,INDEX($B$10:$B$59,RANDBETWEEN(1,$E$3)),"")</x:f>
      </x:c>
      <x:c r="AX108" s="68" t="str">
        <x:f>IF(COLUMN()-2&lt;=$E$3,INDEX($B$10:$B$59,RANDBETWEEN(1,$E$3)),"")</x:f>
      </x:c>
      <x:c r="AY108" s="68" t="str">
        <x:f>IF(COLUMN()-2&lt;=$E$3,INDEX($B$10:$B$59,RANDBETWEEN(1,$E$3)),"")</x:f>
      </x:c>
      <x:c r="AZ108" s="68" t="str">
        <x:f>IF(COLUMN()-2&lt;=$E$3,INDEX($B$10:$B$59,RANDBETWEEN(1,$E$3)),"")</x:f>
      </x:c>
      <x:c r="BA108" s="68" t="str">
        <x:f>IF($E$3=0,"",AVERAGE(C108:AZ108))</x:f>
      </x:c>
    </x:row>
    <x:row r="109">
      <x:c r="A109" t="n">
        <x:v>45</x:v>
      </x:c>
      <x:c r="C109" s="68" t="str">
        <x:f>IF(COLUMN()-2&lt;=$E$3,INDEX($B$10:$B$59,RANDBETWEEN(1,$E$3)),"")</x:f>
      </x:c>
      <x:c r="D109" s="68" t="str">
        <x:f>IF(COLUMN()-2&lt;=$E$3,INDEX($B$10:$B$59,RANDBETWEEN(1,$E$3)),"")</x:f>
      </x:c>
      <x:c r="E109" s="68" t="str">
        <x:f>IF(COLUMN()-2&lt;=$E$3,INDEX($B$10:$B$59,RANDBETWEEN(1,$E$3)),"")</x:f>
      </x:c>
      <x:c r="F109" s="68" t="str">
        <x:f>IF(COLUMN()-2&lt;=$E$3,INDEX($B$10:$B$59,RANDBETWEEN(1,$E$3)),"")</x:f>
      </x:c>
      <x:c r="G109" s="68" t="str">
        <x:f>IF(COLUMN()-2&lt;=$E$3,INDEX($B$10:$B$59,RANDBETWEEN(1,$E$3)),"")</x:f>
      </x:c>
      <x:c r="H109" s="68" t="str">
        <x:f>IF(COLUMN()-2&lt;=$E$3,INDEX($B$10:$B$59,RANDBETWEEN(1,$E$3)),"")</x:f>
      </x:c>
      <x:c r="I109" s="68" t="str">
        <x:f>IF(COLUMN()-2&lt;=$E$3,INDEX($B$10:$B$59,RANDBETWEEN(1,$E$3)),"")</x:f>
      </x:c>
      <x:c r="J109" s="68" t="str">
        <x:f>IF(COLUMN()-2&lt;=$E$3,INDEX($B$10:$B$59,RANDBETWEEN(1,$E$3)),"")</x:f>
      </x:c>
      <x:c r="K109" s="68" t="str">
        <x:f>IF(COLUMN()-2&lt;=$E$3,INDEX($B$10:$B$59,RANDBETWEEN(1,$E$3)),"")</x:f>
      </x:c>
      <x:c r="L109" s="68" t="str">
        <x:f>IF(COLUMN()-2&lt;=$E$3,INDEX($B$10:$B$59,RANDBETWEEN(1,$E$3)),"")</x:f>
      </x:c>
      <x:c r="M109" s="68" t="str">
        <x:f>IF(COLUMN()-2&lt;=$E$3,INDEX($B$10:$B$59,RANDBETWEEN(1,$E$3)),"")</x:f>
      </x:c>
      <x:c r="N109" s="68" t="str">
        <x:f>IF(COLUMN()-2&lt;=$E$3,INDEX($B$10:$B$59,RANDBETWEEN(1,$E$3)),"")</x:f>
      </x:c>
      <x:c r="O109" s="68" t="str">
        <x:f>IF(COLUMN()-2&lt;=$E$3,INDEX($B$10:$B$59,RANDBETWEEN(1,$E$3)),"")</x:f>
      </x:c>
      <x:c r="P109" s="68" t="str">
        <x:f>IF(COLUMN()-2&lt;=$E$3,INDEX($B$10:$B$59,RANDBETWEEN(1,$E$3)),"")</x:f>
      </x:c>
      <x:c r="Q109" s="68" t="str">
        <x:f>IF(COLUMN()-2&lt;=$E$3,INDEX($B$10:$B$59,RANDBETWEEN(1,$E$3)),"")</x:f>
      </x:c>
      <x:c r="R109" s="68" t="str">
        <x:f>IF(COLUMN()-2&lt;=$E$3,INDEX($B$10:$B$59,RANDBETWEEN(1,$E$3)),"")</x:f>
      </x:c>
      <x:c r="S109" s="68" t="str">
        <x:f>IF(COLUMN()-2&lt;=$E$3,INDEX($B$10:$B$59,RANDBETWEEN(1,$E$3)),"")</x:f>
      </x:c>
      <x:c r="T109" s="68" t="str">
        <x:f>IF(COLUMN()-2&lt;=$E$3,INDEX($B$10:$B$59,RANDBETWEEN(1,$E$3)),"")</x:f>
      </x:c>
      <x:c r="U109" s="68" t="str">
        <x:f>IF(COLUMN()-2&lt;=$E$3,INDEX($B$10:$B$59,RANDBETWEEN(1,$E$3)),"")</x:f>
      </x:c>
      <x:c r="V109" s="68" t="str">
        <x:f>IF(COLUMN()-2&lt;=$E$3,INDEX($B$10:$B$59,RANDBETWEEN(1,$E$3)),"")</x:f>
      </x:c>
      <x:c r="W109" s="68" t="str">
        <x:f>IF(COLUMN()-2&lt;=$E$3,INDEX($B$10:$B$59,RANDBETWEEN(1,$E$3)),"")</x:f>
      </x:c>
      <x:c r="X109" s="68" t="str">
        <x:f>IF(COLUMN()-2&lt;=$E$3,INDEX($B$10:$B$59,RANDBETWEEN(1,$E$3)),"")</x:f>
      </x:c>
      <x:c r="Y109" s="68" t="str">
        <x:f>IF(COLUMN()-2&lt;=$E$3,INDEX($B$10:$B$59,RANDBETWEEN(1,$E$3)),"")</x:f>
      </x:c>
      <x:c r="Z109" s="68" t="str">
        <x:f>IF(COLUMN()-2&lt;=$E$3,INDEX($B$10:$B$59,RANDBETWEEN(1,$E$3)),"")</x:f>
      </x:c>
      <x:c r="AA109" s="68" t="str">
        <x:f>IF(COLUMN()-2&lt;=$E$3,INDEX($B$10:$B$59,RANDBETWEEN(1,$E$3)),"")</x:f>
      </x:c>
      <x:c r="AB109" s="68" t="str">
        <x:f>IF(COLUMN()-2&lt;=$E$3,INDEX($B$10:$B$59,RANDBETWEEN(1,$E$3)),"")</x:f>
      </x:c>
      <x:c r="AC109" s="68" t="str">
        <x:f>IF(COLUMN()-2&lt;=$E$3,INDEX($B$10:$B$59,RANDBETWEEN(1,$E$3)),"")</x:f>
      </x:c>
      <x:c r="AD109" s="68" t="str">
        <x:f>IF(COLUMN()-2&lt;=$E$3,INDEX($B$10:$B$59,RANDBETWEEN(1,$E$3)),"")</x:f>
      </x:c>
      <x:c r="AE109" s="68" t="str">
        <x:f>IF(COLUMN()-2&lt;=$E$3,INDEX($B$10:$B$59,RANDBETWEEN(1,$E$3)),"")</x:f>
      </x:c>
      <x:c r="AF109" s="68" t="str">
        <x:f>IF(COLUMN()-2&lt;=$E$3,INDEX($B$10:$B$59,RANDBETWEEN(1,$E$3)),"")</x:f>
      </x:c>
      <x:c r="AG109" s="68" t="str">
        <x:f>IF(COLUMN()-2&lt;=$E$3,INDEX($B$10:$B$59,RANDBETWEEN(1,$E$3)),"")</x:f>
      </x:c>
      <x:c r="AH109" s="68" t="str">
        <x:f>IF(COLUMN()-2&lt;=$E$3,INDEX($B$10:$B$59,RANDBETWEEN(1,$E$3)),"")</x:f>
      </x:c>
      <x:c r="AI109" s="68" t="str">
        <x:f>IF(COLUMN()-2&lt;=$E$3,INDEX($B$10:$B$59,RANDBETWEEN(1,$E$3)),"")</x:f>
      </x:c>
      <x:c r="AJ109" s="68" t="str">
        <x:f>IF(COLUMN()-2&lt;=$E$3,INDEX($B$10:$B$59,RANDBETWEEN(1,$E$3)),"")</x:f>
      </x:c>
      <x:c r="AK109" s="68" t="str">
        <x:f>IF(COLUMN()-2&lt;=$E$3,INDEX($B$10:$B$59,RANDBETWEEN(1,$E$3)),"")</x:f>
      </x:c>
      <x:c r="AL109" s="68" t="str">
        <x:f>IF(COLUMN()-2&lt;=$E$3,INDEX($B$10:$B$59,RANDBETWEEN(1,$E$3)),"")</x:f>
      </x:c>
      <x:c r="AM109" s="68" t="str">
        <x:f>IF(COLUMN()-2&lt;=$E$3,INDEX($B$10:$B$59,RANDBETWEEN(1,$E$3)),"")</x:f>
      </x:c>
      <x:c r="AN109" s="68" t="str">
        <x:f>IF(COLUMN()-2&lt;=$E$3,INDEX($B$10:$B$59,RANDBETWEEN(1,$E$3)),"")</x:f>
      </x:c>
      <x:c r="AO109" s="68" t="str">
        <x:f>IF(COLUMN()-2&lt;=$E$3,INDEX($B$10:$B$59,RANDBETWEEN(1,$E$3)),"")</x:f>
      </x:c>
      <x:c r="AP109" s="68" t="str">
        <x:f>IF(COLUMN()-2&lt;=$E$3,INDEX($B$10:$B$59,RANDBETWEEN(1,$E$3)),"")</x:f>
      </x:c>
      <x:c r="AQ109" s="68" t="str">
        <x:f>IF(COLUMN()-2&lt;=$E$3,INDEX($B$10:$B$59,RANDBETWEEN(1,$E$3)),"")</x:f>
      </x:c>
      <x:c r="AR109" s="68" t="str">
        <x:f>IF(COLUMN()-2&lt;=$E$3,INDEX($B$10:$B$59,RANDBETWEEN(1,$E$3)),"")</x:f>
      </x:c>
      <x:c r="AS109" s="68" t="str">
        <x:f>IF(COLUMN()-2&lt;=$E$3,INDEX($B$10:$B$59,RANDBETWEEN(1,$E$3)),"")</x:f>
      </x:c>
      <x:c r="AT109" s="68" t="str">
        <x:f>IF(COLUMN()-2&lt;=$E$3,INDEX($B$10:$B$59,RANDBETWEEN(1,$E$3)),"")</x:f>
      </x:c>
      <x:c r="AU109" s="68" t="str">
        <x:f>IF(COLUMN()-2&lt;=$E$3,INDEX($B$10:$B$59,RANDBETWEEN(1,$E$3)),"")</x:f>
      </x:c>
      <x:c r="AV109" s="68" t="str">
        <x:f>IF(COLUMN()-2&lt;=$E$3,INDEX($B$10:$B$59,RANDBETWEEN(1,$E$3)),"")</x:f>
      </x:c>
      <x:c r="AW109" s="68" t="str">
        <x:f>IF(COLUMN()-2&lt;=$E$3,INDEX($B$10:$B$59,RANDBETWEEN(1,$E$3)),"")</x:f>
      </x:c>
      <x:c r="AX109" s="68" t="str">
        <x:f>IF(COLUMN()-2&lt;=$E$3,INDEX($B$10:$B$59,RANDBETWEEN(1,$E$3)),"")</x:f>
      </x:c>
      <x:c r="AY109" s="68" t="str">
        <x:f>IF(COLUMN()-2&lt;=$E$3,INDEX($B$10:$B$59,RANDBETWEEN(1,$E$3)),"")</x:f>
      </x:c>
      <x:c r="AZ109" s="68" t="str">
        <x:f>IF(COLUMN()-2&lt;=$E$3,INDEX($B$10:$B$59,RANDBETWEEN(1,$E$3)),"")</x:f>
      </x:c>
      <x:c r="BA109" s="68" t="str">
        <x:f>IF($E$3=0,"",AVERAGE(C109:AZ109))</x:f>
      </x:c>
    </x:row>
    <x:row r="110">
      <x:c r="A110" t="n">
        <x:v>46</x:v>
      </x:c>
      <x:c r="C110" s="68" t="str">
        <x:f>IF(COLUMN()-2&lt;=$E$3,INDEX($B$10:$B$59,RANDBETWEEN(1,$E$3)),"")</x:f>
      </x:c>
      <x:c r="D110" s="68" t="str">
        <x:f>IF(COLUMN()-2&lt;=$E$3,INDEX($B$10:$B$59,RANDBETWEEN(1,$E$3)),"")</x:f>
      </x:c>
      <x:c r="E110" s="68" t="str">
        <x:f>IF(COLUMN()-2&lt;=$E$3,INDEX($B$10:$B$59,RANDBETWEEN(1,$E$3)),"")</x:f>
      </x:c>
      <x:c r="F110" s="68" t="str">
        <x:f>IF(COLUMN()-2&lt;=$E$3,INDEX($B$10:$B$59,RANDBETWEEN(1,$E$3)),"")</x:f>
      </x:c>
      <x:c r="G110" s="68" t="str">
        <x:f>IF(COLUMN()-2&lt;=$E$3,INDEX($B$10:$B$59,RANDBETWEEN(1,$E$3)),"")</x:f>
      </x:c>
      <x:c r="H110" s="68" t="str">
        <x:f>IF(COLUMN()-2&lt;=$E$3,INDEX($B$10:$B$59,RANDBETWEEN(1,$E$3)),"")</x:f>
      </x:c>
      <x:c r="I110" s="68" t="str">
        <x:f>IF(COLUMN()-2&lt;=$E$3,INDEX($B$10:$B$59,RANDBETWEEN(1,$E$3)),"")</x:f>
      </x:c>
      <x:c r="J110" s="68" t="str">
        <x:f>IF(COLUMN()-2&lt;=$E$3,INDEX($B$10:$B$59,RANDBETWEEN(1,$E$3)),"")</x:f>
      </x:c>
      <x:c r="K110" s="68" t="str">
        <x:f>IF(COLUMN()-2&lt;=$E$3,INDEX($B$10:$B$59,RANDBETWEEN(1,$E$3)),"")</x:f>
      </x:c>
      <x:c r="L110" s="68" t="str">
        <x:f>IF(COLUMN()-2&lt;=$E$3,INDEX($B$10:$B$59,RANDBETWEEN(1,$E$3)),"")</x:f>
      </x:c>
      <x:c r="M110" s="68" t="str">
        <x:f>IF(COLUMN()-2&lt;=$E$3,INDEX($B$10:$B$59,RANDBETWEEN(1,$E$3)),"")</x:f>
      </x:c>
      <x:c r="N110" s="68" t="str">
        <x:f>IF(COLUMN()-2&lt;=$E$3,INDEX($B$10:$B$59,RANDBETWEEN(1,$E$3)),"")</x:f>
      </x:c>
      <x:c r="O110" s="68" t="str">
        <x:f>IF(COLUMN()-2&lt;=$E$3,INDEX($B$10:$B$59,RANDBETWEEN(1,$E$3)),"")</x:f>
      </x:c>
      <x:c r="P110" s="68" t="str">
        <x:f>IF(COLUMN()-2&lt;=$E$3,INDEX($B$10:$B$59,RANDBETWEEN(1,$E$3)),"")</x:f>
      </x:c>
      <x:c r="Q110" s="68" t="str">
        <x:f>IF(COLUMN()-2&lt;=$E$3,INDEX($B$10:$B$59,RANDBETWEEN(1,$E$3)),"")</x:f>
      </x:c>
      <x:c r="R110" s="68" t="str">
        <x:f>IF(COLUMN()-2&lt;=$E$3,INDEX($B$10:$B$59,RANDBETWEEN(1,$E$3)),"")</x:f>
      </x:c>
      <x:c r="S110" s="68" t="str">
        <x:f>IF(COLUMN()-2&lt;=$E$3,INDEX($B$10:$B$59,RANDBETWEEN(1,$E$3)),"")</x:f>
      </x:c>
      <x:c r="T110" s="68" t="str">
        <x:f>IF(COLUMN()-2&lt;=$E$3,INDEX($B$10:$B$59,RANDBETWEEN(1,$E$3)),"")</x:f>
      </x:c>
      <x:c r="U110" s="68" t="str">
        <x:f>IF(COLUMN()-2&lt;=$E$3,INDEX($B$10:$B$59,RANDBETWEEN(1,$E$3)),"")</x:f>
      </x:c>
      <x:c r="V110" s="68" t="str">
        <x:f>IF(COLUMN()-2&lt;=$E$3,INDEX($B$10:$B$59,RANDBETWEEN(1,$E$3)),"")</x:f>
      </x:c>
      <x:c r="W110" s="68" t="str">
        <x:f>IF(COLUMN()-2&lt;=$E$3,INDEX($B$10:$B$59,RANDBETWEEN(1,$E$3)),"")</x:f>
      </x:c>
      <x:c r="X110" s="68" t="str">
        <x:f>IF(COLUMN()-2&lt;=$E$3,INDEX($B$10:$B$59,RANDBETWEEN(1,$E$3)),"")</x:f>
      </x:c>
      <x:c r="Y110" s="68" t="str">
        <x:f>IF(COLUMN()-2&lt;=$E$3,INDEX($B$10:$B$59,RANDBETWEEN(1,$E$3)),"")</x:f>
      </x:c>
      <x:c r="Z110" s="68" t="str">
        <x:f>IF(COLUMN()-2&lt;=$E$3,INDEX($B$10:$B$59,RANDBETWEEN(1,$E$3)),"")</x:f>
      </x:c>
      <x:c r="AA110" s="68" t="str">
        <x:f>IF(COLUMN()-2&lt;=$E$3,INDEX($B$10:$B$59,RANDBETWEEN(1,$E$3)),"")</x:f>
      </x:c>
      <x:c r="AB110" s="68" t="str">
        <x:f>IF(COLUMN()-2&lt;=$E$3,INDEX($B$10:$B$59,RANDBETWEEN(1,$E$3)),"")</x:f>
      </x:c>
      <x:c r="AC110" s="68" t="str">
        <x:f>IF(COLUMN()-2&lt;=$E$3,INDEX($B$10:$B$59,RANDBETWEEN(1,$E$3)),"")</x:f>
      </x:c>
      <x:c r="AD110" s="68" t="str">
        <x:f>IF(COLUMN()-2&lt;=$E$3,INDEX($B$10:$B$59,RANDBETWEEN(1,$E$3)),"")</x:f>
      </x:c>
      <x:c r="AE110" s="68" t="str">
        <x:f>IF(COLUMN()-2&lt;=$E$3,INDEX($B$10:$B$59,RANDBETWEEN(1,$E$3)),"")</x:f>
      </x:c>
      <x:c r="AF110" s="68" t="str">
        <x:f>IF(COLUMN()-2&lt;=$E$3,INDEX($B$10:$B$59,RANDBETWEEN(1,$E$3)),"")</x:f>
      </x:c>
      <x:c r="AG110" s="68" t="str">
        <x:f>IF(COLUMN()-2&lt;=$E$3,INDEX($B$10:$B$59,RANDBETWEEN(1,$E$3)),"")</x:f>
      </x:c>
      <x:c r="AH110" s="68" t="str">
        <x:f>IF(COLUMN()-2&lt;=$E$3,INDEX($B$10:$B$59,RANDBETWEEN(1,$E$3)),"")</x:f>
      </x:c>
      <x:c r="AI110" s="68" t="str">
        <x:f>IF(COLUMN()-2&lt;=$E$3,INDEX($B$10:$B$59,RANDBETWEEN(1,$E$3)),"")</x:f>
      </x:c>
      <x:c r="AJ110" s="68" t="str">
        <x:f>IF(COLUMN()-2&lt;=$E$3,INDEX($B$10:$B$59,RANDBETWEEN(1,$E$3)),"")</x:f>
      </x:c>
      <x:c r="AK110" s="68" t="str">
        <x:f>IF(COLUMN()-2&lt;=$E$3,INDEX($B$10:$B$59,RANDBETWEEN(1,$E$3)),"")</x:f>
      </x:c>
      <x:c r="AL110" s="68" t="str">
        <x:f>IF(COLUMN()-2&lt;=$E$3,INDEX($B$10:$B$59,RANDBETWEEN(1,$E$3)),"")</x:f>
      </x:c>
      <x:c r="AM110" s="68" t="str">
        <x:f>IF(COLUMN()-2&lt;=$E$3,INDEX($B$10:$B$59,RANDBETWEEN(1,$E$3)),"")</x:f>
      </x:c>
      <x:c r="AN110" s="68" t="str">
        <x:f>IF(COLUMN()-2&lt;=$E$3,INDEX($B$10:$B$59,RANDBETWEEN(1,$E$3)),"")</x:f>
      </x:c>
      <x:c r="AO110" s="68" t="str">
        <x:f>IF(COLUMN()-2&lt;=$E$3,INDEX($B$10:$B$59,RANDBETWEEN(1,$E$3)),"")</x:f>
      </x:c>
      <x:c r="AP110" s="68" t="str">
        <x:f>IF(COLUMN()-2&lt;=$E$3,INDEX($B$10:$B$59,RANDBETWEEN(1,$E$3)),"")</x:f>
      </x:c>
      <x:c r="AQ110" s="68" t="str">
        <x:f>IF(COLUMN()-2&lt;=$E$3,INDEX($B$10:$B$59,RANDBETWEEN(1,$E$3)),"")</x:f>
      </x:c>
      <x:c r="AR110" s="68" t="str">
        <x:f>IF(COLUMN()-2&lt;=$E$3,INDEX($B$10:$B$59,RANDBETWEEN(1,$E$3)),"")</x:f>
      </x:c>
      <x:c r="AS110" s="68" t="str">
        <x:f>IF(COLUMN()-2&lt;=$E$3,INDEX($B$10:$B$59,RANDBETWEEN(1,$E$3)),"")</x:f>
      </x:c>
      <x:c r="AT110" s="68" t="str">
        <x:f>IF(COLUMN()-2&lt;=$E$3,INDEX($B$10:$B$59,RANDBETWEEN(1,$E$3)),"")</x:f>
      </x:c>
      <x:c r="AU110" s="68" t="str">
        <x:f>IF(COLUMN()-2&lt;=$E$3,INDEX($B$10:$B$59,RANDBETWEEN(1,$E$3)),"")</x:f>
      </x:c>
      <x:c r="AV110" s="68" t="str">
        <x:f>IF(COLUMN()-2&lt;=$E$3,INDEX($B$10:$B$59,RANDBETWEEN(1,$E$3)),"")</x:f>
      </x:c>
      <x:c r="AW110" s="68" t="str">
        <x:f>IF(COLUMN()-2&lt;=$E$3,INDEX($B$10:$B$59,RANDBETWEEN(1,$E$3)),"")</x:f>
      </x:c>
      <x:c r="AX110" s="68" t="str">
        <x:f>IF(COLUMN()-2&lt;=$E$3,INDEX($B$10:$B$59,RANDBETWEEN(1,$E$3)),"")</x:f>
      </x:c>
      <x:c r="AY110" s="68" t="str">
        <x:f>IF(COLUMN()-2&lt;=$E$3,INDEX($B$10:$B$59,RANDBETWEEN(1,$E$3)),"")</x:f>
      </x:c>
      <x:c r="AZ110" s="68" t="str">
        <x:f>IF(COLUMN()-2&lt;=$E$3,INDEX($B$10:$B$59,RANDBETWEEN(1,$E$3)),"")</x:f>
      </x:c>
      <x:c r="BA110" s="68" t="str">
        <x:f>IF($E$3=0,"",AVERAGE(C110:AZ110))</x:f>
      </x:c>
    </x:row>
    <x:row r="111">
      <x:c r="A111" t="n">
        <x:v>47</x:v>
      </x:c>
      <x:c r="C111" s="68" t="str">
        <x:f>IF(COLUMN()-2&lt;=$E$3,INDEX($B$10:$B$59,RANDBETWEEN(1,$E$3)),"")</x:f>
      </x:c>
      <x:c r="D111" s="68" t="str">
        <x:f>IF(COLUMN()-2&lt;=$E$3,INDEX($B$10:$B$59,RANDBETWEEN(1,$E$3)),"")</x:f>
      </x:c>
      <x:c r="E111" s="68" t="str">
        <x:f>IF(COLUMN()-2&lt;=$E$3,INDEX($B$10:$B$59,RANDBETWEEN(1,$E$3)),"")</x:f>
      </x:c>
      <x:c r="F111" s="68" t="str">
        <x:f>IF(COLUMN()-2&lt;=$E$3,INDEX($B$10:$B$59,RANDBETWEEN(1,$E$3)),"")</x:f>
      </x:c>
      <x:c r="G111" s="68" t="str">
        <x:f>IF(COLUMN()-2&lt;=$E$3,INDEX($B$10:$B$59,RANDBETWEEN(1,$E$3)),"")</x:f>
      </x:c>
      <x:c r="H111" s="68" t="str">
        <x:f>IF(COLUMN()-2&lt;=$E$3,INDEX($B$10:$B$59,RANDBETWEEN(1,$E$3)),"")</x:f>
      </x:c>
      <x:c r="I111" s="68" t="str">
        <x:f>IF(COLUMN()-2&lt;=$E$3,INDEX($B$10:$B$59,RANDBETWEEN(1,$E$3)),"")</x:f>
      </x:c>
      <x:c r="J111" s="68" t="str">
        <x:f>IF(COLUMN()-2&lt;=$E$3,INDEX($B$10:$B$59,RANDBETWEEN(1,$E$3)),"")</x:f>
      </x:c>
      <x:c r="K111" s="68" t="str">
        <x:f>IF(COLUMN()-2&lt;=$E$3,INDEX($B$10:$B$59,RANDBETWEEN(1,$E$3)),"")</x:f>
      </x:c>
      <x:c r="L111" s="68" t="str">
        <x:f>IF(COLUMN()-2&lt;=$E$3,INDEX($B$10:$B$59,RANDBETWEEN(1,$E$3)),"")</x:f>
      </x:c>
      <x:c r="M111" s="68" t="str">
        <x:f>IF(COLUMN()-2&lt;=$E$3,INDEX($B$10:$B$59,RANDBETWEEN(1,$E$3)),"")</x:f>
      </x:c>
      <x:c r="N111" s="68" t="str">
        <x:f>IF(COLUMN()-2&lt;=$E$3,INDEX($B$10:$B$59,RANDBETWEEN(1,$E$3)),"")</x:f>
      </x:c>
      <x:c r="O111" s="68" t="str">
        <x:f>IF(COLUMN()-2&lt;=$E$3,INDEX($B$10:$B$59,RANDBETWEEN(1,$E$3)),"")</x:f>
      </x:c>
      <x:c r="P111" s="68" t="str">
        <x:f>IF(COLUMN()-2&lt;=$E$3,INDEX($B$10:$B$59,RANDBETWEEN(1,$E$3)),"")</x:f>
      </x:c>
      <x:c r="Q111" s="68" t="str">
        <x:f>IF(COLUMN()-2&lt;=$E$3,INDEX($B$10:$B$59,RANDBETWEEN(1,$E$3)),"")</x:f>
      </x:c>
      <x:c r="R111" s="68" t="str">
        <x:f>IF(COLUMN()-2&lt;=$E$3,INDEX($B$10:$B$59,RANDBETWEEN(1,$E$3)),"")</x:f>
      </x:c>
      <x:c r="S111" s="68" t="str">
        <x:f>IF(COLUMN()-2&lt;=$E$3,INDEX($B$10:$B$59,RANDBETWEEN(1,$E$3)),"")</x:f>
      </x:c>
      <x:c r="T111" s="68" t="str">
        <x:f>IF(COLUMN()-2&lt;=$E$3,INDEX($B$10:$B$59,RANDBETWEEN(1,$E$3)),"")</x:f>
      </x:c>
      <x:c r="U111" s="68" t="str">
        <x:f>IF(COLUMN()-2&lt;=$E$3,INDEX($B$10:$B$59,RANDBETWEEN(1,$E$3)),"")</x:f>
      </x:c>
      <x:c r="V111" s="68" t="str">
        <x:f>IF(COLUMN()-2&lt;=$E$3,INDEX($B$10:$B$59,RANDBETWEEN(1,$E$3)),"")</x:f>
      </x:c>
      <x:c r="W111" s="68" t="str">
        <x:f>IF(COLUMN()-2&lt;=$E$3,INDEX($B$10:$B$59,RANDBETWEEN(1,$E$3)),"")</x:f>
      </x:c>
      <x:c r="X111" s="68" t="str">
        <x:f>IF(COLUMN()-2&lt;=$E$3,INDEX($B$10:$B$59,RANDBETWEEN(1,$E$3)),"")</x:f>
      </x:c>
      <x:c r="Y111" s="68" t="str">
        <x:f>IF(COLUMN()-2&lt;=$E$3,INDEX($B$10:$B$59,RANDBETWEEN(1,$E$3)),"")</x:f>
      </x:c>
      <x:c r="Z111" s="68" t="str">
        <x:f>IF(COLUMN()-2&lt;=$E$3,INDEX($B$10:$B$59,RANDBETWEEN(1,$E$3)),"")</x:f>
      </x:c>
      <x:c r="AA111" s="68" t="str">
        <x:f>IF(COLUMN()-2&lt;=$E$3,INDEX($B$10:$B$59,RANDBETWEEN(1,$E$3)),"")</x:f>
      </x:c>
      <x:c r="AB111" s="68" t="str">
        <x:f>IF(COLUMN()-2&lt;=$E$3,INDEX($B$10:$B$59,RANDBETWEEN(1,$E$3)),"")</x:f>
      </x:c>
      <x:c r="AC111" s="68" t="str">
        <x:f>IF(COLUMN()-2&lt;=$E$3,INDEX($B$10:$B$59,RANDBETWEEN(1,$E$3)),"")</x:f>
      </x:c>
      <x:c r="AD111" s="68" t="str">
        <x:f>IF(COLUMN()-2&lt;=$E$3,INDEX($B$10:$B$59,RANDBETWEEN(1,$E$3)),"")</x:f>
      </x:c>
      <x:c r="AE111" s="68" t="str">
        <x:f>IF(COLUMN()-2&lt;=$E$3,INDEX($B$10:$B$59,RANDBETWEEN(1,$E$3)),"")</x:f>
      </x:c>
      <x:c r="AF111" s="68" t="str">
        <x:f>IF(COLUMN()-2&lt;=$E$3,INDEX($B$10:$B$59,RANDBETWEEN(1,$E$3)),"")</x:f>
      </x:c>
      <x:c r="AG111" s="68" t="str">
        <x:f>IF(COLUMN()-2&lt;=$E$3,INDEX($B$10:$B$59,RANDBETWEEN(1,$E$3)),"")</x:f>
      </x:c>
      <x:c r="AH111" s="68" t="str">
        <x:f>IF(COLUMN()-2&lt;=$E$3,INDEX($B$10:$B$59,RANDBETWEEN(1,$E$3)),"")</x:f>
      </x:c>
      <x:c r="AI111" s="68" t="str">
        <x:f>IF(COLUMN()-2&lt;=$E$3,INDEX($B$10:$B$59,RANDBETWEEN(1,$E$3)),"")</x:f>
      </x:c>
      <x:c r="AJ111" s="68" t="str">
        <x:f>IF(COLUMN()-2&lt;=$E$3,INDEX($B$10:$B$59,RANDBETWEEN(1,$E$3)),"")</x:f>
      </x:c>
      <x:c r="AK111" s="68" t="str">
        <x:f>IF(COLUMN()-2&lt;=$E$3,INDEX($B$10:$B$59,RANDBETWEEN(1,$E$3)),"")</x:f>
      </x:c>
      <x:c r="AL111" s="68" t="str">
        <x:f>IF(COLUMN()-2&lt;=$E$3,INDEX($B$10:$B$59,RANDBETWEEN(1,$E$3)),"")</x:f>
      </x:c>
      <x:c r="AM111" s="68" t="str">
        <x:f>IF(COLUMN()-2&lt;=$E$3,INDEX($B$10:$B$59,RANDBETWEEN(1,$E$3)),"")</x:f>
      </x:c>
      <x:c r="AN111" s="68" t="str">
        <x:f>IF(COLUMN()-2&lt;=$E$3,INDEX($B$10:$B$59,RANDBETWEEN(1,$E$3)),"")</x:f>
      </x:c>
      <x:c r="AO111" s="68" t="str">
        <x:f>IF(COLUMN()-2&lt;=$E$3,INDEX($B$10:$B$59,RANDBETWEEN(1,$E$3)),"")</x:f>
      </x:c>
      <x:c r="AP111" s="68" t="str">
        <x:f>IF(COLUMN()-2&lt;=$E$3,INDEX($B$10:$B$59,RANDBETWEEN(1,$E$3)),"")</x:f>
      </x:c>
      <x:c r="AQ111" s="68" t="str">
        <x:f>IF(COLUMN()-2&lt;=$E$3,INDEX($B$10:$B$59,RANDBETWEEN(1,$E$3)),"")</x:f>
      </x:c>
      <x:c r="AR111" s="68" t="str">
        <x:f>IF(COLUMN()-2&lt;=$E$3,INDEX($B$10:$B$59,RANDBETWEEN(1,$E$3)),"")</x:f>
      </x:c>
      <x:c r="AS111" s="68" t="str">
        <x:f>IF(COLUMN()-2&lt;=$E$3,INDEX($B$10:$B$59,RANDBETWEEN(1,$E$3)),"")</x:f>
      </x:c>
      <x:c r="AT111" s="68" t="str">
        <x:f>IF(COLUMN()-2&lt;=$E$3,INDEX($B$10:$B$59,RANDBETWEEN(1,$E$3)),"")</x:f>
      </x:c>
      <x:c r="AU111" s="68" t="str">
        <x:f>IF(COLUMN()-2&lt;=$E$3,INDEX($B$10:$B$59,RANDBETWEEN(1,$E$3)),"")</x:f>
      </x:c>
      <x:c r="AV111" s="68" t="str">
        <x:f>IF(COLUMN()-2&lt;=$E$3,INDEX($B$10:$B$59,RANDBETWEEN(1,$E$3)),"")</x:f>
      </x:c>
      <x:c r="AW111" s="68" t="str">
        <x:f>IF(COLUMN()-2&lt;=$E$3,INDEX($B$10:$B$59,RANDBETWEEN(1,$E$3)),"")</x:f>
      </x:c>
      <x:c r="AX111" s="68" t="str">
        <x:f>IF(COLUMN()-2&lt;=$E$3,INDEX($B$10:$B$59,RANDBETWEEN(1,$E$3)),"")</x:f>
      </x:c>
      <x:c r="AY111" s="68" t="str">
        <x:f>IF(COLUMN()-2&lt;=$E$3,INDEX($B$10:$B$59,RANDBETWEEN(1,$E$3)),"")</x:f>
      </x:c>
      <x:c r="AZ111" s="68" t="str">
        <x:f>IF(COLUMN()-2&lt;=$E$3,INDEX($B$10:$B$59,RANDBETWEEN(1,$E$3)),"")</x:f>
      </x:c>
      <x:c r="BA111" s="68" t="str">
        <x:f>IF($E$3=0,"",AVERAGE(C111:AZ111))</x:f>
      </x:c>
    </x:row>
    <x:row r="112">
      <x:c r="A112" t="n">
        <x:v>48</x:v>
      </x:c>
      <x:c r="C112" s="68" t="str">
        <x:f>IF(COLUMN()-2&lt;=$E$3,INDEX($B$10:$B$59,RANDBETWEEN(1,$E$3)),"")</x:f>
      </x:c>
      <x:c r="D112" s="68" t="str">
        <x:f>IF(COLUMN()-2&lt;=$E$3,INDEX($B$10:$B$59,RANDBETWEEN(1,$E$3)),"")</x:f>
      </x:c>
      <x:c r="E112" s="68" t="str">
        <x:f>IF(COLUMN()-2&lt;=$E$3,INDEX($B$10:$B$59,RANDBETWEEN(1,$E$3)),"")</x:f>
      </x:c>
      <x:c r="F112" s="68" t="str">
        <x:f>IF(COLUMN()-2&lt;=$E$3,INDEX($B$10:$B$59,RANDBETWEEN(1,$E$3)),"")</x:f>
      </x:c>
      <x:c r="G112" s="68" t="str">
        <x:f>IF(COLUMN()-2&lt;=$E$3,INDEX($B$10:$B$59,RANDBETWEEN(1,$E$3)),"")</x:f>
      </x:c>
      <x:c r="H112" s="68" t="str">
        <x:f>IF(COLUMN()-2&lt;=$E$3,INDEX($B$10:$B$59,RANDBETWEEN(1,$E$3)),"")</x:f>
      </x:c>
      <x:c r="I112" s="68" t="str">
        <x:f>IF(COLUMN()-2&lt;=$E$3,INDEX($B$10:$B$59,RANDBETWEEN(1,$E$3)),"")</x:f>
      </x:c>
      <x:c r="J112" s="68" t="str">
        <x:f>IF(COLUMN()-2&lt;=$E$3,INDEX($B$10:$B$59,RANDBETWEEN(1,$E$3)),"")</x:f>
      </x:c>
      <x:c r="K112" s="68" t="str">
        <x:f>IF(COLUMN()-2&lt;=$E$3,INDEX($B$10:$B$59,RANDBETWEEN(1,$E$3)),"")</x:f>
      </x:c>
      <x:c r="L112" s="68" t="str">
        <x:f>IF(COLUMN()-2&lt;=$E$3,INDEX($B$10:$B$59,RANDBETWEEN(1,$E$3)),"")</x:f>
      </x:c>
      <x:c r="M112" s="68" t="str">
        <x:f>IF(COLUMN()-2&lt;=$E$3,INDEX($B$10:$B$59,RANDBETWEEN(1,$E$3)),"")</x:f>
      </x:c>
      <x:c r="N112" s="68" t="str">
        <x:f>IF(COLUMN()-2&lt;=$E$3,INDEX($B$10:$B$59,RANDBETWEEN(1,$E$3)),"")</x:f>
      </x:c>
      <x:c r="O112" s="68" t="str">
        <x:f>IF(COLUMN()-2&lt;=$E$3,INDEX($B$10:$B$59,RANDBETWEEN(1,$E$3)),"")</x:f>
      </x:c>
      <x:c r="P112" s="68" t="str">
        <x:f>IF(COLUMN()-2&lt;=$E$3,INDEX($B$10:$B$59,RANDBETWEEN(1,$E$3)),"")</x:f>
      </x:c>
      <x:c r="Q112" s="68" t="str">
        <x:f>IF(COLUMN()-2&lt;=$E$3,INDEX($B$10:$B$59,RANDBETWEEN(1,$E$3)),"")</x:f>
      </x:c>
      <x:c r="R112" s="68" t="str">
        <x:f>IF(COLUMN()-2&lt;=$E$3,INDEX($B$10:$B$59,RANDBETWEEN(1,$E$3)),"")</x:f>
      </x:c>
      <x:c r="S112" s="68" t="str">
        <x:f>IF(COLUMN()-2&lt;=$E$3,INDEX($B$10:$B$59,RANDBETWEEN(1,$E$3)),"")</x:f>
      </x:c>
      <x:c r="T112" s="68" t="str">
        <x:f>IF(COLUMN()-2&lt;=$E$3,INDEX($B$10:$B$59,RANDBETWEEN(1,$E$3)),"")</x:f>
      </x:c>
      <x:c r="U112" s="68" t="str">
        <x:f>IF(COLUMN()-2&lt;=$E$3,INDEX($B$10:$B$59,RANDBETWEEN(1,$E$3)),"")</x:f>
      </x:c>
      <x:c r="V112" s="68" t="str">
        <x:f>IF(COLUMN()-2&lt;=$E$3,INDEX($B$10:$B$59,RANDBETWEEN(1,$E$3)),"")</x:f>
      </x:c>
      <x:c r="W112" s="68" t="str">
        <x:f>IF(COLUMN()-2&lt;=$E$3,INDEX($B$10:$B$59,RANDBETWEEN(1,$E$3)),"")</x:f>
      </x:c>
      <x:c r="X112" s="68" t="str">
        <x:f>IF(COLUMN()-2&lt;=$E$3,INDEX($B$10:$B$59,RANDBETWEEN(1,$E$3)),"")</x:f>
      </x:c>
      <x:c r="Y112" s="68" t="str">
        <x:f>IF(COLUMN()-2&lt;=$E$3,INDEX($B$10:$B$59,RANDBETWEEN(1,$E$3)),"")</x:f>
      </x:c>
      <x:c r="Z112" s="68" t="str">
        <x:f>IF(COLUMN()-2&lt;=$E$3,INDEX($B$10:$B$59,RANDBETWEEN(1,$E$3)),"")</x:f>
      </x:c>
      <x:c r="AA112" s="68" t="str">
        <x:f>IF(COLUMN()-2&lt;=$E$3,INDEX($B$10:$B$59,RANDBETWEEN(1,$E$3)),"")</x:f>
      </x:c>
      <x:c r="AB112" s="68" t="str">
        <x:f>IF(COLUMN()-2&lt;=$E$3,INDEX($B$10:$B$59,RANDBETWEEN(1,$E$3)),"")</x:f>
      </x:c>
      <x:c r="AC112" s="68" t="str">
        <x:f>IF(COLUMN()-2&lt;=$E$3,INDEX($B$10:$B$59,RANDBETWEEN(1,$E$3)),"")</x:f>
      </x:c>
      <x:c r="AD112" s="68" t="str">
        <x:f>IF(COLUMN()-2&lt;=$E$3,INDEX($B$10:$B$59,RANDBETWEEN(1,$E$3)),"")</x:f>
      </x:c>
      <x:c r="AE112" s="68" t="str">
        <x:f>IF(COLUMN()-2&lt;=$E$3,INDEX($B$10:$B$59,RANDBETWEEN(1,$E$3)),"")</x:f>
      </x:c>
      <x:c r="AF112" s="68" t="str">
        <x:f>IF(COLUMN()-2&lt;=$E$3,INDEX($B$10:$B$59,RANDBETWEEN(1,$E$3)),"")</x:f>
      </x:c>
      <x:c r="AG112" s="68" t="str">
        <x:f>IF(COLUMN()-2&lt;=$E$3,INDEX($B$10:$B$59,RANDBETWEEN(1,$E$3)),"")</x:f>
      </x:c>
      <x:c r="AH112" s="68" t="str">
        <x:f>IF(COLUMN()-2&lt;=$E$3,INDEX($B$10:$B$59,RANDBETWEEN(1,$E$3)),"")</x:f>
      </x:c>
      <x:c r="AI112" s="68" t="str">
        <x:f>IF(COLUMN()-2&lt;=$E$3,INDEX($B$10:$B$59,RANDBETWEEN(1,$E$3)),"")</x:f>
      </x:c>
      <x:c r="AJ112" s="68" t="str">
        <x:f>IF(COLUMN()-2&lt;=$E$3,INDEX($B$10:$B$59,RANDBETWEEN(1,$E$3)),"")</x:f>
      </x:c>
      <x:c r="AK112" s="68" t="str">
        <x:f>IF(COLUMN()-2&lt;=$E$3,INDEX($B$10:$B$59,RANDBETWEEN(1,$E$3)),"")</x:f>
      </x:c>
      <x:c r="AL112" s="68" t="str">
        <x:f>IF(COLUMN()-2&lt;=$E$3,INDEX($B$10:$B$59,RANDBETWEEN(1,$E$3)),"")</x:f>
      </x:c>
      <x:c r="AM112" s="68" t="str">
        <x:f>IF(COLUMN()-2&lt;=$E$3,INDEX($B$10:$B$59,RANDBETWEEN(1,$E$3)),"")</x:f>
      </x:c>
      <x:c r="AN112" s="68" t="str">
        <x:f>IF(COLUMN()-2&lt;=$E$3,INDEX($B$10:$B$59,RANDBETWEEN(1,$E$3)),"")</x:f>
      </x:c>
      <x:c r="AO112" s="68" t="str">
        <x:f>IF(COLUMN()-2&lt;=$E$3,INDEX($B$10:$B$59,RANDBETWEEN(1,$E$3)),"")</x:f>
      </x:c>
      <x:c r="AP112" s="68" t="str">
        <x:f>IF(COLUMN()-2&lt;=$E$3,INDEX($B$10:$B$59,RANDBETWEEN(1,$E$3)),"")</x:f>
      </x:c>
      <x:c r="AQ112" s="68" t="str">
        <x:f>IF(COLUMN()-2&lt;=$E$3,INDEX($B$10:$B$59,RANDBETWEEN(1,$E$3)),"")</x:f>
      </x:c>
      <x:c r="AR112" s="68" t="str">
        <x:f>IF(COLUMN()-2&lt;=$E$3,INDEX($B$10:$B$59,RANDBETWEEN(1,$E$3)),"")</x:f>
      </x:c>
      <x:c r="AS112" s="68" t="str">
        <x:f>IF(COLUMN()-2&lt;=$E$3,INDEX($B$10:$B$59,RANDBETWEEN(1,$E$3)),"")</x:f>
      </x:c>
      <x:c r="AT112" s="68" t="str">
        <x:f>IF(COLUMN()-2&lt;=$E$3,INDEX($B$10:$B$59,RANDBETWEEN(1,$E$3)),"")</x:f>
      </x:c>
      <x:c r="AU112" s="68" t="str">
        <x:f>IF(COLUMN()-2&lt;=$E$3,INDEX($B$10:$B$59,RANDBETWEEN(1,$E$3)),"")</x:f>
      </x:c>
      <x:c r="AV112" s="68" t="str">
        <x:f>IF(COLUMN()-2&lt;=$E$3,INDEX($B$10:$B$59,RANDBETWEEN(1,$E$3)),"")</x:f>
      </x:c>
      <x:c r="AW112" s="68" t="str">
        <x:f>IF(COLUMN()-2&lt;=$E$3,INDEX($B$10:$B$59,RANDBETWEEN(1,$E$3)),"")</x:f>
      </x:c>
      <x:c r="AX112" s="68" t="str">
        <x:f>IF(COLUMN()-2&lt;=$E$3,INDEX($B$10:$B$59,RANDBETWEEN(1,$E$3)),"")</x:f>
      </x:c>
      <x:c r="AY112" s="68" t="str">
        <x:f>IF(COLUMN()-2&lt;=$E$3,INDEX($B$10:$B$59,RANDBETWEEN(1,$E$3)),"")</x:f>
      </x:c>
      <x:c r="AZ112" s="68" t="str">
        <x:f>IF(COLUMN()-2&lt;=$E$3,INDEX($B$10:$B$59,RANDBETWEEN(1,$E$3)),"")</x:f>
      </x:c>
      <x:c r="BA112" s="68" t="str">
        <x:f>IF($E$3=0,"",AVERAGE(C112:AZ112))</x:f>
      </x:c>
    </x:row>
    <x:row r="113">
      <x:c r="A113" t="n">
        <x:v>49</x:v>
      </x:c>
      <x:c r="C113" s="68" t="str">
        <x:f>IF(COLUMN()-2&lt;=$E$3,INDEX($B$10:$B$59,RANDBETWEEN(1,$E$3)),"")</x:f>
      </x:c>
      <x:c r="D113" s="68" t="str">
        <x:f>IF(COLUMN()-2&lt;=$E$3,INDEX($B$10:$B$59,RANDBETWEEN(1,$E$3)),"")</x:f>
      </x:c>
      <x:c r="E113" s="68" t="str">
        <x:f>IF(COLUMN()-2&lt;=$E$3,INDEX($B$10:$B$59,RANDBETWEEN(1,$E$3)),"")</x:f>
      </x:c>
      <x:c r="F113" s="68" t="str">
        <x:f>IF(COLUMN()-2&lt;=$E$3,INDEX($B$10:$B$59,RANDBETWEEN(1,$E$3)),"")</x:f>
      </x:c>
      <x:c r="G113" s="68" t="str">
        <x:f>IF(COLUMN()-2&lt;=$E$3,INDEX($B$10:$B$59,RANDBETWEEN(1,$E$3)),"")</x:f>
      </x:c>
      <x:c r="H113" s="68" t="str">
        <x:f>IF(COLUMN()-2&lt;=$E$3,INDEX($B$10:$B$59,RANDBETWEEN(1,$E$3)),"")</x:f>
      </x:c>
      <x:c r="I113" s="68" t="str">
        <x:f>IF(COLUMN()-2&lt;=$E$3,INDEX($B$10:$B$59,RANDBETWEEN(1,$E$3)),"")</x:f>
      </x:c>
      <x:c r="J113" s="68" t="str">
        <x:f>IF(COLUMN()-2&lt;=$E$3,INDEX($B$10:$B$59,RANDBETWEEN(1,$E$3)),"")</x:f>
      </x:c>
      <x:c r="K113" s="68" t="str">
        <x:f>IF(COLUMN()-2&lt;=$E$3,INDEX($B$10:$B$59,RANDBETWEEN(1,$E$3)),"")</x:f>
      </x:c>
      <x:c r="L113" s="68" t="str">
        <x:f>IF(COLUMN()-2&lt;=$E$3,INDEX($B$10:$B$59,RANDBETWEEN(1,$E$3)),"")</x:f>
      </x:c>
      <x:c r="M113" s="68" t="str">
        <x:f>IF(COLUMN()-2&lt;=$E$3,INDEX($B$10:$B$59,RANDBETWEEN(1,$E$3)),"")</x:f>
      </x:c>
      <x:c r="N113" s="68" t="str">
        <x:f>IF(COLUMN()-2&lt;=$E$3,INDEX($B$10:$B$59,RANDBETWEEN(1,$E$3)),"")</x:f>
      </x:c>
      <x:c r="O113" s="68" t="str">
        <x:f>IF(COLUMN()-2&lt;=$E$3,INDEX($B$10:$B$59,RANDBETWEEN(1,$E$3)),"")</x:f>
      </x:c>
      <x:c r="P113" s="68" t="str">
        <x:f>IF(COLUMN()-2&lt;=$E$3,INDEX($B$10:$B$59,RANDBETWEEN(1,$E$3)),"")</x:f>
      </x:c>
      <x:c r="Q113" s="68" t="str">
        <x:f>IF(COLUMN()-2&lt;=$E$3,INDEX($B$10:$B$59,RANDBETWEEN(1,$E$3)),"")</x:f>
      </x:c>
      <x:c r="R113" s="68" t="str">
        <x:f>IF(COLUMN()-2&lt;=$E$3,INDEX($B$10:$B$59,RANDBETWEEN(1,$E$3)),"")</x:f>
      </x:c>
      <x:c r="S113" s="68" t="str">
        <x:f>IF(COLUMN()-2&lt;=$E$3,INDEX($B$10:$B$59,RANDBETWEEN(1,$E$3)),"")</x:f>
      </x:c>
      <x:c r="T113" s="68" t="str">
        <x:f>IF(COLUMN()-2&lt;=$E$3,INDEX($B$10:$B$59,RANDBETWEEN(1,$E$3)),"")</x:f>
      </x:c>
      <x:c r="U113" s="68" t="str">
        <x:f>IF(COLUMN()-2&lt;=$E$3,INDEX($B$10:$B$59,RANDBETWEEN(1,$E$3)),"")</x:f>
      </x:c>
      <x:c r="V113" s="68" t="str">
        <x:f>IF(COLUMN()-2&lt;=$E$3,INDEX($B$10:$B$59,RANDBETWEEN(1,$E$3)),"")</x:f>
      </x:c>
      <x:c r="W113" s="68" t="str">
        <x:f>IF(COLUMN()-2&lt;=$E$3,INDEX($B$10:$B$59,RANDBETWEEN(1,$E$3)),"")</x:f>
      </x:c>
      <x:c r="X113" s="68" t="str">
        <x:f>IF(COLUMN()-2&lt;=$E$3,INDEX($B$10:$B$59,RANDBETWEEN(1,$E$3)),"")</x:f>
      </x:c>
      <x:c r="Y113" s="68" t="str">
        <x:f>IF(COLUMN()-2&lt;=$E$3,INDEX($B$10:$B$59,RANDBETWEEN(1,$E$3)),"")</x:f>
      </x:c>
      <x:c r="Z113" s="68" t="str">
        <x:f>IF(COLUMN()-2&lt;=$E$3,INDEX($B$10:$B$59,RANDBETWEEN(1,$E$3)),"")</x:f>
      </x:c>
      <x:c r="AA113" s="68" t="str">
        <x:f>IF(COLUMN()-2&lt;=$E$3,INDEX($B$10:$B$59,RANDBETWEEN(1,$E$3)),"")</x:f>
      </x:c>
      <x:c r="AB113" s="68" t="str">
        <x:f>IF(COLUMN()-2&lt;=$E$3,INDEX($B$10:$B$59,RANDBETWEEN(1,$E$3)),"")</x:f>
      </x:c>
      <x:c r="AC113" s="68" t="str">
        <x:f>IF(COLUMN()-2&lt;=$E$3,INDEX($B$10:$B$59,RANDBETWEEN(1,$E$3)),"")</x:f>
      </x:c>
      <x:c r="AD113" s="68" t="str">
        <x:f>IF(COLUMN()-2&lt;=$E$3,INDEX($B$10:$B$59,RANDBETWEEN(1,$E$3)),"")</x:f>
      </x:c>
      <x:c r="AE113" s="68" t="str">
        <x:f>IF(COLUMN()-2&lt;=$E$3,INDEX($B$10:$B$59,RANDBETWEEN(1,$E$3)),"")</x:f>
      </x:c>
      <x:c r="AF113" s="68" t="str">
        <x:f>IF(COLUMN()-2&lt;=$E$3,INDEX($B$10:$B$59,RANDBETWEEN(1,$E$3)),"")</x:f>
      </x:c>
      <x:c r="AG113" s="68" t="str">
        <x:f>IF(COLUMN()-2&lt;=$E$3,INDEX($B$10:$B$59,RANDBETWEEN(1,$E$3)),"")</x:f>
      </x:c>
      <x:c r="AH113" s="68" t="str">
        <x:f>IF(COLUMN()-2&lt;=$E$3,INDEX($B$10:$B$59,RANDBETWEEN(1,$E$3)),"")</x:f>
      </x:c>
      <x:c r="AI113" s="68" t="str">
        <x:f>IF(COLUMN()-2&lt;=$E$3,INDEX($B$10:$B$59,RANDBETWEEN(1,$E$3)),"")</x:f>
      </x:c>
      <x:c r="AJ113" s="68" t="str">
        <x:f>IF(COLUMN()-2&lt;=$E$3,INDEX($B$10:$B$59,RANDBETWEEN(1,$E$3)),"")</x:f>
      </x:c>
      <x:c r="AK113" s="68" t="str">
        <x:f>IF(COLUMN()-2&lt;=$E$3,INDEX($B$10:$B$59,RANDBETWEEN(1,$E$3)),"")</x:f>
      </x:c>
      <x:c r="AL113" s="68" t="str">
        <x:f>IF(COLUMN()-2&lt;=$E$3,INDEX($B$10:$B$59,RANDBETWEEN(1,$E$3)),"")</x:f>
      </x:c>
      <x:c r="AM113" s="68" t="str">
        <x:f>IF(COLUMN()-2&lt;=$E$3,INDEX($B$10:$B$59,RANDBETWEEN(1,$E$3)),"")</x:f>
      </x:c>
      <x:c r="AN113" s="68" t="str">
        <x:f>IF(COLUMN()-2&lt;=$E$3,INDEX($B$10:$B$59,RANDBETWEEN(1,$E$3)),"")</x:f>
      </x:c>
      <x:c r="AO113" s="68" t="str">
        <x:f>IF(COLUMN()-2&lt;=$E$3,INDEX($B$10:$B$59,RANDBETWEEN(1,$E$3)),"")</x:f>
      </x:c>
      <x:c r="AP113" s="68" t="str">
        <x:f>IF(COLUMN()-2&lt;=$E$3,INDEX($B$10:$B$59,RANDBETWEEN(1,$E$3)),"")</x:f>
      </x:c>
      <x:c r="AQ113" s="68" t="str">
        <x:f>IF(COLUMN()-2&lt;=$E$3,INDEX($B$10:$B$59,RANDBETWEEN(1,$E$3)),"")</x:f>
      </x:c>
      <x:c r="AR113" s="68" t="str">
        <x:f>IF(COLUMN()-2&lt;=$E$3,INDEX($B$10:$B$59,RANDBETWEEN(1,$E$3)),"")</x:f>
      </x:c>
      <x:c r="AS113" s="68" t="str">
        <x:f>IF(COLUMN()-2&lt;=$E$3,INDEX($B$10:$B$59,RANDBETWEEN(1,$E$3)),"")</x:f>
      </x:c>
      <x:c r="AT113" s="68" t="str">
        <x:f>IF(COLUMN()-2&lt;=$E$3,INDEX($B$10:$B$59,RANDBETWEEN(1,$E$3)),"")</x:f>
      </x:c>
      <x:c r="AU113" s="68" t="str">
        <x:f>IF(COLUMN()-2&lt;=$E$3,INDEX($B$10:$B$59,RANDBETWEEN(1,$E$3)),"")</x:f>
      </x:c>
      <x:c r="AV113" s="68" t="str">
        <x:f>IF(COLUMN()-2&lt;=$E$3,INDEX($B$10:$B$59,RANDBETWEEN(1,$E$3)),"")</x:f>
      </x:c>
      <x:c r="AW113" s="68" t="str">
        <x:f>IF(COLUMN()-2&lt;=$E$3,INDEX($B$10:$B$59,RANDBETWEEN(1,$E$3)),"")</x:f>
      </x:c>
      <x:c r="AX113" s="68" t="str">
        <x:f>IF(COLUMN()-2&lt;=$E$3,INDEX($B$10:$B$59,RANDBETWEEN(1,$E$3)),"")</x:f>
      </x:c>
      <x:c r="AY113" s="68" t="str">
        <x:f>IF(COLUMN()-2&lt;=$E$3,INDEX($B$10:$B$59,RANDBETWEEN(1,$E$3)),"")</x:f>
      </x:c>
      <x:c r="AZ113" s="68" t="str">
        <x:f>IF(COLUMN()-2&lt;=$E$3,INDEX($B$10:$B$59,RANDBETWEEN(1,$E$3)),"")</x:f>
      </x:c>
      <x:c r="BA113" s="68" t="str">
        <x:f>IF($E$3=0,"",AVERAGE(C113:AZ113))</x:f>
      </x:c>
    </x:row>
    <x:row r="114">
      <x:c r="A114" t="n">
        <x:v>50</x:v>
      </x:c>
      <x:c r="C114" s="68" t="str">
        <x:f>IF(COLUMN()-2&lt;=$E$3,INDEX($B$10:$B$59,RANDBETWEEN(1,$E$3)),"")</x:f>
      </x:c>
      <x:c r="D114" s="68" t="str">
        <x:f>IF(COLUMN()-2&lt;=$E$3,INDEX($B$10:$B$59,RANDBETWEEN(1,$E$3)),"")</x:f>
      </x:c>
      <x:c r="E114" s="68" t="str">
        <x:f>IF(COLUMN()-2&lt;=$E$3,INDEX($B$10:$B$59,RANDBETWEEN(1,$E$3)),"")</x:f>
      </x:c>
      <x:c r="F114" s="68" t="str">
        <x:f>IF(COLUMN()-2&lt;=$E$3,INDEX($B$10:$B$59,RANDBETWEEN(1,$E$3)),"")</x:f>
      </x:c>
      <x:c r="G114" s="68" t="str">
        <x:f>IF(COLUMN()-2&lt;=$E$3,INDEX($B$10:$B$59,RANDBETWEEN(1,$E$3)),"")</x:f>
      </x:c>
      <x:c r="H114" s="68" t="str">
        <x:f>IF(COLUMN()-2&lt;=$E$3,INDEX($B$10:$B$59,RANDBETWEEN(1,$E$3)),"")</x:f>
      </x:c>
      <x:c r="I114" s="68" t="str">
        <x:f>IF(COLUMN()-2&lt;=$E$3,INDEX($B$10:$B$59,RANDBETWEEN(1,$E$3)),"")</x:f>
      </x:c>
      <x:c r="J114" s="68" t="str">
        <x:f>IF(COLUMN()-2&lt;=$E$3,INDEX($B$10:$B$59,RANDBETWEEN(1,$E$3)),"")</x:f>
      </x:c>
      <x:c r="K114" s="68" t="str">
        <x:f>IF(COLUMN()-2&lt;=$E$3,INDEX($B$10:$B$59,RANDBETWEEN(1,$E$3)),"")</x:f>
      </x:c>
      <x:c r="L114" s="68" t="str">
        <x:f>IF(COLUMN()-2&lt;=$E$3,INDEX($B$10:$B$59,RANDBETWEEN(1,$E$3)),"")</x:f>
      </x:c>
      <x:c r="M114" s="68" t="str">
        <x:f>IF(COLUMN()-2&lt;=$E$3,INDEX($B$10:$B$59,RANDBETWEEN(1,$E$3)),"")</x:f>
      </x:c>
      <x:c r="N114" s="68" t="str">
        <x:f>IF(COLUMN()-2&lt;=$E$3,INDEX($B$10:$B$59,RANDBETWEEN(1,$E$3)),"")</x:f>
      </x:c>
      <x:c r="O114" s="68" t="str">
        <x:f>IF(COLUMN()-2&lt;=$E$3,INDEX($B$10:$B$59,RANDBETWEEN(1,$E$3)),"")</x:f>
      </x:c>
      <x:c r="P114" s="68" t="str">
        <x:f>IF(COLUMN()-2&lt;=$E$3,INDEX($B$10:$B$59,RANDBETWEEN(1,$E$3)),"")</x:f>
      </x:c>
      <x:c r="Q114" s="68" t="str">
        <x:f>IF(COLUMN()-2&lt;=$E$3,INDEX($B$10:$B$59,RANDBETWEEN(1,$E$3)),"")</x:f>
      </x:c>
      <x:c r="R114" s="68" t="str">
        <x:f>IF(COLUMN()-2&lt;=$E$3,INDEX($B$10:$B$59,RANDBETWEEN(1,$E$3)),"")</x:f>
      </x:c>
      <x:c r="S114" s="68" t="str">
        <x:f>IF(COLUMN()-2&lt;=$E$3,INDEX($B$10:$B$59,RANDBETWEEN(1,$E$3)),"")</x:f>
      </x:c>
      <x:c r="T114" s="68" t="str">
        <x:f>IF(COLUMN()-2&lt;=$E$3,INDEX($B$10:$B$59,RANDBETWEEN(1,$E$3)),"")</x:f>
      </x:c>
      <x:c r="U114" s="68" t="str">
        <x:f>IF(COLUMN()-2&lt;=$E$3,INDEX($B$10:$B$59,RANDBETWEEN(1,$E$3)),"")</x:f>
      </x:c>
      <x:c r="V114" s="68" t="str">
        <x:f>IF(COLUMN()-2&lt;=$E$3,INDEX($B$10:$B$59,RANDBETWEEN(1,$E$3)),"")</x:f>
      </x:c>
      <x:c r="W114" s="68" t="str">
        <x:f>IF(COLUMN()-2&lt;=$E$3,INDEX($B$10:$B$59,RANDBETWEEN(1,$E$3)),"")</x:f>
      </x:c>
      <x:c r="X114" s="68" t="str">
        <x:f>IF(COLUMN()-2&lt;=$E$3,INDEX($B$10:$B$59,RANDBETWEEN(1,$E$3)),"")</x:f>
      </x:c>
      <x:c r="Y114" s="68" t="str">
        <x:f>IF(COLUMN()-2&lt;=$E$3,INDEX($B$10:$B$59,RANDBETWEEN(1,$E$3)),"")</x:f>
      </x:c>
      <x:c r="Z114" s="68" t="str">
        <x:f>IF(COLUMN()-2&lt;=$E$3,INDEX($B$10:$B$59,RANDBETWEEN(1,$E$3)),"")</x:f>
      </x:c>
      <x:c r="AA114" s="68" t="str">
        <x:f>IF(COLUMN()-2&lt;=$E$3,INDEX($B$10:$B$59,RANDBETWEEN(1,$E$3)),"")</x:f>
      </x:c>
      <x:c r="AB114" s="68" t="str">
        <x:f>IF(COLUMN()-2&lt;=$E$3,INDEX($B$10:$B$59,RANDBETWEEN(1,$E$3)),"")</x:f>
      </x:c>
      <x:c r="AC114" s="68" t="str">
        <x:f>IF(COLUMN()-2&lt;=$E$3,INDEX($B$10:$B$59,RANDBETWEEN(1,$E$3)),"")</x:f>
      </x:c>
      <x:c r="AD114" s="68" t="str">
        <x:f>IF(COLUMN()-2&lt;=$E$3,INDEX($B$10:$B$59,RANDBETWEEN(1,$E$3)),"")</x:f>
      </x:c>
      <x:c r="AE114" s="68" t="str">
        <x:f>IF(COLUMN()-2&lt;=$E$3,INDEX($B$10:$B$59,RANDBETWEEN(1,$E$3)),"")</x:f>
      </x:c>
      <x:c r="AF114" s="68" t="str">
        <x:f>IF(COLUMN()-2&lt;=$E$3,INDEX($B$10:$B$59,RANDBETWEEN(1,$E$3)),"")</x:f>
      </x:c>
      <x:c r="AG114" s="68" t="str">
        <x:f>IF(COLUMN()-2&lt;=$E$3,INDEX($B$10:$B$59,RANDBETWEEN(1,$E$3)),"")</x:f>
      </x:c>
      <x:c r="AH114" s="68" t="str">
        <x:f>IF(COLUMN()-2&lt;=$E$3,INDEX($B$10:$B$59,RANDBETWEEN(1,$E$3)),"")</x:f>
      </x:c>
      <x:c r="AI114" s="68" t="str">
        <x:f>IF(COLUMN()-2&lt;=$E$3,INDEX($B$10:$B$59,RANDBETWEEN(1,$E$3)),"")</x:f>
      </x:c>
      <x:c r="AJ114" s="68" t="str">
        <x:f>IF(COLUMN()-2&lt;=$E$3,INDEX($B$10:$B$59,RANDBETWEEN(1,$E$3)),"")</x:f>
      </x:c>
      <x:c r="AK114" s="68" t="str">
        <x:f>IF(COLUMN()-2&lt;=$E$3,INDEX($B$10:$B$59,RANDBETWEEN(1,$E$3)),"")</x:f>
      </x:c>
      <x:c r="AL114" s="68" t="str">
        <x:f>IF(COLUMN()-2&lt;=$E$3,INDEX($B$10:$B$59,RANDBETWEEN(1,$E$3)),"")</x:f>
      </x:c>
      <x:c r="AM114" s="68" t="str">
        <x:f>IF(COLUMN()-2&lt;=$E$3,INDEX($B$10:$B$59,RANDBETWEEN(1,$E$3)),"")</x:f>
      </x:c>
      <x:c r="AN114" s="68" t="str">
        <x:f>IF(COLUMN()-2&lt;=$E$3,INDEX($B$10:$B$59,RANDBETWEEN(1,$E$3)),"")</x:f>
      </x:c>
      <x:c r="AO114" s="68" t="str">
        <x:f>IF(COLUMN()-2&lt;=$E$3,INDEX($B$10:$B$59,RANDBETWEEN(1,$E$3)),"")</x:f>
      </x:c>
      <x:c r="AP114" s="68" t="str">
        <x:f>IF(COLUMN()-2&lt;=$E$3,INDEX($B$10:$B$59,RANDBETWEEN(1,$E$3)),"")</x:f>
      </x:c>
      <x:c r="AQ114" s="68" t="str">
        <x:f>IF(COLUMN()-2&lt;=$E$3,INDEX($B$10:$B$59,RANDBETWEEN(1,$E$3)),"")</x:f>
      </x:c>
      <x:c r="AR114" s="68" t="str">
        <x:f>IF(COLUMN()-2&lt;=$E$3,INDEX($B$10:$B$59,RANDBETWEEN(1,$E$3)),"")</x:f>
      </x:c>
      <x:c r="AS114" s="68" t="str">
        <x:f>IF(COLUMN()-2&lt;=$E$3,INDEX($B$10:$B$59,RANDBETWEEN(1,$E$3)),"")</x:f>
      </x:c>
      <x:c r="AT114" s="68" t="str">
        <x:f>IF(COLUMN()-2&lt;=$E$3,INDEX($B$10:$B$59,RANDBETWEEN(1,$E$3)),"")</x:f>
      </x:c>
      <x:c r="AU114" s="68" t="str">
        <x:f>IF(COLUMN()-2&lt;=$E$3,INDEX($B$10:$B$59,RANDBETWEEN(1,$E$3)),"")</x:f>
      </x:c>
      <x:c r="AV114" s="68" t="str">
        <x:f>IF(COLUMN()-2&lt;=$E$3,INDEX($B$10:$B$59,RANDBETWEEN(1,$E$3)),"")</x:f>
      </x:c>
      <x:c r="AW114" s="68" t="str">
        <x:f>IF(COLUMN()-2&lt;=$E$3,INDEX($B$10:$B$59,RANDBETWEEN(1,$E$3)),"")</x:f>
      </x:c>
      <x:c r="AX114" s="68" t="str">
        <x:f>IF(COLUMN()-2&lt;=$E$3,INDEX($B$10:$B$59,RANDBETWEEN(1,$E$3)),"")</x:f>
      </x:c>
      <x:c r="AY114" s="68" t="str">
        <x:f>IF(COLUMN()-2&lt;=$E$3,INDEX($B$10:$B$59,RANDBETWEEN(1,$E$3)),"")</x:f>
      </x:c>
      <x:c r="AZ114" s="68" t="str">
        <x:f>IF(COLUMN()-2&lt;=$E$3,INDEX($B$10:$B$59,RANDBETWEEN(1,$E$3)),"")</x:f>
      </x:c>
      <x:c r="BA114" s="68" t="str">
        <x:f>IF($E$3=0,"",AVERAGE(C114:AZ114))</x:f>
      </x:c>
    </x:row>
    <x:row r="115">
      <x:c r="A115" t="n">
        <x:v>51</x:v>
      </x:c>
      <x:c r="C115" s="68" t="str">
        <x:f>IF(COLUMN()-2&lt;=$E$3,INDEX($B$10:$B$59,RANDBETWEEN(1,$E$3)),"")</x:f>
      </x:c>
      <x:c r="D115" s="68" t="str">
        <x:f>IF(COLUMN()-2&lt;=$E$3,INDEX($B$10:$B$59,RANDBETWEEN(1,$E$3)),"")</x:f>
      </x:c>
      <x:c r="E115" s="68" t="str">
        <x:f>IF(COLUMN()-2&lt;=$E$3,INDEX($B$10:$B$59,RANDBETWEEN(1,$E$3)),"")</x:f>
      </x:c>
      <x:c r="F115" s="68" t="str">
        <x:f>IF(COLUMN()-2&lt;=$E$3,INDEX($B$10:$B$59,RANDBETWEEN(1,$E$3)),"")</x:f>
      </x:c>
      <x:c r="G115" s="68" t="str">
        <x:f>IF(COLUMN()-2&lt;=$E$3,INDEX($B$10:$B$59,RANDBETWEEN(1,$E$3)),"")</x:f>
      </x:c>
      <x:c r="H115" s="68" t="str">
        <x:f>IF(COLUMN()-2&lt;=$E$3,INDEX($B$10:$B$59,RANDBETWEEN(1,$E$3)),"")</x:f>
      </x:c>
      <x:c r="I115" s="68" t="str">
        <x:f>IF(COLUMN()-2&lt;=$E$3,INDEX($B$10:$B$59,RANDBETWEEN(1,$E$3)),"")</x:f>
      </x:c>
      <x:c r="J115" s="68" t="str">
        <x:f>IF(COLUMN()-2&lt;=$E$3,INDEX($B$10:$B$59,RANDBETWEEN(1,$E$3)),"")</x:f>
      </x:c>
      <x:c r="K115" s="68" t="str">
        <x:f>IF(COLUMN()-2&lt;=$E$3,INDEX($B$10:$B$59,RANDBETWEEN(1,$E$3)),"")</x:f>
      </x:c>
      <x:c r="L115" s="68" t="str">
        <x:f>IF(COLUMN()-2&lt;=$E$3,INDEX($B$10:$B$59,RANDBETWEEN(1,$E$3)),"")</x:f>
      </x:c>
      <x:c r="M115" s="68" t="str">
        <x:f>IF(COLUMN()-2&lt;=$E$3,INDEX($B$10:$B$59,RANDBETWEEN(1,$E$3)),"")</x:f>
      </x:c>
      <x:c r="N115" s="68" t="str">
        <x:f>IF(COLUMN()-2&lt;=$E$3,INDEX($B$10:$B$59,RANDBETWEEN(1,$E$3)),"")</x:f>
      </x:c>
      <x:c r="O115" s="68" t="str">
        <x:f>IF(COLUMN()-2&lt;=$E$3,INDEX($B$10:$B$59,RANDBETWEEN(1,$E$3)),"")</x:f>
      </x:c>
      <x:c r="P115" s="68" t="str">
        <x:f>IF(COLUMN()-2&lt;=$E$3,INDEX($B$10:$B$59,RANDBETWEEN(1,$E$3)),"")</x:f>
      </x:c>
      <x:c r="Q115" s="68" t="str">
        <x:f>IF(COLUMN()-2&lt;=$E$3,INDEX($B$10:$B$59,RANDBETWEEN(1,$E$3)),"")</x:f>
      </x:c>
      <x:c r="R115" s="68" t="str">
        <x:f>IF(COLUMN()-2&lt;=$E$3,INDEX($B$10:$B$59,RANDBETWEEN(1,$E$3)),"")</x:f>
      </x:c>
      <x:c r="S115" s="68" t="str">
        <x:f>IF(COLUMN()-2&lt;=$E$3,INDEX($B$10:$B$59,RANDBETWEEN(1,$E$3)),"")</x:f>
      </x:c>
      <x:c r="T115" s="68" t="str">
        <x:f>IF(COLUMN()-2&lt;=$E$3,INDEX($B$10:$B$59,RANDBETWEEN(1,$E$3)),"")</x:f>
      </x:c>
      <x:c r="U115" s="68" t="str">
        <x:f>IF(COLUMN()-2&lt;=$E$3,INDEX($B$10:$B$59,RANDBETWEEN(1,$E$3)),"")</x:f>
      </x:c>
      <x:c r="V115" s="68" t="str">
        <x:f>IF(COLUMN()-2&lt;=$E$3,INDEX($B$10:$B$59,RANDBETWEEN(1,$E$3)),"")</x:f>
      </x:c>
      <x:c r="W115" s="68" t="str">
        <x:f>IF(COLUMN()-2&lt;=$E$3,INDEX($B$10:$B$59,RANDBETWEEN(1,$E$3)),"")</x:f>
      </x:c>
      <x:c r="X115" s="68" t="str">
        <x:f>IF(COLUMN()-2&lt;=$E$3,INDEX($B$10:$B$59,RANDBETWEEN(1,$E$3)),"")</x:f>
      </x:c>
      <x:c r="Y115" s="68" t="str">
        <x:f>IF(COLUMN()-2&lt;=$E$3,INDEX($B$10:$B$59,RANDBETWEEN(1,$E$3)),"")</x:f>
      </x:c>
      <x:c r="Z115" s="68" t="str">
        <x:f>IF(COLUMN()-2&lt;=$E$3,INDEX($B$10:$B$59,RANDBETWEEN(1,$E$3)),"")</x:f>
      </x:c>
      <x:c r="AA115" s="68" t="str">
        <x:f>IF(COLUMN()-2&lt;=$E$3,INDEX($B$10:$B$59,RANDBETWEEN(1,$E$3)),"")</x:f>
      </x:c>
      <x:c r="AB115" s="68" t="str">
        <x:f>IF(COLUMN()-2&lt;=$E$3,INDEX($B$10:$B$59,RANDBETWEEN(1,$E$3)),"")</x:f>
      </x:c>
      <x:c r="AC115" s="68" t="str">
        <x:f>IF(COLUMN()-2&lt;=$E$3,INDEX($B$10:$B$59,RANDBETWEEN(1,$E$3)),"")</x:f>
      </x:c>
      <x:c r="AD115" s="68" t="str">
        <x:f>IF(COLUMN()-2&lt;=$E$3,INDEX($B$10:$B$59,RANDBETWEEN(1,$E$3)),"")</x:f>
      </x:c>
      <x:c r="AE115" s="68" t="str">
        <x:f>IF(COLUMN()-2&lt;=$E$3,INDEX($B$10:$B$59,RANDBETWEEN(1,$E$3)),"")</x:f>
      </x:c>
      <x:c r="AF115" s="68" t="str">
        <x:f>IF(COLUMN()-2&lt;=$E$3,INDEX($B$10:$B$59,RANDBETWEEN(1,$E$3)),"")</x:f>
      </x:c>
      <x:c r="AG115" s="68" t="str">
        <x:f>IF(COLUMN()-2&lt;=$E$3,INDEX($B$10:$B$59,RANDBETWEEN(1,$E$3)),"")</x:f>
      </x:c>
      <x:c r="AH115" s="68" t="str">
        <x:f>IF(COLUMN()-2&lt;=$E$3,INDEX($B$10:$B$59,RANDBETWEEN(1,$E$3)),"")</x:f>
      </x:c>
      <x:c r="AI115" s="68" t="str">
        <x:f>IF(COLUMN()-2&lt;=$E$3,INDEX($B$10:$B$59,RANDBETWEEN(1,$E$3)),"")</x:f>
      </x:c>
      <x:c r="AJ115" s="68" t="str">
        <x:f>IF(COLUMN()-2&lt;=$E$3,INDEX($B$10:$B$59,RANDBETWEEN(1,$E$3)),"")</x:f>
      </x:c>
      <x:c r="AK115" s="68" t="str">
        <x:f>IF(COLUMN()-2&lt;=$E$3,INDEX($B$10:$B$59,RANDBETWEEN(1,$E$3)),"")</x:f>
      </x:c>
      <x:c r="AL115" s="68" t="str">
        <x:f>IF(COLUMN()-2&lt;=$E$3,INDEX($B$10:$B$59,RANDBETWEEN(1,$E$3)),"")</x:f>
      </x:c>
      <x:c r="AM115" s="68" t="str">
        <x:f>IF(COLUMN()-2&lt;=$E$3,INDEX($B$10:$B$59,RANDBETWEEN(1,$E$3)),"")</x:f>
      </x:c>
      <x:c r="AN115" s="68" t="str">
        <x:f>IF(COLUMN()-2&lt;=$E$3,INDEX($B$10:$B$59,RANDBETWEEN(1,$E$3)),"")</x:f>
      </x:c>
      <x:c r="AO115" s="68" t="str">
        <x:f>IF(COLUMN()-2&lt;=$E$3,INDEX($B$10:$B$59,RANDBETWEEN(1,$E$3)),"")</x:f>
      </x:c>
      <x:c r="AP115" s="68" t="str">
        <x:f>IF(COLUMN()-2&lt;=$E$3,INDEX($B$10:$B$59,RANDBETWEEN(1,$E$3)),"")</x:f>
      </x:c>
      <x:c r="AQ115" s="68" t="str">
        <x:f>IF(COLUMN()-2&lt;=$E$3,INDEX($B$10:$B$59,RANDBETWEEN(1,$E$3)),"")</x:f>
      </x:c>
      <x:c r="AR115" s="68" t="str">
        <x:f>IF(COLUMN()-2&lt;=$E$3,INDEX($B$10:$B$59,RANDBETWEEN(1,$E$3)),"")</x:f>
      </x:c>
      <x:c r="AS115" s="68" t="str">
        <x:f>IF(COLUMN()-2&lt;=$E$3,INDEX($B$10:$B$59,RANDBETWEEN(1,$E$3)),"")</x:f>
      </x:c>
      <x:c r="AT115" s="68" t="str">
        <x:f>IF(COLUMN()-2&lt;=$E$3,INDEX($B$10:$B$59,RANDBETWEEN(1,$E$3)),"")</x:f>
      </x:c>
      <x:c r="AU115" s="68" t="str">
        <x:f>IF(COLUMN()-2&lt;=$E$3,INDEX($B$10:$B$59,RANDBETWEEN(1,$E$3)),"")</x:f>
      </x:c>
      <x:c r="AV115" s="68" t="str">
        <x:f>IF(COLUMN()-2&lt;=$E$3,INDEX($B$10:$B$59,RANDBETWEEN(1,$E$3)),"")</x:f>
      </x:c>
      <x:c r="AW115" s="68" t="str">
        <x:f>IF(COLUMN()-2&lt;=$E$3,INDEX($B$10:$B$59,RANDBETWEEN(1,$E$3)),"")</x:f>
      </x:c>
      <x:c r="AX115" s="68" t="str">
        <x:f>IF(COLUMN()-2&lt;=$E$3,INDEX($B$10:$B$59,RANDBETWEEN(1,$E$3)),"")</x:f>
      </x:c>
      <x:c r="AY115" s="68" t="str">
        <x:f>IF(COLUMN()-2&lt;=$E$3,INDEX($B$10:$B$59,RANDBETWEEN(1,$E$3)),"")</x:f>
      </x:c>
      <x:c r="AZ115" s="68" t="str">
        <x:f>IF(COLUMN()-2&lt;=$E$3,INDEX($B$10:$B$59,RANDBETWEEN(1,$E$3)),"")</x:f>
      </x:c>
      <x:c r="BA115" s="68" t="str">
        <x:f>IF($E$3=0,"",AVERAGE(C115:AZ115))</x:f>
      </x:c>
    </x:row>
    <x:row r="116">
      <x:c r="A116" t="n">
        <x:v>52</x:v>
      </x:c>
      <x:c r="C116" s="68" t="str">
        <x:f>IF(COLUMN()-2&lt;=$E$3,INDEX($B$10:$B$59,RANDBETWEEN(1,$E$3)),"")</x:f>
      </x:c>
      <x:c r="D116" s="68" t="str">
        <x:f>IF(COLUMN()-2&lt;=$E$3,INDEX($B$10:$B$59,RANDBETWEEN(1,$E$3)),"")</x:f>
      </x:c>
      <x:c r="E116" s="68" t="str">
        <x:f>IF(COLUMN()-2&lt;=$E$3,INDEX($B$10:$B$59,RANDBETWEEN(1,$E$3)),"")</x:f>
      </x:c>
      <x:c r="F116" s="68" t="str">
        <x:f>IF(COLUMN()-2&lt;=$E$3,INDEX($B$10:$B$59,RANDBETWEEN(1,$E$3)),"")</x:f>
      </x:c>
      <x:c r="G116" s="68" t="str">
        <x:f>IF(COLUMN()-2&lt;=$E$3,INDEX($B$10:$B$59,RANDBETWEEN(1,$E$3)),"")</x:f>
      </x:c>
      <x:c r="H116" s="68" t="str">
        <x:f>IF(COLUMN()-2&lt;=$E$3,INDEX($B$10:$B$59,RANDBETWEEN(1,$E$3)),"")</x:f>
      </x:c>
      <x:c r="I116" s="68" t="str">
        <x:f>IF(COLUMN()-2&lt;=$E$3,INDEX($B$10:$B$59,RANDBETWEEN(1,$E$3)),"")</x:f>
      </x:c>
      <x:c r="J116" s="68" t="str">
        <x:f>IF(COLUMN()-2&lt;=$E$3,INDEX($B$10:$B$59,RANDBETWEEN(1,$E$3)),"")</x:f>
      </x:c>
      <x:c r="K116" s="68" t="str">
        <x:f>IF(COLUMN()-2&lt;=$E$3,INDEX($B$10:$B$59,RANDBETWEEN(1,$E$3)),"")</x:f>
      </x:c>
      <x:c r="L116" s="68" t="str">
        <x:f>IF(COLUMN()-2&lt;=$E$3,INDEX($B$10:$B$59,RANDBETWEEN(1,$E$3)),"")</x:f>
      </x:c>
      <x:c r="M116" s="68" t="str">
        <x:f>IF(COLUMN()-2&lt;=$E$3,INDEX($B$10:$B$59,RANDBETWEEN(1,$E$3)),"")</x:f>
      </x:c>
      <x:c r="N116" s="68" t="str">
        <x:f>IF(COLUMN()-2&lt;=$E$3,INDEX($B$10:$B$59,RANDBETWEEN(1,$E$3)),"")</x:f>
      </x:c>
      <x:c r="O116" s="68" t="str">
        <x:f>IF(COLUMN()-2&lt;=$E$3,INDEX($B$10:$B$59,RANDBETWEEN(1,$E$3)),"")</x:f>
      </x:c>
      <x:c r="P116" s="68" t="str">
        <x:f>IF(COLUMN()-2&lt;=$E$3,INDEX($B$10:$B$59,RANDBETWEEN(1,$E$3)),"")</x:f>
      </x:c>
      <x:c r="Q116" s="68" t="str">
        <x:f>IF(COLUMN()-2&lt;=$E$3,INDEX($B$10:$B$59,RANDBETWEEN(1,$E$3)),"")</x:f>
      </x:c>
      <x:c r="R116" s="68" t="str">
        <x:f>IF(COLUMN()-2&lt;=$E$3,INDEX($B$10:$B$59,RANDBETWEEN(1,$E$3)),"")</x:f>
      </x:c>
      <x:c r="S116" s="68" t="str">
        <x:f>IF(COLUMN()-2&lt;=$E$3,INDEX($B$10:$B$59,RANDBETWEEN(1,$E$3)),"")</x:f>
      </x:c>
      <x:c r="T116" s="68" t="str">
        <x:f>IF(COLUMN()-2&lt;=$E$3,INDEX($B$10:$B$59,RANDBETWEEN(1,$E$3)),"")</x:f>
      </x:c>
      <x:c r="U116" s="68" t="str">
        <x:f>IF(COLUMN()-2&lt;=$E$3,INDEX($B$10:$B$59,RANDBETWEEN(1,$E$3)),"")</x:f>
      </x:c>
      <x:c r="V116" s="68" t="str">
        <x:f>IF(COLUMN()-2&lt;=$E$3,INDEX($B$10:$B$59,RANDBETWEEN(1,$E$3)),"")</x:f>
      </x:c>
      <x:c r="W116" s="68" t="str">
        <x:f>IF(COLUMN()-2&lt;=$E$3,INDEX($B$10:$B$59,RANDBETWEEN(1,$E$3)),"")</x:f>
      </x:c>
      <x:c r="X116" s="68" t="str">
        <x:f>IF(COLUMN()-2&lt;=$E$3,INDEX($B$10:$B$59,RANDBETWEEN(1,$E$3)),"")</x:f>
      </x:c>
      <x:c r="Y116" s="68" t="str">
        <x:f>IF(COLUMN()-2&lt;=$E$3,INDEX($B$10:$B$59,RANDBETWEEN(1,$E$3)),"")</x:f>
      </x:c>
      <x:c r="Z116" s="68" t="str">
        <x:f>IF(COLUMN()-2&lt;=$E$3,INDEX($B$10:$B$59,RANDBETWEEN(1,$E$3)),"")</x:f>
      </x:c>
      <x:c r="AA116" s="68" t="str">
        <x:f>IF(COLUMN()-2&lt;=$E$3,INDEX($B$10:$B$59,RANDBETWEEN(1,$E$3)),"")</x:f>
      </x:c>
      <x:c r="AB116" s="68" t="str">
        <x:f>IF(COLUMN()-2&lt;=$E$3,INDEX($B$10:$B$59,RANDBETWEEN(1,$E$3)),"")</x:f>
      </x:c>
      <x:c r="AC116" s="68" t="str">
        <x:f>IF(COLUMN()-2&lt;=$E$3,INDEX($B$10:$B$59,RANDBETWEEN(1,$E$3)),"")</x:f>
      </x:c>
      <x:c r="AD116" s="68" t="str">
        <x:f>IF(COLUMN()-2&lt;=$E$3,INDEX($B$10:$B$59,RANDBETWEEN(1,$E$3)),"")</x:f>
      </x:c>
      <x:c r="AE116" s="68" t="str">
        <x:f>IF(COLUMN()-2&lt;=$E$3,INDEX($B$10:$B$59,RANDBETWEEN(1,$E$3)),"")</x:f>
      </x:c>
      <x:c r="AF116" s="68" t="str">
        <x:f>IF(COLUMN()-2&lt;=$E$3,INDEX($B$10:$B$59,RANDBETWEEN(1,$E$3)),"")</x:f>
      </x:c>
      <x:c r="AG116" s="68" t="str">
        <x:f>IF(COLUMN()-2&lt;=$E$3,INDEX($B$10:$B$59,RANDBETWEEN(1,$E$3)),"")</x:f>
      </x:c>
      <x:c r="AH116" s="68" t="str">
        <x:f>IF(COLUMN()-2&lt;=$E$3,INDEX($B$10:$B$59,RANDBETWEEN(1,$E$3)),"")</x:f>
      </x:c>
      <x:c r="AI116" s="68" t="str">
        <x:f>IF(COLUMN()-2&lt;=$E$3,INDEX($B$10:$B$59,RANDBETWEEN(1,$E$3)),"")</x:f>
      </x:c>
      <x:c r="AJ116" s="68" t="str">
        <x:f>IF(COLUMN()-2&lt;=$E$3,INDEX($B$10:$B$59,RANDBETWEEN(1,$E$3)),"")</x:f>
      </x:c>
      <x:c r="AK116" s="68" t="str">
        <x:f>IF(COLUMN()-2&lt;=$E$3,INDEX($B$10:$B$59,RANDBETWEEN(1,$E$3)),"")</x:f>
      </x:c>
      <x:c r="AL116" s="68" t="str">
        <x:f>IF(COLUMN()-2&lt;=$E$3,INDEX($B$10:$B$59,RANDBETWEEN(1,$E$3)),"")</x:f>
      </x:c>
      <x:c r="AM116" s="68" t="str">
        <x:f>IF(COLUMN()-2&lt;=$E$3,INDEX($B$10:$B$59,RANDBETWEEN(1,$E$3)),"")</x:f>
      </x:c>
      <x:c r="AN116" s="68" t="str">
        <x:f>IF(COLUMN()-2&lt;=$E$3,INDEX($B$10:$B$59,RANDBETWEEN(1,$E$3)),"")</x:f>
      </x:c>
      <x:c r="AO116" s="68" t="str">
        <x:f>IF(COLUMN()-2&lt;=$E$3,INDEX($B$10:$B$59,RANDBETWEEN(1,$E$3)),"")</x:f>
      </x:c>
      <x:c r="AP116" s="68" t="str">
        <x:f>IF(COLUMN()-2&lt;=$E$3,INDEX($B$10:$B$59,RANDBETWEEN(1,$E$3)),"")</x:f>
      </x:c>
      <x:c r="AQ116" s="68" t="str">
        <x:f>IF(COLUMN()-2&lt;=$E$3,INDEX($B$10:$B$59,RANDBETWEEN(1,$E$3)),"")</x:f>
      </x:c>
      <x:c r="AR116" s="68" t="str">
        <x:f>IF(COLUMN()-2&lt;=$E$3,INDEX($B$10:$B$59,RANDBETWEEN(1,$E$3)),"")</x:f>
      </x:c>
      <x:c r="AS116" s="68" t="str">
        <x:f>IF(COLUMN()-2&lt;=$E$3,INDEX($B$10:$B$59,RANDBETWEEN(1,$E$3)),"")</x:f>
      </x:c>
      <x:c r="AT116" s="68" t="str">
        <x:f>IF(COLUMN()-2&lt;=$E$3,INDEX($B$10:$B$59,RANDBETWEEN(1,$E$3)),"")</x:f>
      </x:c>
      <x:c r="AU116" s="68" t="str">
        <x:f>IF(COLUMN()-2&lt;=$E$3,INDEX($B$10:$B$59,RANDBETWEEN(1,$E$3)),"")</x:f>
      </x:c>
      <x:c r="AV116" s="68" t="str">
        <x:f>IF(COLUMN()-2&lt;=$E$3,INDEX($B$10:$B$59,RANDBETWEEN(1,$E$3)),"")</x:f>
      </x:c>
      <x:c r="AW116" s="68" t="str">
        <x:f>IF(COLUMN()-2&lt;=$E$3,INDEX($B$10:$B$59,RANDBETWEEN(1,$E$3)),"")</x:f>
      </x:c>
      <x:c r="AX116" s="68" t="str">
        <x:f>IF(COLUMN()-2&lt;=$E$3,INDEX($B$10:$B$59,RANDBETWEEN(1,$E$3)),"")</x:f>
      </x:c>
      <x:c r="AY116" s="68" t="str">
        <x:f>IF(COLUMN()-2&lt;=$E$3,INDEX($B$10:$B$59,RANDBETWEEN(1,$E$3)),"")</x:f>
      </x:c>
      <x:c r="AZ116" s="68" t="str">
        <x:f>IF(COLUMN()-2&lt;=$E$3,INDEX($B$10:$B$59,RANDBETWEEN(1,$E$3)),"")</x:f>
      </x:c>
      <x:c r="BA116" s="68" t="str">
        <x:f>IF($E$3=0,"",AVERAGE(C116:AZ116))</x:f>
      </x:c>
    </x:row>
    <x:row r="117">
      <x:c r="A117" t="n">
        <x:v>53</x:v>
      </x:c>
      <x:c r="C117" s="68" t="str">
        <x:f>IF(COLUMN()-2&lt;=$E$3,INDEX($B$10:$B$59,RANDBETWEEN(1,$E$3)),"")</x:f>
      </x:c>
      <x:c r="D117" s="68" t="str">
        <x:f>IF(COLUMN()-2&lt;=$E$3,INDEX($B$10:$B$59,RANDBETWEEN(1,$E$3)),"")</x:f>
      </x:c>
      <x:c r="E117" s="68" t="str">
        <x:f>IF(COLUMN()-2&lt;=$E$3,INDEX($B$10:$B$59,RANDBETWEEN(1,$E$3)),"")</x:f>
      </x:c>
      <x:c r="F117" s="68" t="str">
        <x:f>IF(COLUMN()-2&lt;=$E$3,INDEX($B$10:$B$59,RANDBETWEEN(1,$E$3)),"")</x:f>
      </x:c>
      <x:c r="G117" s="68" t="str">
        <x:f>IF(COLUMN()-2&lt;=$E$3,INDEX($B$10:$B$59,RANDBETWEEN(1,$E$3)),"")</x:f>
      </x:c>
      <x:c r="H117" s="68" t="str">
        <x:f>IF(COLUMN()-2&lt;=$E$3,INDEX($B$10:$B$59,RANDBETWEEN(1,$E$3)),"")</x:f>
      </x:c>
      <x:c r="I117" s="68" t="str">
        <x:f>IF(COLUMN()-2&lt;=$E$3,INDEX($B$10:$B$59,RANDBETWEEN(1,$E$3)),"")</x:f>
      </x:c>
      <x:c r="J117" s="68" t="str">
        <x:f>IF(COLUMN()-2&lt;=$E$3,INDEX($B$10:$B$59,RANDBETWEEN(1,$E$3)),"")</x:f>
      </x:c>
      <x:c r="K117" s="68" t="str">
        <x:f>IF(COLUMN()-2&lt;=$E$3,INDEX($B$10:$B$59,RANDBETWEEN(1,$E$3)),"")</x:f>
      </x:c>
      <x:c r="L117" s="68" t="str">
        <x:f>IF(COLUMN()-2&lt;=$E$3,INDEX($B$10:$B$59,RANDBETWEEN(1,$E$3)),"")</x:f>
      </x:c>
      <x:c r="M117" s="68" t="str">
        <x:f>IF(COLUMN()-2&lt;=$E$3,INDEX($B$10:$B$59,RANDBETWEEN(1,$E$3)),"")</x:f>
      </x:c>
      <x:c r="N117" s="68" t="str">
        <x:f>IF(COLUMN()-2&lt;=$E$3,INDEX($B$10:$B$59,RANDBETWEEN(1,$E$3)),"")</x:f>
      </x:c>
      <x:c r="O117" s="68" t="str">
        <x:f>IF(COLUMN()-2&lt;=$E$3,INDEX($B$10:$B$59,RANDBETWEEN(1,$E$3)),"")</x:f>
      </x:c>
      <x:c r="P117" s="68" t="str">
        <x:f>IF(COLUMN()-2&lt;=$E$3,INDEX($B$10:$B$59,RANDBETWEEN(1,$E$3)),"")</x:f>
      </x:c>
      <x:c r="Q117" s="68" t="str">
        <x:f>IF(COLUMN()-2&lt;=$E$3,INDEX($B$10:$B$59,RANDBETWEEN(1,$E$3)),"")</x:f>
      </x:c>
      <x:c r="R117" s="68" t="str">
        <x:f>IF(COLUMN()-2&lt;=$E$3,INDEX($B$10:$B$59,RANDBETWEEN(1,$E$3)),"")</x:f>
      </x:c>
      <x:c r="S117" s="68" t="str">
        <x:f>IF(COLUMN()-2&lt;=$E$3,INDEX($B$10:$B$59,RANDBETWEEN(1,$E$3)),"")</x:f>
      </x:c>
      <x:c r="T117" s="68" t="str">
        <x:f>IF(COLUMN()-2&lt;=$E$3,INDEX($B$10:$B$59,RANDBETWEEN(1,$E$3)),"")</x:f>
      </x:c>
      <x:c r="U117" s="68" t="str">
        <x:f>IF(COLUMN()-2&lt;=$E$3,INDEX($B$10:$B$59,RANDBETWEEN(1,$E$3)),"")</x:f>
      </x:c>
      <x:c r="V117" s="68" t="str">
        <x:f>IF(COLUMN()-2&lt;=$E$3,INDEX($B$10:$B$59,RANDBETWEEN(1,$E$3)),"")</x:f>
      </x:c>
      <x:c r="W117" s="68" t="str">
        <x:f>IF(COLUMN()-2&lt;=$E$3,INDEX($B$10:$B$59,RANDBETWEEN(1,$E$3)),"")</x:f>
      </x:c>
      <x:c r="X117" s="68" t="str">
        <x:f>IF(COLUMN()-2&lt;=$E$3,INDEX($B$10:$B$59,RANDBETWEEN(1,$E$3)),"")</x:f>
      </x:c>
      <x:c r="Y117" s="68" t="str">
        <x:f>IF(COLUMN()-2&lt;=$E$3,INDEX($B$10:$B$59,RANDBETWEEN(1,$E$3)),"")</x:f>
      </x:c>
      <x:c r="Z117" s="68" t="str">
        <x:f>IF(COLUMN()-2&lt;=$E$3,INDEX($B$10:$B$59,RANDBETWEEN(1,$E$3)),"")</x:f>
      </x:c>
      <x:c r="AA117" s="68" t="str">
        <x:f>IF(COLUMN()-2&lt;=$E$3,INDEX($B$10:$B$59,RANDBETWEEN(1,$E$3)),"")</x:f>
      </x:c>
      <x:c r="AB117" s="68" t="str">
        <x:f>IF(COLUMN()-2&lt;=$E$3,INDEX($B$10:$B$59,RANDBETWEEN(1,$E$3)),"")</x:f>
      </x:c>
      <x:c r="AC117" s="68" t="str">
        <x:f>IF(COLUMN()-2&lt;=$E$3,INDEX($B$10:$B$59,RANDBETWEEN(1,$E$3)),"")</x:f>
      </x:c>
      <x:c r="AD117" s="68" t="str">
        <x:f>IF(COLUMN()-2&lt;=$E$3,INDEX($B$10:$B$59,RANDBETWEEN(1,$E$3)),"")</x:f>
      </x:c>
      <x:c r="AE117" s="68" t="str">
        <x:f>IF(COLUMN()-2&lt;=$E$3,INDEX($B$10:$B$59,RANDBETWEEN(1,$E$3)),"")</x:f>
      </x:c>
      <x:c r="AF117" s="68" t="str">
        <x:f>IF(COLUMN()-2&lt;=$E$3,INDEX($B$10:$B$59,RANDBETWEEN(1,$E$3)),"")</x:f>
      </x:c>
      <x:c r="AG117" s="68" t="str">
        <x:f>IF(COLUMN()-2&lt;=$E$3,INDEX($B$10:$B$59,RANDBETWEEN(1,$E$3)),"")</x:f>
      </x:c>
      <x:c r="AH117" s="68" t="str">
        <x:f>IF(COLUMN()-2&lt;=$E$3,INDEX($B$10:$B$59,RANDBETWEEN(1,$E$3)),"")</x:f>
      </x:c>
      <x:c r="AI117" s="68" t="str">
        <x:f>IF(COLUMN()-2&lt;=$E$3,INDEX($B$10:$B$59,RANDBETWEEN(1,$E$3)),"")</x:f>
      </x:c>
      <x:c r="AJ117" s="68" t="str">
        <x:f>IF(COLUMN()-2&lt;=$E$3,INDEX($B$10:$B$59,RANDBETWEEN(1,$E$3)),"")</x:f>
      </x:c>
      <x:c r="AK117" s="68" t="str">
        <x:f>IF(COLUMN()-2&lt;=$E$3,INDEX($B$10:$B$59,RANDBETWEEN(1,$E$3)),"")</x:f>
      </x:c>
      <x:c r="AL117" s="68" t="str">
        <x:f>IF(COLUMN()-2&lt;=$E$3,INDEX($B$10:$B$59,RANDBETWEEN(1,$E$3)),"")</x:f>
      </x:c>
      <x:c r="AM117" s="68" t="str">
        <x:f>IF(COLUMN()-2&lt;=$E$3,INDEX($B$10:$B$59,RANDBETWEEN(1,$E$3)),"")</x:f>
      </x:c>
      <x:c r="AN117" s="68" t="str">
        <x:f>IF(COLUMN()-2&lt;=$E$3,INDEX($B$10:$B$59,RANDBETWEEN(1,$E$3)),"")</x:f>
      </x:c>
      <x:c r="AO117" s="68" t="str">
        <x:f>IF(COLUMN()-2&lt;=$E$3,INDEX($B$10:$B$59,RANDBETWEEN(1,$E$3)),"")</x:f>
      </x:c>
      <x:c r="AP117" s="68" t="str">
        <x:f>IF(COLUMN()-2&lt;=$E$3,INDEX($B$10:$B$59,RANDBETWEEN(1,$E$3)),"")</x:f>
      </x:c>
      <x:c r="AQ117" s="68" t="str">
        <x:f>IF(COLUMN()-2&lt;=$E$3,INDEX($B$10:$B$59,RANDBETWEEN(1,$E$3)),"")</x:f>
      </x:c>
      <x:c r="AR117" s="68" t="str">
        <x:f>IF(COLUMN()-2&lt;=$E$3,INDEX($B$10:$B$59,RANDBETWEEN(1,$E$3)),"")</x:f>
      </x:c>
      <x:c r="AS117" s="68" t="str">
        <x:f>IF(COLUMN()-2&lt;=$E$3,INDEX($B$10:$B$59,RANDBETWEEN(1,$E$3)),"")</x:f>
      </x:c>
      <x:c r="AT117" s="68" t="str">
        <x:f>IF(COLUMN()-2&lt;=$E$3,INDEX($B$10:$B$59,RANDBETWEEN(1,$E$3)),"")</x:f>
      </x:c>
      <x:c r="AU117" s="68" t="str">
        <x:f>IF(COLUMN()-2&lt;=$E$3,INDEX($B$10:$B$59,RANDBETWEEN(1,$E$3)),"")</x:f>
      </x:c>
      <x:c r="AV117" s="68" t="str">
        <x:f>IF(COLUMN()-2&lt;=$E$3,INDEX($B$10:$B$59,RANDBETWEEN(1,$E$3)),"")</x:f>
      </x:c>
      <x:c r="AW117" s="68" t="str">
        <x:f>IF(COLUMN()-2&lt;=$E$3,INDEX($B$10:$B$59,RANDBETWEEN(1,$E$3)),"")</x:f>
      </x:c>
      <x:c r="AX117" s="68" t="str">
        <x:f>IF(COLUMN()-2&lt;=$E$3,INDEX($B$10:$B$59,RANDBETWEEN(1,$E$3)),"")</x:f>
      </x:c>
      <x:c r="AY117" s="68" t="str">
        <x:f>IF(COLUMN()-2&lt;=$E$3,INDEX($B$10:$B$59,RANDBETWEEN(1,$E$3)),"")</x:f>
      </x:c>
      <x:c r="AZ117" s="68" t="str">
        <x:f>IF(COLUMN()-2&lt;=$E$3,INDEX($B$10:$B$59,RANDBETWEEN(1,$E$3)),"")</x:f>
      </x:c>
      <x:c r="BA117" s="68" t="str">
        <x:f>IF($E$3=0,"",AVERAGE(C117:AZ117))</x:f>
      </x:c>
    </x:row>
    <x:row r="118">
      <x:c r="A118" t="n">
        <x:v>54</x:v>
      </x:c>
      <x:c r="C118" s="68" t="str">
        <x:f>IF(COLUMN()-2&lt;=$E$3,INDEX($B$10:$B$59,RANDBETWEEN(1,$E$3)),"")</x:f>
      </x:c>
      <x:c r="D118" s="68" t="str">
        <x:f>IF(COLUMN()-2&lt;=$E$3,INDEX($B$10:$B$59,RANDBETWEEN(1,$E$3)),"")</x:f>
      </x:c>
      <x:c r="E118" s="68" t="str">
        <x:f>IF(COLUMN()-2&lt;=$E$3,INDEX($B$10:$B$59,RANDBETWEEN(1,$E$3)),"")</x:f>
      </x:c>
      <x:c r="F118" s="68" t="str">
        <x:f>IF(COLUMN()-2&lt;=$E$3,INDEX($B$10:$B$59,RANDBETWEEN(1,$E$3)),"")</x:f>
      </x:c>
      <x:c r="G118" s="68" t="str">
        <x:f>IF(COLUMN()-2&lt;=$E$3,INDEX($B$10:$B$59,RANDBETWEEN(1,$E$3)),"")</x:f>
      </x:c>
      <x:c r="H118" s="68" t="str">
        <x:f>IF(COLUMN()-2&lt;=$E$3,INDEX($B$10:$B$59,RANDBETWEEN(1,$E$3)),"")</x:f>
      </x:c>
      <x:c r="I118" s="68" t="str">
        <x:f>IF(COLUMN()-2&lt;=$E$3,INDEX($B$10:$B$59,RANDBETWEEN(1,$E$3)),"")</x:f>
      </x:c>
      <x:c r="J118" s="68" t="str">
        <x:f>IF(COLUMN()-2&lt;=$E$3,INDEX($B$10:$B$59,RANDBETWEEN(1,$E$3)),"")</x:f>
      </x:c>
      <x:c r="K118" s="68" t="str">
        <x:f>IF(COLUMN()-2&lt;=$E$3,INDEX($B$10:$B$59,RANDBETWEEN(1,$E$3)),"")</x:f>
      </x:c>
      <x:c r="L118" s="68" t="str">
        <x:f>IF(COLUMN()-2&lt;=$E$3,INDEX($B$10:$B$59,RANDBETWEEN(1,$E$3)),"")</x:f>
      </x:c>
      <x:c r="M118" s="68" t="str">
        <x:f>IF(COLUMN()-2&lt;=$E$3,INDEX($B$10:$B$59,RANDBETWEEN(1,$E$3)),"")</x:f>
      </x:c>
      <x:c r="N118" s="68" t="str">
        <x:f>IF(COLUMN()-2&lt;=$E$3,INDEX($B$10:$B$59,RANDBETWEEN(1,$E$3)),"")</x:f>
      </x:c>
      <x:c r="O118" s="68" t="str">
        <x:f>IF(COLUMN()-2&lt;=$E$3,INDEX($B$10:$B$59,RANDBETWEEN(1,$E$3)),"")</x:f>
      </x:c>
      <x:c r="P118" s="68" t="str">
        <x:f>IF(COLUMN()-2&lt;=$E$3,INDEX($B$10:$B$59,RANDBETWEEN(1,$E$3)),"")</x:f>
      </x:c>
      <x:c r="Q118" s="68" t="str">
        <x:f>IF(COLUMN()-2&lt;=$E$3,INDEX($B$10:$B$59,RANDBETWEEN(1,$E$3)),"")</x:f>
      </x:c>
      <x:c r="R118" s="68" t="str">
        <x:f>IF(COLUMN()-2&lt;=$E$3,INDEX($B$10:$B$59,RANDBETWEEN(1,$E$3)),"")</x:f>
      </x:c>
      <x:c r="S118" s="68" t="str">
        <x:f>IF(COLUMN()-2&lt;=$E$3,INDEX($B$10:$B$59,RANDBETWEEN(1,$E$3)),"")</x:f>
      </x:c>
      <x:c r="T118" s="68" t="str">
        <x:f>IF(COLUMN()-2&lt;=$E$3,INDEX($B$10:$B$59,RANDBETWEEN(1,$E$3)),"")</x:f>
      </x:c>
      <x:c r="U118" s="68" t="str">
        <x:f>IF(COLUMN()-2&lt;=$E$3,INDEX($B$10:$B$59,RANDBETWEEN(1,$E$3)),"")</x:f>
      </x:c>
      <x:c r="V118" s="68" t="str">
        <x:f>IF(COLUMN()-2&lt;=$E$3,INDEX($B$10:$B$59,RANDBETWEEN(1,$E$3)),"")</x:f>
      </x:c>
      <x:c r="W118" s="68" t="str">
        <x:f>IF(COLUMN()-2&lt;=$E$3,INDEX($B$10:$B$59,RANDBETWEEN(1,$E$3)),"")</x:f>
      </x:c>
      <x:c r="X118" s="68" t="str">
        <x:f>IF(COLUMN()-2&lt;=$E$3,INDEX($B$10:$B$59,RANDBETWEEN(1,$E$3)),"")</x:f>
      </x:c>
      <x:c r="Y118" s="68" t="str">
        <x:f>IF(COLUMN()-2&lt;=$E$3,INDEX($B$10:$B$59,RANDBETWEEN(1,$E$3)),"")</x:f>
      </x:c>
      <x:c r="Z118" s="68" t="str">
        <x:f>IF(COLUMN()-2&lt;=$E$3,INDEX($B$10:$B$59,RANDBETWEEN(1,$E$3)),"")</x:f>
      </x:c>
      <x:c r="AA118" s="68" t="str">
        <x:f>IF(COLUMN()-2&lt;=$E$3,INDEX($B$10:$B$59,RANDBETWEEN(1,$E$3)),"")</x:f>
      </x:c>
      <x:c r="AB118" s="68" t="str">
        <x:f>IF(COLUMN()-2&lt;=$E$3,INDEX($B$10:$B$59,RANDBETWEEN(1,$E$3)),"")</x:f>
      </x:c>
      <x:c r="AC118" s="68" t="str">
        <x:f>IF(COLUMN()-2&lt;=$E$3,INDEX($B$10:$B$59,RANDBETWEEN(1,$E$3)),"")</x:f>
      </x:c>
      <x:c r="AD118" s="68" t="str">
        <x:f>IF(COLUMN()-2&lt;=$E$3,INDEX($B$10:$B$59,RANDBETWEEN(1,$E$3)),"")</x:f>
      </x:c>
      <x:c r="AE118" s="68" t="str">
        <x:f>IF(COLUMN()-2&lt;=$E$3,INDEX($B$10:$B$59,RANDBETWEEN(1,$E$3)),"")</x:f>
      </x:c>
      <x:c r="AF118" s="68" t="str">
        <x:f>IF(COLUMN()-2&lt;=$E$3,INDEX($B$10:$B$59,RANDBETWEEN(1,$E$3)),"")</x:f>
      </x:c>
      <x:c r="AG118" s="68" t="str">
        <x:f>IF(COLUMN()-2&lt;=$E$3,INDEX($B$10:$B$59,RANDBETWEEN(1,$E$3)),"")</x:f>
      </x:c>
      <x:c r="AH118" s="68" t="str">
        <x:f>IF(COLUMN()-2&lt;=$E$3,INDEX($B$10:$B$59,RANDBETWEEN(1,$E$3)),"")</x:f>
      </x:c>
      <x:c r="AI118" s="68" t="str">
        <x:f>IF(COLUMN()-2&lt;=$E$3,INDEX($B$10:$B$59,RANDBETWEEN(1,$E$3)),"")</x:f>
      </x:c>
      <x:c r="AJ118" s="68" t="str">
        <x:f>IF(COLUMN()-2&lt;=$E$3,INDEX($B$10:$B$59,RANDBETWEEN(1,$E$3)),"")</x:f>
      </x:c>
      <x:c r="AK118" s="68" t="str">
        <x:f>IF(COLUMN()-2&lt;=$E$3,INDEX($B$10:$B$59,RANDBETWEEN(1,$E$3)),"")</x:f>
      </x:c>
      <x:c r="AL118" s="68" t="str">
        <x:f>IF(COLUMN()-2&lt;=$E$3,INDEX($B$10:$B$59,RANDBETWEEN(1,$E$3)),"")</x:f>
      </x:c>
      <x:c r="AM118" s="68" t="str">
        <x:f>IF(COLUMN()-2&lt;=$E$3,INDEX($B$10:$B$59,RANDBETWEEN(1,$E$3)),"")</x:f>
      </x:c>
      <x:c r="AN118" s="68" t="str">
        <x:f>IF(COLUMN()-2&lt;=$E$3,INDEX($B$10:$B$59,RANDBETWEEN(1,$E$3)),"")</x:f>
      </x:c>
      <x:c r="AO118" s="68" t="str">
        <x:f>IF(COLUMN()-2&lt;=$E$3,INDEX($B$10:$B$59,RANDBETWEEN(1,$E$3)),"")</x:f>
      </x:c>
      <x:c r="AP118" s="68" t="str">
        <x:f>IF(COLUMN()-2&lt;=$E$3,INDEX($B$10:$B$59,RANDBETWEEN(1,$E$3)),"")</x:f>
      </x:c>
      <x:c r="AQ118" s="68" t="str">
        <x:f>IF(COLUMN()-2&lt;=$E$3,INDEX($B$10:$B$59,RANDBETWEEN(1,$E$3)),"")</x:f>
      </x:c>
      <x:c r="AR118" s="68" t="str">
        <x:f>IF(COLUMN()-2&lt;=$E$3,INDEX($B$10:$B$59,RANDBETWEEN(1,$E$3)),"")</x:f>
      </x:c>
      <x:c r="AS118" s="68" t="str">
        <x:f>IF(COLUMN()-2&lt;=$E$3,INDEX($B$10:$B$59,RANDBETWEEN(1,$E$3)),"")</x:f>
      </x:c>
      <x:c r="AT118" s="68" t="str">
        <x:f>IF(COLUMN()-2&lt;=$E$3,INDEX($B$10:$B$59,RANDBETWEEN(1,$E$3)),"")</x:f>
      </x:c>
      <x:c r="AU118" s="68" t="str">
        <x:f>IF(COLUMN()-2&lt;=$E$3,INDEX($B$10:$B$59,RANDBETWEEN(1,$E$3)),"")</x:f>
      </x:c>
      <x:c r="AV118" s="68" t="str">
        <x:f>IF(COLUMN()-2&lt;=$E$3,INDEX($B$10:$B$59,RANDBETWEEN(1,$E$3)),"")</x:f>
      </x:c>
      <x:c r="AW118" s="68" t="str">
        <x:f>IF(COLUMN()-2&lt;=$E$3,INDEX($B$10:$B$59,RANDBETWEEN(1,$E$3)),"")</x:f>
      </x:c>
      <x:c r="AX118" s="68" t="str">
        <x:f>IF(COLUMN()-2&lt;=$E$3,INDEX($B$10:$B$59,RANDBETWEEN(1,$E$3)),"")</x:f>
      </x:c>
      <x:c r="AY118" s="68" t="str">
        <x:f>IF(COLUMN()-2&lt;=$E$3,INDEX($B$10:$B$59,RANDBETWEEN(1,$E$3)),"")</x:f>
      </x:c>
      <x:c r="AZ118" s="68" t="str">
        <x:f>IF(COLUMN()-2&lt;=$E$3,INDEX($B$10:$B$59,RANDBETWEEN(1,$E$3)),"")</x:f>
      </x:c>
      <x:c r="BA118" s="68" t="str">
        <x:f>IF($E$3=0,"",AVERAGE(C118:AZ118))</x:f>
      </x:c>
    </x:row>
    <x:row r="119">
      <x:c r="A119" t="n">
        <x:v>55</x:v>
      </x:c>
      <x:c r="C119" s="68" t="str">
        <x:f>IF(COLUMN()-2&lt;=$E$3,INDEX($B$10:$B$59,RANDBETWEEN(1,$E$3)),"")</x:f>
      </x:c>
      <x:c r="D119" s="68" t="str">
        <x:f>IF(COLUMN()-2&lt;=$E$3,INDEX($B$10:$B$59,RANDBETWEEN(1,$E$3)),"")</x:f>
      </x:c>
      <x:c r="E119" s="68" t="str">
        <x:f>IF(COLUMN()-2&lt;=$E$3,INDEX($B$10:$B$59,RANDBETWEEN(1,$E$3)),"")</x:f>
      </x:c>
      <x:c r="F119" s="68" t="str">
        <x:f>IF(COLUMN()-2&lt;=$E$3,INDEX($B$10:$B$59,RANDBETWEEN(1,$E$3)),"")</x:f>
      </x:c>
      <x:c r="G119" s="68" t="str">
        <x:f>IF(COLUMN()-2&lt;=$E$3,INDEX($B$10:$B$59,RANDBETWEEN(1,$E$3)),"")</x:f>
      </x:c>
      <x:c r="H119" s="68" t="str">
        <x:f>IF(COLUMN()-2&lt;=$E$3,INDEX($B$10:$B$59,RANDBETWEEN(1,$E$3)),"")</x:f>
      </x:c>
      <x:c r="I119" s="68" t="str">
        <x:f>IF(COLUMN()-2&lt;=$E$3,INDEX($B$10:$B$59,RANDBETWEEN(1,$E$3)),"")</x:f>
      </x:c>
      <x:c r="J119" s="68" t="str">
        <x:f>IF(COLUMN()-2&lt;=$E$3,INDEX($B$10:$B$59,RANDBETWEEN(1,$E$3)),"")</x:f>
      </x:c>
      <x:c r="K119" s="68" t="str">
        <x:f>IF(COLUMN()-2&lt;=$E$3,INDEX($B$10:$B$59,RANDBETWEEN(1,$E$3)),"")</x:f>
      </x:c>
      <x:c r="L119" s="68" t="str">
        <x:f>IF(COLUMN()-2&lt;=$E$3,INDEX($B$10:$B$59,RANDBETWEEN(1,$E$3)),"")</x:f>
      </x:c>
      <x:c r="M119" s="68" t="str">
        <x:f>IF(COLUMN()-2&lt;=$E$3,INDEX($B$10:$B$59,RANDBETWEEN(1,$E$3)),"")</x:f>
      </x:c>
      <x:c r="N119" s="68" t="str">
        <x:f>IF(COLUMN()-2&lt;=$E$3,INDEX($B$10:$B$59,RANDBETWEEN(1,$E$3)),"")</x:f>
      </x:c>
      <x:c r="O119" s="68" t="str">
        <x:f>IF(COLUMN()-2&lt;=$E$3,INDEX($B$10:$B$59,RANDBETWEEN(1,$E$3)),"")</x:f>
      </x:c>
      <x:c r="P119" s="68" t="str">
        <x:f>IF(COLUMN()-2&lt;=$E$3,INDEX($B$10:$B$59,RANDBETWEEN(1,$E$3)),"")</x:f>
      </x:c>
      <x:c r="Q119" s="68" t="str">
        <x:f>IF(COLUMN()-2&lt;=$E$3,INDEX($B$10:$B$59,RANDBETWEEN(1,$E$3)),"")</x:f>
      </x:c>
      <x:c r="R119" s="68" t="str">
        <x:f>IF(COLUMN()-2&lt;=$E$3,INDEX($B$10:$B$59,RANDBETWEEN(1,$E$3)),"")</x:f>
      </x:c>
      <x:c r="S119" s="68" t="str">
        <x:f>IF(COLUMN()-2&lt;=$E$3,INDEX($B$10:$B$59,RANDBETWEEN(1,$E$3)),"")</x:f>
      </x:c>
      <x:c r="T119" s="68" t="str">
        <x:f>IF(COLUMN()-2&lt;=$E$3,INDEX($B$10:$B$59,RANDBETWEEN(1,$E$3)),"")</x:f>
      </x:c>
      <x:c r="U119" s="68" t="str">
        <x:f>IF(COLUMN()-2&lt;=$E$3,INDEX($B$10:$B$59,RANDBETWEEN(1,$E$3)),"")</x:f>
      </x:c>
      <x:c r="V119" s="68" t="str">
        <x:f>IF(COLUMN()-2&lt;=$E$3,INDEX($B$10:$B$59,RANDBETWEEN(1,$E$3)),"")</x:f>
      </x:c>
      <x:c r="W119" s="68" t="str">
        <x:f>IF(COLUMN()-2&lt;=$E$3,INDEX($B$10:$B$59,RANDBETWEEN(1,$E$3)),"")</x:f>
      </x:c>
      <x:c r="X119" s="68" t="str">
        <x:f>IF(COLUMN()-2&lt;=$E$3,INDEX($B$10:$B$59,RANDBETWEEN(1,$E$3)),"")</x:f>
      </x:c>
      <x:c r="Y119" s="68" t="str">
        <x:f>IF(COLUMN()-2&lt;=$E$3,INDEX($B$10:$B$59,RANDBETWEEN(1,$E$3)),"")</x:f>
      </x:c>
      <x:c r="Z119" s="68" t="str">
        <x:f>IF(COLUMN()-2&lt;=$E$3,INDEX($B$10:$B$59,RANDBETWEEN(1,$E$3)),"")</x:f>
      </x:c>
      <x:c r="AA119" s="68" t="str">
        <x:f>IF(COLUMN()-2&lt;=$E$3,INDEX($B$10:$B$59,RANDBETWEEN(1,$E$3)),"")</x:f>
      </x:c>
      <x:c r="AB119" s="68" t="str">
        <x:f>IF(COLUMN()-2&lt;=$E$3,INDEX($B$10:$B$59,RANDBETWEEN(1,$E$3)),"")</x:f>
      </x:c>
      <x:c r="AC119" s="68" t="str">
        <x:f>IF(COLUMN()-2&lt;=$E$3,INDEX($B$10:$B$59,RANDBETWEEN(1,$E$3)),"")</x:f>
      </x:c>
      <x:c r="AD119" s="68" t="str">
        <x:f>IF(COLUMN()-2&lt;=$E$3,INDEX($B$10:$B$59,RANDBETWEEN(1,$E$3)),"")</x:f>
      </x:c>
      <x:c r="AE119" s="68" t="str">
        <x:f>IF(COLUMN()-2&lt;=$E$3,INDEX($B$10:$B$59,RANDBETWEEN(1,$E$3)),"")</x:f>
      </x:c>
      <x:c r="AF119" s="68" t="str">
        <x:f>IF(COLUMN()-2&lt;=$E$3,INDEX($B$10:$B$59,RANDBETWEEN(1,$E$3)),"")</x:f>
      </x:c>
      <x:c r="AG119" s="68" t="str">
        <x:f>IF(COLUMN()-2&lt;=$E$3,INDEX($B$10:$B$59,RANDBETWEEN(1,$E$3)),"")</x:f>
      </x:c>
      <x:c r="AH119" s="68" t="str">
        <x:f>IF(COLUMN()-2&lt;=$E$3,INDEX($B$10:$B$59,RANDBETWEEN(1,$E$3)),"")</x:f>
      </x:c>
      <x:c r="AI119" s="68" t="str">
        <x:f>IF(COLUMN()-2&lt;=$E$3,INDEX($B$10:$B$59,RANDBETWEEN(1,$E$3)),"")</x:f>
      </x:c>
      <x:c r="AJ119" s="68" t="str">
        <x:f>IF(COLUMN()-2&lt;=$E$3,INDEX($B$10:$B$59,RANDBETWEEN(1,$E$3)),"")</x:f>
      </x:c>
      <x:c r="AK119" s="68" t="str">
        <x:f>IF(COLUMN()-2&lt;=$E$3,INDEX($B$10:$B$59,RANDBETWEEN(1,$E$3)),"")</x:f>
      </x:c>
      <x:c r="AL119" s="68" t="str">
        <x:f>IF(COLUMN()-2&lt;=$E$3,INDEX($B$10:$B$59,RANDBETWEEN(1,$E$3)),"")</x:f>
      </x:c>
      <x:c r="AM119" s="68" t="str">
        <x:f>IF(COLUMN()-2&lt;=$E$3,INDEX($B$10:$B$59,RANDBETWEEN(1,$E$3)),"")</x:f>
      </x:c>
      <x:c r="AN119" s="68" t="str">
        <x:f>IF(COLUMN()-2&lt;=$E$3,INDEX($B$10:$B$59,RANDBETWEEN(1,$E$3)),"")</x:f>
      </x:c>
      <x:c r="AO119" s="68" t="str">
        <x:f>IF(COLUMN()-2&lt;=$E$3,INDEX($B$10:$B$59,RANDBETWEEN(1,$E$3)),"")</x:f>
      </x:c>
      <x:c r="AP119" s="68" t="str">
        <x:f>IF(COLUMN()-2&lt;=$E$3,INDEX($B$10:$B$59,RANDBETWEEN(1,$E$3)),"")</x:f>
      </x:c>
      <x:c r="AQ119" s="68" t="str">
        <x:f>IF(COLUMN()-2&lt;=$E$3,INDEX($B$10:$B$59,RANDBETWEEN(1,$E$3)),"")</x:f>
      </x:c>
      <x:c r="AR119" s="68" t="str">
        <x:f>IF(COLUMN()-2&lt;=$E$3,INDEX($B$10:$B$59,RANDBETWEEN(1,$E$3)),"")</x:f>
      </x:c>
      <x:c r="AS119" s="68" t="str">
        <x:f>IF(COLUMN()-2&lt;=$E$3,INDEX($B$10:$B$59,RANDBETWEEN(1,$E$3)),"")</x:f>
      </x:c>
      <x:c r="AT119" s="68" t="str">
        <x:f>IF(COLUMN()-2&lt;=$E$3,INDEX($B$10:$B$59,RANDBETWEEN(1,$E$3)),"")</x:f>
      </x:c>
      <x:c r="AU119" s="68" t="str">
        <x:f>IF(COLUMN()-2&lt;=$E$3,INDEX($B$10:$B$59,RANDBETWEEN(1,$E$3)),"")</x:f>
      </x:c>
      <x:c r="AV119" s="68" t="str">
        <x:f>IF(COLUMN()-2&lt;=$E$3,INDEX($B$10:$B$59,RANDBETWEEN(1,$E$3)),"")</x:f>
      </x:c>
      <x:c r="AW119" s="68" t="str">
        <x:f>IF(COLUMN()-2&lt;=$E$3,INDEX($B$10:$B$59,RANDBETWEEN(1,$E$3)),"")</x:f>
      </x:c>
      <x:c r="AX119" s="68" t="str">
        <x:f>IF(COLUMN()-2&lt;=$E$3,INDEX($B$10:$B$59,RANDBETWEEN(1,$E$3)),"")</x:f>
      </x:c>
      <x:c r="AY119" s="68" t="str">
        <x:f>IF(COLUMN()-2&lt;=$E$3,INDEX($B$10:$B$59,RANDBETWEEN(1,$E$3)),"")</x:f>
      </x:c>
      <x:c r="AZ119" s="68" t="str">
        <x:f>IF(COLUMN()-2&lt;=$E$3,INDEX($B$10:$B$59,RANDBETWEEN(1,$E$3)),"")</x:f>
      </x:c>
      <x:c r="BA119" s="68" t="str">
        <x:f>IF($E$3=0,"",AVERAGE(C119:AZ119))</x:f>
      </x:c>
    </x:row>
    <x:row r="120">
      <x:c r="A120" t="n">
        <x:v>56</x:v>
      </x:c>
      <x:c r="C120" s="68" t="str">
        <x:f>IF(COLUMN()-2&lt;=$E$3,INDEX($B$10:$B$59,RANDBETWEEN(1,$E$3)),"")</x:f>
      </x:c>
      <x:c r="D120" s="68" t="str">
        <x:f>IF(COLUMN()-2&lt;=$E$3,INDEX($B$10:$B$59,RANDBETWEEN(1,$E$3)),"")</x:f>
      </x:c>
      <x:c r="E120" s="68" t="str">
        <x:f>IF(COLUMN()-2&lt;=$E$3,INDEX($B$10:$B$59,RANDBETWEEN(1,$E$3)),"")</x:f>
      </x:c>
      <x:c r="F120" s="68" t="str">
        <x:f>IF(COLUMN()-2&lt;=$E$3,INDEX($B$10:$B$59,RANDBETWEEN(1,$E$3)),"")</x:f>
      </x:c>
      <x:c r="G120" s="68" t="str">
        <x:f>IF(COLUMN()-2&lt;=$E$3,INDEX($B$10:$B$59,RANDBETWEEN(1,$E$3)),"")</x:f>
      </x:c>
      <x:c r="H120" s="68" t="str">
        <x:f>IF(COLUMN()-2&lt;=$E$3,INDEX($B$10:$B$59,RANDBETWEEN(1,$E$3)),"")</x:f>
      </x:c>
      <x:c r="I120" s="68" t="str">
        <x:f>IF(COLUMN()-2&lt;=$E$3,INDEX($B$10:$B$59,RANDBETWEEN(1,$E$3)),"")</x:f>
      </x:c>
      <x:c r="J120" s="68" t="str">
        <x:f>IF(COLUMN()-2&lt;=$E$3,INDEX($B$10:$B$59,RANDBETWEEN(1,$E$3)),"")</x:f>
      </x:c>
      <x:c r="K120" s="68" t="str">
        <x:f>IF(COLUMN()-2&lt;=$E$3,INDEX($B$10:$B$59,RANDBETWEEN(1,$E$3)),"")</x:f>
      </x:c>
      <x:c r="L120" s="68" t="str">
        <x:f>IF(COLUMN()-2&lt;=$E$3,INDEX($B$10:$B$59,RANDBETWEEN(1,$E$3)),"")</x:f>
      </x:c>
      <x:c r="M120" s="68" t="str">
        <x:f>IF(COLUMN()-2&lt;=$E$3,INDEX($B$10:$B$59,RANDBETWEEN(1,$E$3)),"")</x:f>
      </x:c>
      <x:c r="N120" s="68" t="str">
        <x:f>IF(COLUMN()-2&lt;=$E$3,INDEX($B$10:$B$59,RANDBETWEEN(1,$E$3)),"")</x:f>
      </x:c>
      <x:c r="O120" s="68" t="str">
        <x:f>IF(COLUMN()-2&lt;=$E$3,INDEX($B$10:$B$59,RANDBETWEEN(1,$E$3)),"")</x:f>
      </x:c>
      <x:c r="P120" s="68" t="str">
        <x:f>IF(COLUMN()-2&lt;=$E$3,INDEX($B$10:$B$59,RANDBETWEEN(1,$E$3)),"")</x:f>
      </x:c>
      <x:c r="Q120" s="68" t="str">
        <x:f>IF(COLUMN()-2&lt;=$E$3,INDEX($B$10:$B$59,RANDBETWEEN(1,$E$3)),"")</x:f>
      </x:c>
      <x:c r="R120" s="68" t="str">
        <x:f>IF(COLUMN()-2&lt;=$E$3,INDEX($B$10:$B$59,RANDBETWEEN(1,$E$3)),"")</x:f>
      </x:c>
      <x:c r="S120" s="68" t="str">
        <x:f>IF(COLUMN()-2&lt;=$E$3,INDEX($B$10:$B$59,RANDBETWEEN(1,$E$3)),"")</x:f>
      </x:c>
      <x:c r="T120" s="68" t="str">
        <x:f>IF(COLUMN()-2&lt;=$E$3,INDEX($B$10:$B$59,RANDBETWEEN(1,$E$3)),"")</x:f>
      </x:c>
      <x:c r="U120" s="68" t="str">
        <x:f>IF(COLUMN()-2&lt;=$E$3,INDEX($B$10:$B$59,RANDBETWEEN(1,$E$3)),"")</x:f>
      </x:c>
      <x:c r="V120" s="68" t="str">
        <x:f>IF(COLUMN()-2&lt;=$E$3,INDEX($B$10:$B$59,RANDBETWEEN(1,$E$3)),"")</x:f>
      </x:c>
      <x:c r="W120" s="68" t="str">
        <x:f>IF(COLUMN()-2&lt;=$E$3,INDEX($B$10:$B$59,RANDBETWEEN(1,$E$3)),"")</x:f>
      </x:c>
      <x:c r="X120" s="68" t="str">
        <x:f>IF(COLUMN()-2&lt;=$E$3,INDEX($B$10:$B$59,RANDBETWEEN(1,$E$3)),"")</x:f>
      </x:c>
      <x:c r="Y120" s="68" t="str">
        <x:f>IF(COLUMN()-2&lt;=$E$3,INDEX($B$10:$B$59,RANDBETWEEN(1,$E$3)),"")</x:f>
      </x:c>
      <x:c r="Z120" s="68" t="str">
        <x:f>IF(COLUMN()-2&lt;=$E$3,INDEX($B$10:$B$59,RANDBETWEEN(1,$E$3)),"")</x:f>
      </x:c>
      <x:c r="AA120" s="68" t="str">
        <x:f>IF(COLUMN()-2&lt;=$E$3,INDEX($B$10:$B$59,RANDBETWEEN(1,$E$3)),"")</x:f>
      </x:c>
      <x:c r="AB120" s="68" t="str">
        <x:f>IF(COLUMN()-2&lt;=$E$3,INDEX($B$10:$B$59,RANDBETWEEN(1,$E$3)),"")</x:f>
      </x:c>
      <x:c r="AC120" s="68" t="str">
        <x:f>IF(COLUMN()-2&lt;=$E$3,INDEX($B$10:$B$59,RANDBETWEEN(1,$E$3)),"")</x:f>
      </x:c>
      <x:c r="AD120" s="68" t="str">
        <x:f>IF(COLUMN()-2&lt;=$E$3,INDEX($B$10:$B$59,RANDBETWEEN(1,$E$3)),"")</x:f>
      </x:c>
      <x:c r="AE120" s="68" t="str">
        <x:f>IF(COLUMN()-2&lt;=$E$3,INDEX($B$10:$B$59,RANDBETWEEN(1,$E$3)),"")</x:f>
      </x:c>
      <x:c r="AF120" s="68" t="str">
        <x:f>IF(COLUMN()-2&lt;=$E$3,INDEX($B$10:$B$59,RANDBETWEEN(1,$E$3)),"")</x:f>
      </x:c>
      <x:c r="AG120" s="68" t="str">
        <x:f>IF(COLUMN()-2&lt;=$E$3,INDEX($B$10:$B$59,RANDBETWEEN(1,$E$3)),"")</x:f>
      </x:c>
      <x:c r="AH120" s="68" t="str">
        <x:f>IF(COLUMN()-2&lt;=$E$3,INDEX($B$10:$B$59,RANDBETWEEN(1,$E$3)),"")</x:f>
      </x:c>
      <x:c r="AI120" s="68" t="str">
        <x:f>IF(COLUMN()-2&lt;=$E$3,INDEX($B$10:$B$59,RANDBETWEEN(1,$E$3)),"")</x:f>
      </x:c>
      <x:c r="AJ120" s="68" t="str">
        <x:f>IF(COLUMN()-2&lt;=$E$3,INDEX($B$10:$B$59,RANDBETWEEN(1,$E$3)),"")</x:f>
      </x:c>
      <x:c r="AK120" s="68" t="str">
        <x:f>IF(COLUMN()-2&lt;=$E$3,INDEX($B$10:$B$59,RANDBETWEEN(1,$E$3)),"")</x:f>
      </x:c>
      <x:c r="AL120" s="68" t="str">
        <x:f>IF(COLUMN()-2&lt;=$E$3,INDEX($B$10:$B$59,RANDBETWEEN(1,$E$3)),"")</x:f>
      </x:c>
      <x:c r="AM120" s="68" t="str">
        <x:f>IF(COLUMN()-2&lt;=$E$3,INDEX($B$10:$B$59,RANDBETWEEN(1,$E$3)),"")</x:f>
      </x:c>
      <x:c r="AN120" s="68" t="str">
        <x:f>IF(COLUMN()-2&lt;=$E$3,INDEX($B$10:$B$59,RANDBETWEEN(1,$E$3)),"")</x:f>
      </x:c>
      <x:c r="AO120" s="68" t="str">
        <x:f>IF(COLUMN()-2&lt;=$E$3,INDEX($B$10:$B$59,RANDBETWEEN(1,$E$3)),"")</x:f>
      </x:c>
      <x:c r="AP120" s="68" t="str">
        <x:f>IF(COLUMN()-2&lt;=$E$3,INDEX($B$10:$B$59,RANDBETWEEN(1,$E$3)),"")</x:f>
      </x:c>
      <x:c r="AQ120" s="68" t="str">
        <x:f>IF(COLUMN()-2&lt;=$E$3,INDEX($B$10:$B$59,RANDBETWEEN(1,$E$3)),"")</x:f>
      </x:c>
      <x:c r="AR120" s="68" t="str">
        <x:f>IF(COLUMN()-2&lt;=$E$3,INDEX($B$10:$B$59,RANDBETWEEN(1,$E$3)),"")</x:f>
      </x:c>
      <x:c r="AS120" s="68" t="str">
        <x:f>IF(COLUMN()-2&lt;=$E$3,INDEX($B$10:$B$59,RANDBETWEEN(1,$E$3)),"")</x:f>
      </x:c>
      <x:c r="AT120" s="68" t="str">
        <x:f>IF(COLUMN()-2&lt;=$E$3,INDEX($B$10:$B$59,RANDBETWEEN(1,$E$3)),"")</x:f>
      </x:c>
      <x:c r="AU120" s="68" t="str">
        <x:f>IF(COLUMN()-2&lt;=$E$3,INDEX($B$10:$B$59,RANDBETWEEN(1,$E$3)),"")</x:f>
      </x:c>
      <x:c r="AV120" s="68" t="str">
        <x:f>IF(COLUMN()-2&lt;=$E$3,INDEX($B$10:$B$59,RANDBETWEEN(1,$E$3)),"")</x:f>
      </x:c>
      <x:c r="AW120" s="68" t="str">
        <x:f>IF(COLUMN()-2&lt;=$E$3,INDEX($B$10:$B$59,RANDBETWEEN(1,$E$3)),"")</x:f>
      </x:c>
      <x:c r="AX120" s="68" t="str">
        <x:f>IF(COLUMN()-2&lt;=$E$3,INDEX($B$10:$B$59,RANDBETWEEN(1,$E$3)),"")</x:f>
      </x:c>
      <x:c r="AY120" s="68" t="str">
        <x:f>IF(COLUMN()-2&lt;=$E$3,INDEX($B$10:$B$59,RANDBETWEEN(1,$E$3)),"")</x:f>
      </x:c>
      <x:c r="AZ120" s="68" t="str">
        <x:f>IF(COLUMN()-2&lt;=$E$3,INDEX($B$10:$B$59,RANDBETWEEN(1,$E$3)),"")</x:f>
      </x:c>
      <x:c r="BA120" s="68" t="str">
        <x:f>IF($E$3=0,"",AVERAGE(C120:AZ120))</x:f>
      </x:c>
    </x:row>
    <x:row r="121">
      <x:c r="A121" t="n">
        <x:v>57</x:v>
      </x:c>
      <x:c r="C121" s="68" t="str">
        <x:f>IF(COLUMN()-2&lt;=$E$3,INDEX($B$10:$B$59,RANDBETWEEN(1,$E$3)),"")</x:f>
      </x:c>
      <x:c r="D121" s="68" t="str">
        <x:f>IF(COLUMN()-2&lt;=$E$3,INDEX($B$10:$B$59,RANDBETWEEN(1,$E$3)),"")</x:f>
      </x:c>
      <x:c r="E121" s="68" t="str">
        <x:f>IF(COLUMN()-2&lt;=$E$3,INDEX($B$10:$B$59,RANDBETWEEN(1,$E$3)),"")</x:f>
      </x:c>
      <x:c r="F121" s="68" t="str">
        <x:f>IF(COLUMN()-2&lt;=$E$3,INDEX($B$10:$B$59,RANDBETWEEN(1,$E$3)),"")</x:f>
      </x:c>
      <x:c r="G121" s="68" t="str">
        <x:f>IF(COLUMN()-2&lt;=$E$3,INDEX($B$10:$B$59,RANDBETWEEN(1,$E$3)),"")</x:f>
      </x:c>
      <x:c r="H121" s="68" t="str">
        <x:f>IF(COLUMN()-2&lt;=$E$3,INDEX($B$10:$B$59,RANDBETWEEN(1,$E$3)),"")</x:f>
      </x:c>
      <x:c r="I121" s="68" t="str">
        <x:f>IF(COLUMN()-2&lt;=$E$3,INDEX($B$10:$B$59,RANDBETWEEN(1,$E$3)),"")</x:f>
      </x:c>
      <x:c r="J121" s="68" t="str">
        <x:f>IF(COLUMN()-2&lt;=$E$3,INDEX($B$10:$B$59,RANDBETWEEN(1,$E$3)),"")</x:f>
      </x:c>
      <x:c r="K121" s="68" t="str">
        <x:f>IF(COLUMN()-2&lt;=$E$3,INDEX($B$10:$B$59,RANDBETWEEN(1,$E$3)),"")</x:f>
      </x:c>
      <x:c r="L121" s="68" t="str">
        <x:f>IF(COLUMN()-2&lt;=$E$3,INDEX($B$10:$B$59,RANDBETWEEN(1,$E$3)),"")</x:f>
      </x:c>
      <x:c r="M121" s="68" t="str">
        <x:f>IF(COLUMN()-2&lt;=$E$3,INDEX($B$10:$B$59,RANDBETWEEN(1,$E$3)),"")</x:f>
      </x:c>
      <x:c r="N121" s="68" t="str">
        <x:f>IF(COLUMN()-2&lt;=$E$3,INDEX($B$10:$B$59,RANDBETWEEN(1,$E$3)),"")</x:f>
      </x:c>
      <x:c r="O121" s="68" t="str">
        <x:f>IF(COLUMN()-2&lt;=$E$3,INDEX($B$10:$B$59,RANDBETWEEN(1,$E$3)),"")</x:f>
      </x:c>
      <x:c r="P121" s="68" t="str">
        <x:f>IF(COLUMN()-2&lt;=$E$3,INDEX($B$10:$B$59,RANDBETWEEN(1,$E$3)),"")</x:f>
      </x:c>
      <x:c r="Q121" s="68" t="str">
        <x:f>IF(COLUMN()-2&lt;=$E$3,INDEX($B$10:$B$59,RANDBETWEEN(1,$E$3)),"")</x:f>
      </x:c>
      <x:c r="R121" s="68" t="str">
        <x:f>IF(COLUMN()-2&lt;=$E$3,INDEX($B$10:$B$59,RANDBETWEEN(1,$E$3)),"")</x:f>
      </x:c>
      <x:c r="S121" s="68" t="str">
        <x:f>IF(COLUMN()-2&lt;=$E$3,INDEX($B$10:$B$59,RANDBETWEEN(1,$E$3)),"")</x:f>
      </x:c>
      <x:c r="T121" s="68" t="str">
        <x:f>IF(COLUMN()-2&lt;=$E$3,INDEX($B$10:$B$59,RANDBETWEEN(1,$E$3)),"")</x:f>
      </x:c>
      <x:c r="U121" s="68" t="str">
        <x:f>IF(COLUMN()-2&lt;=$E$3,INDEX($B$10:$B$59,RANDBETWEEN(1,$E$3)),"")</x:f>
      </x:c>
      <x:c r="V121" s="68" t="str">
        <x:f>IF(COLUMN()-2&lt;=$E$3,INDEX($B$10:$B$59,RANDBETWEEN(1,$E$3)),"")</x:f>
      </x:c>
      <x:c r="W121" s="68" t="str">
        <x:f>IF(COLUMN()-2&lt;=$E$3,INDEX($B$10:$B$59,RANDBETWEEN(1,$E$3)),"")</x:f>
      </x:c>
      <x:c r="X121" s="68" t="str">
        <x:f>IF(COLUMN()-2&lt;=$E$3,INDEX($B$10:$B$59,RANDBETWEEN(1,$E$3)),"")</x:f>
      </x:c>
      <x:c r="Y121" s="68" t="str">
        <x:f>IF(COLUMN()-2&lt;=$E$3,INDEX($B$10:$B$59,RANDBETWEEN(1,$E$3)),"")</x:f>
      </x:c>
      <x:c r="Z121" s="68" t="str">
        <x:f>IF(COLUMN()-2&lt;=$E$3,INDEX($B$10:$B$59,RANDBETWEEN(1,$E$3)),"")</x:f>
      </x:c>
      <x:c r="AA121" s="68" t="str">
        <x:f>IF(COLUMN()-2&lt;=$E$3,INDEX($B$10:$B$59,RANDBETWEEN(1,$E$3)),"")</x:f>
      </x:c>
      <x:c r="AB121" s="68" t="str">
        <x:f>IF(COLUMN()-2&lt;=$E$3,INDEX($B$10:$B$59,RANDBETWEEN(1,$E$3)),"")</x:f>
      </x:c>
      <x:c r="AC121" s="68" t="str">
        <x:f>IF(COLUMN()-2&lt;=$E$3,INDEX($B$10:$B$59,RANDBETWEEN(1,$E$3)),"")</x:f>
      </x:c>
      <x:c r="AD121" s="68" t="str">
        <x:f>IF(COLUMN()-2&lt;=$E$3,INDEX($B$10:$B$59,RANDBETWEEN(1,$E$3)),"")</x:f>
      </x:c>
      <x:c r="AE121" s="68" t="str">
        <x:f>IF(COLUMN()-2&lt;=$E$3,INDEX($B$10:$B$59,RANDBETWEEN(1,$E$3)),"")</x:f>
      </x:c>
      <x:c r="AF121" s="68" t="str">
        <x:f>IF(COLUMN()-2&lt;=$E$3,INDEX($B$10:$B$59,RANDBETWEEN(1,$E$3)),"")</x:f>
      </x:c>
      <x:c r="AG121" s="68" t="str">
        <x:f>IF(COLUMN()-2&lt;=$E$3,INDEX($B$10:$B$59,RANDBETWEEN(1,$E$3)),"")</x:f>
      </x:c>
      <x:c r="AH121" s="68" t="str">
        <x:f>IF(COLUMN()-2&lt;=$E$3,INDEX($B$10:$B$59,RANDBETWEEN(1,$E$3)),"")</x:f>
      </x:c>
      <x:c r="AI121" s="68" t="str">
        <x:f>IF(COLUMN()-2&lt;=$E$3,INDEX($B$10:$B$59,RANDBETWEEN(1,$E$3)),"")</x:f>
      </x:c>
      <x:c r="AJ121" s="68" t="str">
        <x:f>IF(COLUMN()-2&lt;=$E$3,INDEX($B$10:$B$59,RANDBETWEEN(1,$E$3)),"")</x:f>
      </x:c>
      <x:c r="AK121" s="68" t="str">
        <x:f>IF(COLUMN()-2&lt;=$E$3,INDEX($B$10:$B$59,RANDBETWEEN(1,$E$3)),"")</x:f>
      </x:c>
      <x:c r="AL121" s="68" t="str">
        <x:f>IF(COLUMN()-2&lt;=$E$3,INDEX($B$10:$B$59,RANDBETWEEN(1,$E$3)),"")</x:f>
      </x:c>
      <x:c r="AM121" s="68" t="str">
        <x:f>IF(COLUMN()-2&lt;=$E$3,INDEX($B$10:$B$59,RANDBETWEEN(1,$E$3)),"")</x:f>
      </x:c>
      <x:c r="AN121" s="68" t="str">
        <x:f>IF(COLUMN()-2&lt;=$E$3,INDEX($B$10:$B$59,RANDBETWEEN(1,$E$3)),"")</x:f>
      </x:c>
      <x:c r="AO121" s="68" t="str">
        <x:f>IF(COLUMN()-2&lt;=$E$3,INDEX($B$10:$B$59,RANDBETWEEN(1,$E$3)),"")</x:f>
      </x:c>
      <x:c r="AP121" s="68" t="str">
        <x:f>IF(COLUMN()-2&lt;=$E$3,INDEX($B$10:$B$59,RANDBETWEEN(1,$E$3)),"")</x:f>
      </x:c>
      <x:c r="AQ121" s="68" t="str">
        <x:f>IF(COLUMN()-2&lt;=$E$3,INDEX($B$10:$B$59,RANDBETWEEN(1,$E$3)),"")</x:f>
      </x:c>
      <x:c r="AR121" s="68" t="str">
        <x:f>IF(COLUMN()-2&lt;=$E$3,INDEX($B$10:$B$59,RANDBETWEEN(1,$E$3)),"")</x:f>
      </x:c>
      <x:c r="AS121" s="68" t="str">
        <x:f>IF(COLUMN()-2&lt;=$E$3,INDEX($B$10:$B$59,RANDBETWEEN(1,$E$3)),"")</x:f>
      </x:c>
      <x:c r="AT121" s="68" t="str">
        <x:f>IF(COLUMN()-2&lt;=$E$3,INDEX($B$10:$B$59,RANDBETWEEN(1,$E$3)),"")</x:f>
      </x:c>
      <x:c r="AU121" s="68" t="str">
        <x:f>IF(COLUMN()-2&lt;=$E$3,INDEX($B$10:$B$59,RANDBETWEEN(1,$E$3)),"")</x:f>
      </x:c>
      <x:c r="AV121" s="68" t="str">
        <x:f>IF(COLUMN()-2&lt;=$E$3,INDEX($B$10:$B$59,RANDBETWEEN(1,$E$3)),"")</x:f>
      </x:c>
      <x:c r="AW121" s="68" t="str">
        <x:f>IF(COLUMN()-2&lt;=$E$3,INDEX($B$10:$B$59,RANDBETWEEN(1,$E$3)),"")</x:f>
      </x:c>
      <x:c r="AX121" s="68" t="str">
        <x:f>IF(COLUMN()-2&lt;=$E$3,INDEX($B$10:$B$59,RANDBETWEEN(1,$E$3)),"")</x:f>
      </x:c>
      <x:c r="AY121" s="68" t="str">
        <x:f>IF(COLUMN()-2&lt;=$E$3,INDEX($B$10:$B$59,RANDBETWEEN(1,$E$3)),"")</x:f>
      </x:c>
      <x:c r="AZ121" s="68" t="str">
        <x:f>IF(COLUMN()-2&lt;=$E$3,INDEX($B$10:$B$59,RANDBETWEEN(1,$E$3)),"")</x:f>
      </x:c>
      <x:c r="BA121" s="68" t="str">
        <x:f>IF($E$3=0,"",AVERAGE(C121:AZ121))</x:f>
      </x:c>
    </x:row>
    <x:row r="122">
      <x:c r="A122" t="n">
        <x:v>58</x:v>
      </x:c>
      <x:c r="C122" s="68" t="str">
        <x:f>IF(COLUMN()-2&lt;=$E$3,INDEX($B$10:$B$59,RANDBETWEEN(1,$E$3)),"")</x:f>
      </x:c>
      <x:c r="D122" s="68" t="str">
        <x:f>IF(COLUMN()-2&lt;=$E$3,INDEX($B$10:$B$59,RANDBETWEEN(1,$E$3)),"")</x:f>
      </x:c>
      <x:c r="E122" s="68" t="str">
        <x:f>IF(COLUMN()-2&lt;=$E$3,INDEX($B$10:$B$59,RANDBETWEEN(1,$E$3)),"")</x:f>
      </x:c>
      <x:c r="F122" s="68" t="str">
        <x:f>IF(COLUMN()-2&lt;=$E$3,INDEX($B$10:$B$59,RANDBETWEEN(1,$E$3)),"")</x:f>
      </x:c>
      <x:c r="G122" s="68" t="str">
        <x:f>IF(COLUMN()-2&lt;=$E$3,INDEX($B$10:$B$59,RANDBETWEEN(1,$E$3)),"")</x:f>
      </x:c>
      <x:c r="H122" s="68" t="str">
        <x:f>IF(COLUMN()-2&lt;=$E$3,INDEX($B$10:$B$59,RANDBETWEEN(1,$E$3)),"")</x:f>
      </x:c>
      <x:c r="I122" s="68" t="str">
        <x:f>IF(COLUMN()-2&lt;=$E$3,INDEX($B$10:$B$59,RANDBETWEEN(1,$E$3)),"")</x:f>
      </x:c>
      <x:c r="J122" s="68" t="str">
        <x:f>IF(COLUMN()-2&lt;=$E$3,INDEX($B$10:$B$59,RANDBETWEEN(1,$E$3)),"")</x:f>
      </x:c>
      <x:c r="K122" s="68" t="str">
        <x:f>IF(COLUMN()-2&lt;=$E$3,INDEX($B$10:$B$59,RANDBETWEEN(1,$E$3)),"")</x:f>
      </x:c>
      <x:c r="L122" s="68" t="str">
        <x:f>IF(COLUMN()-2&lt;=$E$3,INDEX($B$10:$B$59,RANDBETWEEN(1,$E$3)),"")</x:f>
      </x:c>
      <x:c r="M122" s="68" t="str">
        <x:f>IF(COLUMN()-2&lt;=$E$3,INDEX($B$10:$B$59,RANDBETWEEN(1,$E$3)),"")</x:f>
      </x:c>
      <x:c r="N122" s="68" t="str">
        <x:f>IF(COLUMN()-2&lt;=$E$3,INDEX($B$10:$B$59,RANDBETWEEN(1,$E$3)),"")</x:f>
      </x:c>
      <x:c r="O122" s="68" t="str">
        <x:f>IF(COLUMN()-2&lt;=$E$3,INDEX($B$10:$B$59,RANDBETWEEN(1,$E$3)),"")</x:f>
      </x:c>
      <x:c r="P122" s="68" t="str">
        <x:f>IF(COLUMN()-2&lt;=$E$3,INDEX($B$10:$B$59,RANDBETWEEN(1,$E$3)),"")</x:f>
      </x:c>
      <x:c r="Q122" s="68" t="str">
        <x:f>IF(COLUMN()-2&lt;=$E$3,INDEX($B$10:$B$59,RANDBETWEEN(1,$E$3)),"")</x:f>
      </x:c>
      <x:c r="R122" s="68" t="str">
        <x:f>IF(COLUMN()-2&lt;=$E$3,INDEX($B$10:$B$59,RANDBETWEEN(1,$E$3)),"")</x:f>
      </x:c>
      <x:c r="S122" s="68" t="str">
        <x:f>IF(COLUMN()-2&lt;=$E$3,INDEX($B$10:$B$59,RANDBETWEEN(1,$E$3)),"")</x:f>
      </x:c>
      <x:c r="T122" s="68" t="str">
        <x:f>IF(COLUMN()-2&lt;=$E$3,INDEX($B$10:$B$59,RANDBETWEEN(1,$E$3)),"")</x:f>
      </x:c>
      <x:c r="U122" s="68" t="str">
        <x:f>IF(COLUMN()-2&lt;=$E$3,INDEX($B$10:$B$59,RANDBETWEEN(1,$E$3)),"")</x:f>
      </x:c>
      <x:c r="V122" s="68" t="str">
        <x:f>IF(COLUMN()-2&lt;=$E$3,INDEX($B$10:$B$59,RANDBETWEEN(1,$E$3)),"")</x:f>
      </x:c>
      <x:c r="W122" s="68" t="str">
        <x:f>IF(COLUMN()-2&lt;=$E$3,INDEX($B$10:$B$59,RANDBETWEEN(1,$E$3)),"")</x:f>
      </x:c>
      <x:c r="X122" s="68" t="str">
        <x:f>IF(COLUMN()-2&lt;=$E$3,INDEX($B$10:$B$59,RANDBETWEEN(1,$E$3)),"")</x:f>
      </x:c>
      <x:c r="Y122" s="68" t="str">
        <x:f>IF(COLUMN()-2&lt;=$E$3,INDEX($B$10:$B$59,RANDBETWEEN(1,$E$3)),"")</x:f>
      </x:c>
      <x:c r="Z122" s="68" t="str">
        <x:f>IF(COLUMN()-2&lt;=$E$3,INDEX($B$10:$B$59,RANDBETWEEN(1,$E$3)),"")</x:f>
      </x:c>
      <x:c r="AA122" s="68" t="str">
        <x:f>IF(COLUMN()-2&lt;=$E$3,INDEX($B$10:$B$59,RANDBETWEEN(1,$E$3)),"")</x:f>
      </x:c>
      <x:c r="AB122" s="68" t="str">
        <x:f>IF(COLUMN()-2&lt;=$E$3,INDEX($B$10:$B$59,RANDBETWEEN(1,$E$3)),"")</x:f>
      </x:c>
      <x:c r="AC122" s="68" t="str">
        <x:f>IF(COLUMN()-2&lt;=$E$3,INDEX($B$10:$B$59,RANDBETWEEN(1,$E$3)),"")</x:f>
      </x:c>
      <x:c r="AD122" s="68" t="str">
        <x:f>IF(COLUMN()-2&lt;=$E$3,INDEX($B$10:$B$59,RANDBETWEEN(1,$E$3)),"")</x:f>
      </x:c>
      <x:c r="AE122" s="68" t="str">
        <x:f>IF(COLUMN()-2&lt;=$E$3,INDEX($B$10:$B$59,RANDBETWEEN(1,$E$3)),"")</x:f>
      </x:c>
      <x:c r="AF122" s="68" t="str">
        <x:f>IF(COLUMN()-2&lt;=$E$3,INDEX($B$10:$B$59,RANDBETWEEN(1,$E$3)),"")</x:f>
      </x:c>
      <x:c r="AG122" s="68" t="str">
        <x:f>IF(COLUMN()-2&lt;=$E$3,INDEX($B$10:$B$59,RANDBETWEEN(1,$E$3)),"")</x:f>
      </x:c>
      <x:c r="AH122" s="68" t="str">
        <x:f>IF(COLUMN()-2&lt;=$E$3,INDEX($B$10:$B$59,RANDBETWEEN(1,$E$3)),"")</x:f>
      </x:c>
      <x:c r="AI122" s="68" t="str">
        <x:f>IF(COLUMN()-2&lt;=$E$3,INDEX($B$10:$B$59,RANDBETWEEN(1,$E$3)),"")</x:f>
      </x:c>
      <x:c r="AJ122" s="68" t="str">
        <x:f>IF(COLUMN()-2&lt;=$E$3,INDEX($B$10:$B$59,RANDBETWEEN(1,$E$3)),"")</x:f>
      </x:c>
      <x:c r="AK122" s="68" t="str">
        <x:f>IF(COLUMN()-2&lt;=$E$3,INDEX($B$10:$B$59,RANDBETWEEN(1,$E$3)),"")</x:f>
      </x:c>
      <x:c r="AL122" s="68" t="str">
        <x:f>IF(COLUMN()-2&lt;=$E$3,INDEX($B$10:$B$59,RANDBETWEEN(1,$E$3)),"")</x:f>
      </x:c>
      <x:c r="AM122" s="68" t="str">
        <x:f>IF(COLUMN()-2&lt;=$E$3,INDEX($B$10:$B$59,RANDBETWEEN(1,$E$3)),"")</x:f>
      </x:c>
      <x:c r="AN122" s="68" t="str">
        <x:f>IF(COLUMN()-2&lt;=$E$3,INDEX($B$10:$B$59,RANDBETWEEN(1,$E$3)),"")</x:f>
      </x:c>
      <x:c r="AO122" s="68" t="str">
        <x:f>IF(COLUMN()-2&lt;=$E$3,INDEX($B$10:$B$59,RANDBETWEEN(1,$E$3)),"")</x:f>
      </x:c>
      <x:c r="AP122" s="68" t="str">
        <x:f>IF(COLUMN()-2&lt;=$E$3,INDEX($B$10:$B$59,RANDBETWEEN(1,$E$3)),"")</x:f>
      </x:c>
      <x:c r="AQ122" s="68" t="str">
        <x:f>IF(COLUMN()-2&lt;=$E$3,INDEX($B$10:$B$59,RANDBETWEEN(1,$E$3)),"")</x:f>
      </x:c>
      <x:c r="AR122" s="68" t="str">
        <x:f>IF(COLUMN()-2&lt;=$E$3,INDEX($B$10:$B$59,RANDBETWEEN(1,$E$3)),"")</x:f>
      </x:c>
      <x:c r="AS122" s="68" t="str">
        <x:f>IF(COLUMN()-2&lt;=$E$3,INDEX($B$10:$B$59,RANDBETWEEN(1,$E$3)),"")</x:f>
      </x:c>
      <x:c r="AT122" s="68" t="str">
        <x:f>IF(COLUMN()-2&lt;=$E$3,INDEX($B$10:$B$59,RANDBETWEEN(1,$E$3)),"")</x:f>
      </x:c>
      <x:c r="AU122" s="68" t="str">
        <x:f>IF(COLUMN()-2&lt;=$E$3,INDEX($B$10:$B$59,RANDBETWEEN(1,$E$3)),"")</x:f>
      </x:c>
      <x:c r="AV122" s="68" t="str">
        <x:f>IF(COLUMN()-2&lt;=$E$3,INDEX($B$10:$B$59,RANDBETWEEN(1,$E$3)),"")</x:f>
      </x:c>
      <x:c r="AW122" s="68" t="str">
        <x:f>IF(COLUMN()-2&lt;=$E$3,INDEX($B$10:$B$59,RANDBETWEEN(1,$E$3)),"")</x:f>
      </x:c>
      <x:c r="AX122" s="68" t="str">
        <x:f>IF(COLUMN()-2&lt;=$E$3,INDEX($B$10:$B$59,RANDBETWEEN(1,$E$3)),"")</x:f>
      </x:c>
      <x:c r="AY122" s="68" t="str">
        <x:f>IF(COLUMN()-2&lt;=$E$3,INDEX($B$10:$B$59,RANDBETWEEN(1,$E$3)),"")</x:f>
      </x:c>
      <x:c r="AZ122" s="68" t="str">
        <x:f>IF(COLUMN()-2&lt;=$E$3,INDEX($B$10:$B$59,RANDBETWEEN(1,$E$3)),"")</x:f>
      </x:c>
      <x:c r="BA122" s="68" t="str">
        <x:f>IF($E$3=0,"",AVERAGE(C122:AZ122))</x:f>
      </x:c>
    </x:row>
    <x:row r="123">
      <x:c r="A123" t="n">
        <x:v>59</x:v>
      </x:c>
      <x:c r="C123" s="68" t="str">
        <x:f>IF(COLUMN()-2&lt;=$E$3,INDEX($B$10:$B$59,RANDBETWEEN(1,$E$3)),"")</x:f>
      </x:c>
      <x:c r="D123" s="68" t="str">
        <x:f>IF(COLUMN()-2&lt;=$E$3,INDEX($B$10:$B$59,RANDBETWEEN(1,$E$3)),"")</x:f>
      </x:c>
      <x:c r="E123" s="68" t="str">
        <x:f>IF(COLUMN()-2&lt;=$E$3,INDEX($B$10:$B$59,RANDBETWEEN(1,$E$3)),"")</x:f>
      </x:c>
      <x:c r="F123" s="68" t="str">
        <x:f>IF(COLUMN()-2&lt;=$E$3,INDEX($B$10:$B$59,RANDBETWEEN(1,$E$3)),"")</x:f>
      </x:c>
      <x:c r="G123" s="68" t="str">
        <x:f>IF(COLUMN()-2&lt;=$E$3,INDEX($B$10:$B$59,RANDBETWEEN(1,$E$3)),"")</x:f>
      </x:c>
      <x:c r="H123" s="68" t="str">
        <x:f>IF(COLUMN()-2&lt;=$E$3,INDEX($B$10:$B$59,RANDBETWEEN(1,$E$3)),"")</x:f>
      </x:c>
      <x:c r="I123" s="68" t="str">
        <x:f>IF(COLUMN()-2&lt;=$E$3,INDEX($B$10:$B$59,RANDBETWEEN(1,$E$3)),"")</x:f>
      </x:c>
      <x:c r="J123" s="68" t="str">
        <x:f>IF(COLUMN()-2&lt;=$E$3,INDEX($B$10:$B$59,RANDBETWEEN(1,$E$3)),"")</x:f>
      </x:c>
      <x:c r="K123" s="68" t="str">
        <x:f>IF(COLUMN()-2&lt;=$E$3,INDEX($B$10:$B$59,RANDBETWEEN(1,$E$3)),"")</x:f>
      </x:c>
      <x:c r="L123" s="68" t="str">
        <x:f>IF(COLUMN()-2&lt;=$E$3,INDEX($B$10:$B$59,RANDBETWEEN(1,$E$3)),"")</x:f>
      </x:c>
      <x:c r="M123" s="68" t="str">
        <x:f>IF(COLUMN()-2&lt;=$E$3,INDEX($B$10:$B$59,RANDBETWEEN(1,$E$3)),"")</x:f>
      </x:c>
      <x:c r="N123" s="68" t="str">
        <x:f>IF(COLUMN()-2&lt;=$E$3,INDEX($B$10:$B$59,RANDBETWEEN(1,$E$3)),"")</x:f>
      </x:c>
      <x:c r="O123" s="68" t="str">
        <x:f>IF(COLUMN()-2&lt;=$E$3,INDEX($B$10:$B$59,RANDBETWEEN(1,$E$3)),"")</x:f>
      </x:c>
      <x:c r="P123" s="68" t="str">
        <x:f>IF(COLUMN()-2&lt;=$E$3,INDEX($B$10:$B$59,RANDBETWEEN(1,$E$3)),"")</x:f>
      </x:c>
      <x:c r="Q123" s="68" t="str">
        <x:f>IF(COLUMN()-2&lt;=$E$3,INDEX($B$10:$B$59,RANDBETWEEN(1,$E$3)),"")</x:f>
      </x:c>
      <x:c r="R123" s="68" t="str">
        <x:f>IF(COLUMN()-2&lt;=$E$3,INDEX($B$10:$B$59,RANDBETWEEN(1,$E$3)),"")</x:f>
      </x:c>
      <x:c r="S123" s="68" t="str">
        <x:f>IF(COLUMN()-2&lt;=$E$3,INDEX($B$10:$B$59,RANDBETWEEN(1,$E$3)),"")</x:f>
      </x:c>
      <x:c r="T123" s="68" t="str">
        <x:f>IF(COLUMN()-2&lt;=$E$3,INDEX($B$10:$B$59,RANDBETWEEN(1,$E$3)),"")</x:f>
      </x:c>
      <x:c r="U123" s="68" t="str">
        <x:f>IF(COLUMN()-2&lt;=$E$3,INDEX($B$10:$B$59,RANDBETWEEN(1,$E$3)),"")</x:f>
      </x:c>
      <x:c r="V123" s="68" t="str">
        <x:f>IF(COLUMN()-2&lt;=$E$3,INDEX($B$10:$B$59,RANDBETWEEN(1,$E$3)),"")</x:f>
      </x:c>
      <x:c r="W123" s="68" t="str">
        <x:f>IF(COLUMN()-2&lt;=$E$3,INDEX($B$10:$B$59,RANDBETWEEN(1,$E$3)),"")</x:f>
      </x:c>
      <x:c r="X123" s="68" t="str">
        <x:f>IF(COLUMN()-2&lt;=$E$3,INDEX($B$10:$B$59,RANDBETWEEN(1,$E$3)),"")</x:f>
      </x:c>
      <x:c r="Y123" s="68" t="str">
        <x:f>IF(COLUMN()-2&lt;=$E$3,INDEX($B$10:$B$59,RANDBETWEEN(1,$E$3)),"")</x:f>
      </x:c>
      <x:c r="Z123" s="68" t="str">
        <x:f>IF(COLUMN()-2&lt;=$E$3,INDEX($B$10:$B$59,RANDBETWEEN(1,$E$3)),"")</x:f>
      </x:c>
      <x:c r="AA123" s="68" t="str">
        <x:f>IF(COLUMN()-2&lt;=$E$3,INDEX($B$10:$B$59,RANDBETWEEN(1,$E$3)),"")</x:f>
      </x:c>
      <x:c r="AB123" s="68" t="str">
        <x:f>IF(COLUMN()-2&lt;=$E$3,INDEX($B$10:$B$59,RANDBETWEEN(1,$E$3)),"")</x:f>
      </x:c>
      <x:c r="AC123" s="68" t="str">
        <x:f>IF(COLUMN()-2&lt;=$E$3,INDEX($B$10:$B$59,RANDBETWEEN(1,$E$3)),"")</x:f>
      </x:c>
      <x:c r="AD123" s="68" t="str">
        <x:f>IF(COLUMN()-2&lt;=$E$3,INDEX($B$10:$B$59,RANDBETWEEN(1,$E$3)),"")</x:f>
      </x:c>
      <x:c r="AE123" s="68" t="str">
        <x:f>IF(COLUMN()-2&lt;=$E$3,INDEX($B$10:$B$59,RANDBETWEEN(1,$E$3)),"")</x:f>
      </x:c>
      <x:c r="AF123" s="68" t="str">
        <x:f>IF(COLUMN()-2&lt;=$E$3,INDEX($B$10:$B$59,RANDBETWEEN(1,$E$3)),"")</x:f>
      </x:c>
      <x:c r="AG123" s="68" t="str">
        <x:f>IF(COLUMN()-2&lt;=$E$3,INDEX($B$10:$B$59,RANDBETWEEN(1,$E$3)),"")</x:f>
      </x:c>
      <x:c r="AH123" s="68" t="str">
        <x:f>IF(COLUMN()-2&lt;=$E$3,INDEX($B$10:$B$59,RANDBETWEEN(1,$E$3)),"")</x:f>
      </x:c>
      <x:c r="AI123" s="68" t="str">
        <x:f>IF(COLUMN()-2&lt;=$E$3,INDEX($B$10:$B$59,RANDBETWEEN(1,$E$3)),"")</x:f>
      </x:c>
      <x:c r="AJ123" s="68" t="str">
        <x:f>IF(COLUMN()-2&lt;=$E$3,INDEX($B$10:$B$59,RANDBETWEEN(1,$E$3)),"")</x:f>
      </x:c>
      <x:c r="AK123" s="68" t="str">
        <x:f>IF(COLUMN()-2&lt;=$E$3,INDEX($B$10:$B$59,RANDBETWEEN(1,$E$3)),"")</x:f>
      </x:c>
      <x:c r="AL123" s="68" t="str">
        <x:f>IF(COLUMN()-2&lt;=$E$3,INDEX($B$10:$B$59,RANDBETWEEN(1,$E$3)),"")</x:f>
      </x:c>
      <x:c r="AM123" s="68" t="str">
        <x:f>IF(COLUMN()-2&lt;=$E$3,INDEX($B$10:$B$59,RANDBETWEEN(1,$E$3)),"")</x:f>
      </x:c>
      <x:c r="AN123" s="68" t="str">
        <x:f>IF(COLUMN()-2&lt;=$E$3,INDEX($B$10:$B$59,RANDBETWEEN(1,$E$3)),"")</x:f>
      </x:c>
      <x:c r="AO123" s="68" t="str">
        <x:f>IF(COLUMN()-2&lt;=$E$3,INDEX($B$10:$B$59,RANDBETWEEN(1,$E$3)),"")</x:f>
      </x:c>
      <x:c r="AP123" s="68" t="str">
        <x:f>IF(COLUMN()-2&lt;=$E$3,INDEX($B$10:$B$59,RANDBETWEEN(1,$E$3)),"")</x:f>
      </x:c>
      <x:c r="AQ123" s="68" t="str">
        <x:f>IF(COLUMN()-2&lt;=$E$3,INDEX($B$10:$B$59,RANDBETWEEN(1,$E$3)),"")</x:f>
      </x:c>
      <x:c r="AR123" s="68" t="str">
        <x:f>IF(COLUMN()-2&lt;=$E$3,INDEX($B$10:$B$59,RANDBETWEEN(1,$E$3)),"")</x:f>
      </x:c>
      <x:c r="AS123" s="68" t="str">
        <x:f>IF(COLUMN()-2&lt;=$E$3,INDEX($B$10:$B$59,RANDBETWEEN(1,$E$3)),"")</x:f>
      </x:c>
      <x:c r="AT123" s="68" t="str">
        <x:f>IF(COLUMN()-2&lt;=$E$3,INDEX($B$10:$B$59,RANDBETWEEN(1,$E$3)),"")</x:f>
      </x:c>
      <x:c r="AU123" s="68" t="str">
        <x:f>IF(COLUMN()-2&lt;=$E$3,INDEX($B$10:$B$59,RANDBETWEEN(1,$E$3)),"")</x:f>
      </x:c>
      <x:c r="AV123" s="68" t="str">
        <x:f>IF(COLUMN()-2&lt;=$E$3,INDEX($B$10:$B$59,RANDBETWEEN(1,$E$3)),"")</x:f>
      </x:c>
      <x:c r="AW123" s="68" t="str">
        <x:f>IF(COLUMN()-2&lt;=$E$3,INDEX($B$10:$B$59,RANDBETWEEN(1,$E$3)),"")</x:f>
      </x:c>
      <x:c r="AX123" s="68" t="str">
        <x:f>IF(COLUMN()-2&lt;=$E$3,INDEX($B$10:$B$59,RANDBETWEEN(1,$E$3)),"")</x:f>
      </x:c>
      <x:c r="AY123" s="68" t="str">
        <x:f>IF(COLUMN()-2&lt;=$E$3,INDEX($B$10:$B$59,RANDBETWEEN(1,$E$3)),"")</x:f>
      </x:c>
      <x:c r="AZ123" s="68" t="str">
        <x:f>IF(COLUMN()-2&lt;=$E$3,INDEX($B$10:$B$59,RANDBETWEEN(1,$E$3)),"")</x:f>
      </x:c>
      <x:c r="BA123" s="68" t="str">
        <x:f>IF($E$3=0,"",AVERAGE(C123:AZ123))</x:f>
      </x:c>
    </x:row>
    <x:row r="124">
      <x:c r="A124" t="n">
        <x:v>60</x:v>
      </x:c>
      <x:c r="C124" s="68" t="str">
        <x:f>IF(COLUMN()-2&lt;=$E$3,INDEX($B$10:$B$59,RANDBETWEEN(1,$E$3)),"")</x:f>
      </x:c>
      <x:c r="D124" s="68" t="str">
        <x:f>IF(COLUMN()-2&lt;=$E$3,INDEX($B$10:$B$59,RANDBETWEEN(1,$E$3)),"")</x:f>
      </x:c>
      <x:c r="E124" s="68" t="str">
        <x:f>IF(COLUMN()-2&lt;=$E$3,INDEX($B$10:$B$59,RANDBETWEEN(1,$E$3)),"")</x:f>
      </x:c>
      <x:c r="F124" s="68" t="str">
        <x:f>IF(COLUMN()-2&lt;=$E$3,INDEX($B$10:$B$59,RANDBETWEEN(1,$E$3)),"")</x:f>
      </x:c>
      <x:c r="G124" s="68" t="str">
        <x:f>IF(COLUMN()-2&lt;=$E$3,INDEX($B$10:$B$59,RANDBETWEEN(1,$E$3)),"")</x:f>
      </x:c>
      <x:c r="H124" s="68" t="str">
        <x:f>IF(COLUMN()-2&lt;=$E$3,INDEX($B$10:$B$59,RANDBETWEEN(1,$E$3)),"")</x:f>
      </x:c>
      <x:c r="I124" s="68" t="str">
        <x:f>IF(COLUMN()-2&lt;=$E$3,INDEX($B$10:$B$59,RANDBETWEEN(1,$E$3)),"")</x:f>
      </x:c>
      <x:c r="J124" s="68" t="str">
        <x:f>IF(COLUMN()-2&lt;=$E$3,INDEX($B$10:$B$59,RANDBETWEEN(1,$E$3)),"")</x:f>
      </x:c>
      <x:c r="K124" s="68" t="str">
        <x:f>IF(COLUMN()-2&lt;=$E$3,INDEX($B$10:$B$59,RANDBETWEEN(1,$E$3)),"")</x:f>
      </x:c>
      <x:c r="L124" s="68" t="str">
        <x:f>IF(COLUMN()-2&lt;=$E$3,INDEX($B$10:$B$59,RANDBETWEEN(1,$E$3)),"")</x:f>
      </x:c>
      <x:c r="M124" s="68" t="str">
        <x:f>IF(COLUMN()-2&lt;=$E$3,INDEX($B$10:$B$59,RANDBETWEEN(1,$E$3)),"")</x:f>
      </x:c>
      <x:c r="N124" s="68" t="str">
        <x:f>IF(COLUMN()-2&lt;=$E$3,INDEX($B$10:$B$59,RANDBETWEEN(1,$E$3)),"")</x:f>
      </x:c>
      <x:c r="O124" s="68" t="str">
        <x:f>IF(COLUMN()-2&lt;=$E$3,INDEX($B$10:$B$59,RANDBETWEEN(1,$E$3)),"")</x:f>
      </x:c>
      <x:c r="P124" s="68" t="str">
        <x:f>IF(COLUMN()-2&lt;=$E$3,INDEX($B$10:$B$59,RANDBETWEEN(1,$E$3)),"")</x:f>
      </x:c>
      <x:c r="Q124" s="68" t="str">
        <x:f>IF(COLUMN()-2&lt;=$E$3,INDEX($B$10:$B$59,RANDBETWEEN(1,$E$3)),"")</x:f>
      </x:c>
      <x:c r="R124" s="68" t="str">
        <x:f>IF(COLUMN()-2&lt;=$E$3,INDEX($B$10:$B$59,RANDBETWEEN(1,$E$3)),"")</x:f>
      </x:c>
      <x:c r="S124" s="68" t="str">
        <x:f>IF(COLUMN()-2&lt;=$E$3,INDEX($B$10:$B$59,RANDBETWEEN(1,$E$3)),"")</x:f>
      </x:c>
      <x:c r="T124" s="68" t="str">
        <x:f>IF(COLUMN()-2&lt;=$E$3,INDEX($B$10:$B$59,RANDBETWEEN(1,$E$3)),"")</x:f>
      </x:c>
      <x:c r="U124" s="68" t="str">
        <x:f>IF(COLUMN()-2&lt;=$E$3,INDEX($B$10:$B$59,RANDBETWEEN(1,$E$3)),"")</x:f>
      </x:c>
      <x:c r="V124" s="68" t="str">
        <x:f>IF(COLUMN()-2&lt;=$E$3,INDEX($B$10:$B$59,RANDBETWEEN(1,$E$3)),"")</x:f>
      </x:c>
      <x:c r="W124" s="68" t="str">
        <x:f>IF(COLUMN()-2&lt;=$E$3,INDEX($B$10:$B$59,RANDBETWEEN(1,$E$3)),"")</x:f>
      </x:c>
      <x:c r="X124" s="68" t="str">
        <x:f>IF(COLUMN()-2&lt;=$E$3,INDEX($B$10:$B$59,RANDBETWEEN(1,$E$3)),"")</x:f>
      </x:c>
      <x:c r="Y124" s="68" t="str">
        <x:f>IF(COLUMN()-2&lt;=$E$3,INDEX($B$10:$B$59,RANDBETWEEN(1,$E$3)),"")</x:f>
      </x:c>
      <x:c r="Z124" s="68" t="str">
        <x:f>IF(COLUMN()-2&lt;=$E$3,INDEX($B$10:$B$59,RANDBETWEEN(1,$E$3)),"")</x:f>
      </x:c>
      <x:c r="AA124" s="68" t="str">
        <x:f>IF(COLUMN()-2&lt;=$E$3,INDEX($B$10:$B$59,RANDBETWEEN(1,$E$3)),"")</x:f>
      </x:c>
      <x:c r="AB124" s="68" t="str">
        <x:f>IF(COLUMN()-2&lt;=$E$3,INDEX($B$10:$B$59,RANDBETWEEN(1,$E$3)),"")</x:f>
      </x:c>
      <x:c r="AC124" s="68" t="str">
        <x:f>IF(COLUMN()-2&lt;=$E$3,INDEX($B$10:$B$59,RANDBETWEEN(1,$E$3)),"")</x:f>
      </x:c>
      <x:c r="AD124" s="68" t="str">
        <x:f>IF(COLUMN()-2&lt;=$E$3,INDEX($B$10:$B$59,RANDBETWEEN(1,$E$3)),"")</x:f>
      </x:c>
      <x:c r="AE124" s="68" t="str">
        <x:f>IF(COLUMN()-2&lt;=$E$3,INDEX($B$10:$B$59,RANDBETWEEN(1,$E$3)),"")</x:f>
      </x:c>
      <x:c r="AF124" s="68" t="str">
        <x:f>IF(COLUMN()-2&lt;=$E$3,INDEX($B$10:$B$59,RANDBETWEEN(1,$E$3)),"")</x:f>
      </x:c>
      <x:c r="AG124" s="68" t="str">
        <x:f>IF(COLUMN()-2&lt;=$E$3,INDEX($B$10:$B$59,RANDBETWEEN(1,$E$3)),"")</x:f>
      </x:c>
      <x:c r="AH124" s="68" t="str">
        <x:f>IF(COLUMN()-2&lt;=$E$3,INDEX($B$10:$B$59,RANDBETWEEN(1,$E$3)),"")</x:f>
      </x:c>
      <x:c r="AI124" s="68" t="str">
        <x:f>IF(COLUMN()-2&lt;=$E$3,INDEX($B$10:$B$59,RANDBETWEEN(1,$E$3)),"")</x:f>
      </x:c>
      <x:c r="AJ124" s="68" t="str">
        <x:f>IF(COLUMN()-2&lt;=$E$3,INDEX($B$10:$B$59,RANDBETWEEN(1,$E$3)),"")</x:f>
      </x:c>
      <x:c r="AK124" s="68" t="str">
        <x:f>IF(COLUMN()-2&lt;=$E$3,INDEX($B$10:$B$59,RANDBETWEEN(1,$E$3)),"")</x:f>
      </x:c>
      <x:c r="AL124" s="68" t="str">
        <x:f>IF(COLUMN()-2&lt;=$E$3,INDEX($B$10:$B$59,RANDBETWEEN(1,$E$3)),"")</x:f>
      </x:c>
      <x:c r="AM124" s="68" t="str">
        <x:f>IF(COLUMN()-2&lt;=$E$3,INDEX($B$10:$B$59,RANDBETWEEN(1,$E$3)),"")</x:f>
      </x:c>
      <x:c r="AN124" s="68" t="str">
        <x:f>IF(COLUMN()-2&lt;=$E$3,INDEX($B$10:$B$59,RANDBETWEEN(1,$E$3)),"")</x:f>
      </x:c>
      <x:c r="AO124" s="68" t="str">
        <x:f>IF(COLUMN()-2&lt;=$E$3,INDEX($B$10:$B$59,RANDBETWEEN(1,$E$3)),"")</x:f>
      </x:c>
      <x:c r="AP124" s="68" t="str">
        <x:f>IF(COLUMN()-2&lt;=$E$3,INDEX($B$10:$B$59,RANDBETWEEN(1,$E$3)),"")</x:f>
      </x:c>
      <x:c r="AQ124" s="68" t="str">
        <x:f>IF(COLUMN()-2&lt;=$E$3,INDEX($B$10:$B$59,RANDBETWEEN(1,$E$3)),"")</x:f>
      </x:c>
      <x:c r="AR124" s="68" t="str">
        <x:f>IF(COLUMN()-2&lt;=$E$3,INDEX($B$10:$B$59,RANDBETWEEN(1,$E$3)),"")</x:f>
      </x:c>
      <x:c r="AS124" s="68" t="str">
        <x:f>IF(COLUMN()-2&lt;=$E$3,INDEX($B$10:$B$59,RANDBETWEEN(1,$E$3)),"")</x:f>
      </x:c>
      <x:c r="AT124" s="68" t="str">
        <x:f>IF(COLUMN()-2&lt;=$E$3,INDEX($B$10:$B$59,RANDBETWEEN(1,$E$3)),"")</x:f>
      </x:c>
      <x:c r="AU124" s="68" t="str">
        <x:f>IF(COLUMN()-2&lt;=$E$3,INDEX($B$10:$B$59,RANDBETWEEN(1,$E$3)),"")</x:f>
      </x:c>
      <x:c r="AV124" s="68" t="str">
        <x:f>IF(COLUMN()-2&lt;=$E$3,INDEX($B$10:$B$59,RANDBETWEEN(1,$E$3)),"")</x:f>
      </x:c>
      <x:c r="AW124" s="68" t="str">
        <x:f>IF(COLUMN()-2&lt;=$E$3,INDEX($B$10:$B$59,RANDBETWEEN(1,$E$3)),"")</x:f>
      </x:c>
      <x:c r="AX124" s="68" t="str">
        <x:f>IF(COLUMN()-2&lt;=$E$3,INDEX($B$10:$B$59,RANDBETWEEN(1,$E$3)),"")</x:f>
      </x:c>
      <x:c r="AY124" s="68" t="str">
        <x:f>IF(COLUMN()-2&lt;=$E$3,INDEX($B$10:$B$59,RANDBETWEEN(1,$E$3)),"")</x:f>
      </x:c>
      <x:c r="AZ124" s="68" t="str">
        <x:f>IF(COLUMN()-2&lt;=$E$3,INDEX($B$10:$B$59,RANDBETWEEN(1,$E$3)),"")</x:f>
      </x:c>
      <x:c r="BA124" s="68" t="str">
        <x:f>IF($E$3=0,"",AVERAGE(C124:AZ124))</x:f>
      </x:c>
    </x:row>
    <x:row r="125">
      <x:c r="A125" t="n">
        <x:v>61</x:v>
      </x:c>
      <x:c r="C125" s="68" t="str">
        <x:f>IF(COLUMN()-2&lt;=$E$3,INDEX($B$10:$B$59,RANDBETWEEN(1,$E$3)),"")</x:f>
      </x:c>
      <x:c r="D125" s="68" t="str">
        <x:f>IF(COLUMN()-2&lt;=$E$3,INDEX($B$10:$B$59,RANDBETWEEN(1,$E$3)),"")</x:f>
      </x:c>
      <x:c r="E125" s="68" t="str">
        <x:f>IF(COLUMN()-2&lt;=$E$3,INDEX($B$10:$B$59,RANDBETWEEN(1,$E$3)),"")</x:f>
      </x:c>
      <x:c r="F125" s="68" t="str">
        <x:f>IF(COLUMN()-2&lt;=$E$3,INDEX($B$10:$B$59,RANDBETWEEN(1,$E$3)),"")</x:f>
      </x:c>
      <x:c r="G125" s="68" t="str">
        <x:f>IF(COLUMN()-2&lt;=$E$3,INDEX($B$10:$B$59,RANDBETWEEN(1,$E$3)),"")</x:f>
      </x:c>
      <x:c r="H125" s="68" t="str">
        <x:f>IF(COLUMN()-2&lt;=$E$3,INDEX($B$10:$B$59,RANDBETWEEN(1,$E$3)),"")</x:f>
      </x:c>
      <x:c r="I125" s="68" t="str">
        <x:f>IF(COLUMN()-2&lt;=$E$3,INDEX($B$10:$B$59,RANDBETWEEN(1,$E$3)),"")</x:f>
      </x:c>
      <x:c r="J125" s="68" t="str">
        <x:f>IF(COLUMN()-2&lt;=$E$3,INDEX($B$10:$B$59,RANDBETWEEN(1,$E$3)),"")</x:f>
      </x:c>
      <x:c r="K125" s="68" t="str">
        <x:f>IF(COLUMN()-2&lt;=$E$3,INDEX($B$10:$B$59,RANDBETWEEN(1,$E$3)),"")</x:f>
      </x:c>
      <x:c r="L125" s="68" t="str">
        <x:f>IF(COLUMN()-2&lt;=$E$3,INDEX($B$10:$B$59,RANDBETWEEN(1,$E$3)),"")</x:f>
      </x:c>
      <x:c r="M125" s="68" t="str">
        <x:f>IF(COLUMN()-2&lt;=$E$3,INDEX($B$10:$B$59,RANDBETWEEN(1,$E$3)),"")</x:f>
      </x:c>
      <x:c r="N125" s="68" t="str">
        <x:f>IF(COLUMN()-2&lt;=$E$3,INDEX($B$10:$B$59,RANDBETWEEN(1,$E$3)),"")</x:f>
      </x:c>
      <x:c r="O125" s="68" t="str">
        <x:f>IF(COLUMN()-2&lt;=$E$3,INDEX($B$10:$B$59,RANDBETWEEN(1,$E$3)),"")</x:f>
      </x:c>
      <x:c r="P125" s="68" t="str">
        <x:f>IF(COLUMN()-2&lt;=$E$3,INDEX($B$10:$B$59,RANDBETWEEN(1,$E$3)),"")</x:f>
      </x:c>
      <x:c r="Q125" s="68" t="str">
        <x:f>IF(COLUMN()-2&lt;=$E$3,INDEX($B$10:$B$59,RANDBETWEEN(1,$E$3)),"")</x:f>
      </x:c>
      <x:c r="R125" s="68" t="str">
        <x:f>IF(COLUMN()-2&lt;=$E$3,INDEX($B$10:$B$59,RANDBETWEEN(1,$E$3)),"")</x:f>
      </x:c>
      <x:c r="S125" s="68" t="str">
        <x:f>IF(COLUMN()-2&lt;=$E$3,INDEX($B$10:$B$59,RANDBETWEEN(1,$E$3)),"")</x:f>
      </x:c>
      <x:c r="T125" s="68" t="str">
        <x:f>IF(COLUMN()-2&lt;=$E$3,INDEX($B$10:$B$59,RANDBETWEEN(1,$E$3)),"")</x:f>
      </x:c>
      <x:c r="U125" s="68" t="str">
        <x:f>IF(COLUMN()-2&lt;=$E$3,INDEX($B$10:$B$59,RANDBETWEEN(1,$E$3)),"")</x:f>
      </x:c>
      <x:c r="V125" s="68" t="str">
        <x:f>IF(COLUMN()-2&lt;=$E$3,INDEX($B$10:$B$59,RANDBETWEEN(1,$E$3)),"")</x:f>
      </x:c>
      <x:c r="W125" s="68" t="str">
        <x:f>IF(COLUMN()-2&lt;=$E$3,INDEX($B$10:$B$59,RANDBETWEEN(1,$E$3)),"")</x:f>
      </x:c>
      <x:c r="X125" s="68" t="str">
        <x:f>IF(COLUMN()-2&lt;=$E$3,INDEX($B$10:$B$59,RANDBETWEEN(1,$E$3)),"")</x:f>
      </x:c>
      <x:c r="Y125" s="68" t="str">
        <x:f>IF(COLUMN()-2&lt;=$E$3,INDEX($B$10:$B$59,RANDBETWEEN(1,$E$3)),"")</x:f>
      </x:c>
      <x:c r="Z125" s="68" t="str">
        <x:f>IF(COLUMN()-2&lt;=$E$3,INDEX($B$10:$B$59,RANDBETWEEN(1,$E$3)),"")</x:f>
      </x:c>
      <x:c r="AA125" s="68" t="str">
        <x:f>IF(COLUMN()-2&lt;=$E$3,INDEX($B$10:$B$59,RANDBETWEEN(1,$E$3)),"")</x:f>
      </x:c>
      <x:c r="AB125" s="68" t="str">
        <x:f>IF(COLUMN()-2&lt;=$E$3,INDEX($B$10:$B$59,RANDBETWEEN(1,$E$3)),"")</x:f>
      </x:c>
      <x:c r="AC125" s="68" t="str">
        <x:f>IF(COLUMN()-2&lt;=$E$3,INDEX($B$10:$B$59,RANDBETWEEN(1,$E$3)),"")</x:f>
      </x:c>
      <x:c r="AD125" s="68" t="str">
        <x:f>IF(COLUMN()-2&lt;=$E$3,INDEX($B$10:$B$59,RANDBETWEEN(1,$E$3)),"")</x:f>
      </x:c>
      <x:c r="AE125" s="68" t="str">
        <x:f>IF(COLUMN()-2&lt;=$E$3,INDEX($B$10:$B$59,RANDBETWEEN(1,$E$3)),"")</x:f>
      </x:c>
      <x:c r="AF125" s="68" t="str">
        <x:f>IF(COLUMN()-2&lt;=$E$3,INDEX($B$10:$B$59,RANDBETWEEN(1,$E$3)),"")</x:f>
      </x:c>
      <x:c r="AG125" s="68" t="str">
        <x:f>IF(COLUMN()-2&lt;=$E$3,INDEX($B$10:$B$59,RANDBETWEEN(1,$E$3)),"")</x:f>
      </x:c>
      <x:c r="AH125" s="68" t="str">
        <x:f>IF(COLUMN()-2&lt;=$E$3,INDEX($B$10:$B$59,RANDBETWEEN(1,$E$3)),"")</x:f>
      </x:c>
      <x:c r="AI125" s="68" t="str">
        <x:f>IF(COLUMN()-2&lt;=$E$3,INDEX($B$10:$B$59,RANDBETWEEN(1,$E$3)),"")</x:f>
      </x:c>
      <x:c r="AJ125" s="68" t="str">
        <x:f>IF(COLUMN()-2&lt;=$E$3,INDEX($B$10:$B$59,RANDBETWEEN(1,$E$3)),"")</x:f>
      </x:c>
      <x:c r="AK125" s="68" t="str">
        <x:f>IF(COLUMN()-2&lt;=$E$3,INDEX($B$10:$B$59,RANDBETWEEN(1,$E$3)),"")</x:f>
      </x:c>
      <x:c r="AL125" s="68" t="str">
        <x:f>IF(COLUMN()-2&lt;=$E$3,INDEX($B$10:$B$59,RANDBETWEEN(1,$E$3)),"")</x:f>
      </x:c>
      <x:c r="AM125" s="68" t="str">
        <x:f>IF(COLUMN()-2&lt;=$E$3,INDEX($B$10:$B$59,RANDBETWEEN(1,$E$3)),"")</x:f>
      </x:c>
      <x:c r="AN125" s="68" t="str">
        <x:f>IF(COLUMN()-2&lt;=$E$3,INDEX($B$10:$B$59,RANDBETWEEN(1,$E$3)),"")</x:f>
      </x:c>
      <x:c r="AO125" s="68" t="str">
        <x:f>IF(COLUMN()-2&lt;=$E$3,INDEX($B$10:$B$59,RANDBETWEEN(1,$E$3)),"")</x:f>
      </x:c>
      <x:c r="AP125" s="68" t="str">
        <x:f>IF(COLUMN()-2&lt;=$E$3,INDEX($B$10:$B$59,RANDBETWEEN(1,$E$3)),"")</x:f>
      </x:c>
      <x:c r="AQ125" s="68" t="str">
        <x:f>IF(COLUMN()-2&lt;=$E$3,INDEX($B$10:$B$59,RANDBETWEEN(1,$E$3)),"")</x:f>
      </x:c>
      <x:c r="AR125" s="68" t="str">
        <x:f>IF(COLUMN()-2&lt;=$E$3,INDEX($B$10:$B$59,RANDBETWEEN(1,$E$3)),"")</x:f>
      </x:c>
      <x:c r="AS125" s="68" t="str">
        <x:f>IF(COLUMN()-2&lt;=$E$3,INDEX($B$10:$B$59,RANDBETWEEN(1,$E$3)),"")</x:f>
      </x:c>
      <x:c r="AT125" s="68" t="str">
        <x:f>IF(COLUMN()-2&lt;=$E$3,INDEX($B$10:$B$59,RANDBETWEEN(1,$E$3)),"")</x:f>
      </x:c>
      <x:c r="AU125" s="68" t="str">
        <x:f>IF(COLUMN()-2&lt;=$E$3,INDEX($B$10:$B$59,RANDBETWEEN(1,$E$3)),"")</x:f>
      </x:c>
      <x:c r="AV125" s="68" t="str">
        <x:f>IF(COLUMN()-2&lt;=$E$3,INDEX($B$10:$B$59,RANDBETWEEN(1,$E$3)),"")</x:f>
      </x:c>
      <x:c r="AW125" s="68" t="str">
        <x:f>IF(COLUMN()-2&lt;=$E$3,INDEX($B$10:$B$59,RANDBETWEEN(1,$E$3)),"")</x:f>
      </x:c>
      <x:c r="AX125" s="68" t="str">
        <x:f>IF(COLUMN()-2&lt;=$E$3,INDEX($B$10:$B$59,RANDBETWEEN(1,$E$3)),"")</x:f>
      </x:c>
      <x:c r="AY125" s="68" t="str">
        <x:f>IF(COLUMN()-2&lt;=$E$3,INDEX($B$10:$B$59,RANDBETWEEN(1,$E$3)),"")</x:f>
      </x:c>
      <x:c r="AZ125" s="68" t="str">
        <x:f>IF(COLUMN()-2&lt;=$E$3,INDEX($B$10:$B$59,RANDBETWEEN(1,$E$3)),"")</x:f>
      </x:c>
      <x:c r="BA125" s="68" t="str">
        <x:f>IF($E$3=0,"",AVERAGE(C125:AZ125))</x:f>
      </x:c>
    </x:row>
    <x:row r="126">
      <x:c r="A126" t="n">
        <x:v>62</x:v>
      </x:c>
      <x:c r="C126" s="68" t="str">
        <x:f>IF(COLUMN()-2&lt;=$E$3,INDEX($B$10:$B$59,RANDBETWEEN(1,$E$3)),"")</x:f>
      </x:c>
      <x:c r="D126" s="68" t="str">
        <x:f>IF(COLUMN()-2&lt;=$E$3,INDEX($B$10:$B$59,RANDBETWEEN(1,$E$3)),"")</x:f>
      </x:c>
      <x:c r="E126" s="68" t="str">
        <x:f>IF(COLUMN()-2&lt;=$E$3,INDEX($B$10:$B$59,RANDBETWEEN(1,$E$3)),"")</x:f>
      </x:c>
      <x:c r="F126" s="68" t="str">
        <x:f>IF(COLUMN()-2&lt;=$E$3,INDEX($B$10:$B$59,RANDBETWEEN(1,$E$3)),"")</x:f>
      </x:c>
      <x:c r="G126" s="68" t="str">
        <x:f>IF(COLUMN()-2&lt;=$E$3,INDEX($B$10:$B$59,RANDBETWEEN(1,$E$3)),"")</x:f>
      </x:c>
      <x:c r="H126" s="68" t="str">
        <x:f>IF(COLUMN()-2&lt;=$E$3,INDEX($B$10:$B$59,RANDBETWEEN(1,$E$3)),"")</x:f>
      </x:c>
      <x:c r="I126" s="68" t="str">
        <x:f>IF(COLUMN()-2&lt;=$E$3,INDEX($B$10:$B$59,RANDBETWEEN(1,$E$3)),"")</x:f>
      </x:c>
      <x:c r="J126" s="68" t="str">
        <x:f>IF(COLUMN()-2&lt;=$E$3,INDEX($B$10:$B$59,RANDBETWEEN(1,$E$3)),"")</x:f>
      </x:c>
      <x:c r="K126" s="68" t="str">
        <x:f>IF(COLUMN()-2&lt;=$E$3,INDEX($B$10:$B$59,RANDBETWEEN(1,$E$3)),"")</x:f>
      </x:c>
      <x:c r="L126" s="68" t="str">
        <x:f>IF(COLUMN()-2&lt;=$E$3,INDEX($B$10:$B$59,RANDBETWEEN(1,$E$3)),"")</x:f>
      </x:c>
      <x:c r="M126" s="68" t="str">
        <x:f>IF(COLUMN()-2&lt;=$E$3,INDEX($B$10:$B$59,RANDBETWEEN(1,$E$3)),"")</x:f>
      </x:c>
      <x:c r="N126" s="68" t="str">
        <x:f>IF(COLUMN()-2&lt;=$E$3,INDEX($B$10:$B$59,RANDBETWEEN(1,$E$3)),"")</x:f>
      </x:c>
      <x:c r="O126" s="68" t="str">
        <x:f>IF(COLUMN()-2&lt;=$E$3,INDEX($B$10:$B$59,RANDBETWEEN(1,$E$3)),"")</x:f>
      </x:c>
      <x:c r="P126" s="68" t="str">
        <x:f>IF(COLUMN()-2&lt;=$E$3,INDEX($B$10:$B$59,RANDBETWEEN(1,$E$3)),"")</x:f>
      </x:c>
      <x:c r="Q126" s="68" t="str">
        <x:f>IF(COLUMN()-2&lt;=$E$3,INDEX($B$10:$B$59,RANDBETWEEN(1,$E$3)),"")</x:f>
      </x:c>
      <x:c r="R126" s="68" t="str">
        <x:f>IF(COLUMN()-2&lt;=$E$3,INDEX($B$10:$B$59,RANDBETWEEN(1,$E$3)),"")</x:f>
      </x:c>
      <x:c r="S126" s="68" t="str">
        <x:f>IF(COLUMN()-2&lt;=$E$3,INDEX($B$10:$B$59,RANDBETWEEN(1,$E$3)),"")</x:f>
      </x:c>
      <x:c r="T126" s="68" t="str">
        <x:f>IF(COLUMN()-2&lt;=$E$3,INDEX($B$10:$B$59,RANDBETWEEN(1,$E$3)),"")</x:f>
      </x:c>
      <x:c r="U126" s="68" t="str">
        <x:f>IF(COLUMN()-2&lt;=$E$3,INDEX($B$10:$B$59,RANDBETWEEN(1,$E$3)),"")</x:f>
      </x:c>
      <x:c r="V126" s="68" t="str">
        <x:f>IF(COLUMN()-2&lt;=$E$3,INDEX($B$10:$B$59,RANDBETWEEN(1,$E$3)),"")</x:f>
      </x:c>
      <x:c r="W126" s="68" t="str">
        <x:f>IF(COLUMN()-2&lt;=$E$3,INDEX($B$10:$B$59,RANDBETWEEN(1,$E$3)),"")</x:f>
      </x:c>
      <x:c r="X126" s="68" t="str">
        <x:f>IF(COLUMN()-2&lt;=$E$3,INDEX($B$10:$B$59,RANDBETWEEN(1,$E$3)),"")</x:f>
      </x:c>
      <x:c r="Y126" s="68" t="str">
        <x:f>IF(COLUMN()-2&lt;=$E$3,INDEX($B$10:$B$59,RANDBETWEEN(1,$E$3)),"")</x:f>
      </x:c>
      <x:c r="Z126" s="68" t="str">
        <x:f>IF(COLUMN()-2&lt;=$E$3,INDEX($B$10:$B$59,RANDBETWEEN(1,$E$3)),"")</x:f>
      </x:c>
      <x:c r="AA126" s="68" t="str">
        <x:f>IF(COLUMN()-2&lt;=$E$3,INDEX($B$10:$B$59,RANDBETWEEN(1,$E$3)),"")</x:f>
      </x:c>
      <x:c r="AB126" s="68" t="str">
        <x:f>IF(COLUMN()-2&lt;=$E$3,INDEX($B$10:$B$59,RANDBETWEEN(1,$E$3)),"")</x:f>
      </x:c>
      <x:c r="AC126" s="68" t="str">
        <x:f>IF(COLUMN()-2&lt;=$E$3,INDEX($B$10:$B$59,RANDBETWEEN(1,$E$3)),"")</x:f>
      </x:c>
      <x:c r="AD126" s="68" t="str">
        <x:f>IF(COLUMN()-2&lt;=$E$3,INDEX($B$10:$B$59,RANDBETWEEN(1,$E$3)),"")</x:f>
      </x:c>
      <x:c r="AE126" s="68" t="str">
        <x:f>IF(COLUMN()-2&lt;=$E$3,INDEX($B$10:$B$59,RANDBETWEEN(1,$E$3)),"")</x:f>
      </x:c>
      <x:c r="AF126" s="68" t="str">
        <x:f>IF(COLUMN()-2&lt;=$E$3,INDEX($B$10:$B$59,RANDBETWEEN(1,$E$3)),"")</x:f>
      </x:c>
      <x:c r="AG126" s="68" t="str">
        <x:f>IF(COLUMN()-2&lt;=$E$3,INDEX($B$10:$B$59,RANDBETWEEN(1,$E$3)),"")</x:f>
      </x:c>
      <x:c r="AH126" s="68" t="str">
        <x:f>IF(COLUMN()-2&lt;=$E$3,INDEX($B$10:$B$59,RANDBETWEEN(1,$E$3)),"")</x:f>
      </x:c>
      <x:c r="AI126" s="68" t="str">
        <x:f>IF(COLUMN()-2&lt;=$E$3,INDEX($B$10:$B$59,RANDBETWEEN(1,$E$3)),"")</x:f>
      </x:c>
      <x:c r="AJ126" s="68" t="str">
        <x:f>IF(COLUMN()-2&lt;=$E$3,INDEX($B$10:$B$59,RANDBETWEEN(1,$E$3)),"")</x:f>
      </x:c>
      <x:c r="AK126" s="68" t="str">
        <x:f>IF(COLUMN()-2&lt;=$E$3,INDEX($B$10:$B$59,RANDBETWEEN(1,$E$3)),"")</x:f>
      </x:c>
      <x:c r="AL126" s="68" t="str">
        <x:f>IF(COLUMN()-2&lt;=$E$3,INDEX($B$10:$B$59,RANDBETWEEN(1,$E$3)),"")</x:f>
      </x:c>
      <x:c r="AM126" s="68" t="str">
        <x:f>IF(COLUMN()-2&lt;=$E$3,INDEX($B$10:$B$59,RANDBETWEEN(1,$E$3)),"")</x:f>
      </x:c>
      <x:c r="AN126" s="68" t="str">
        <x:f>IF(COLUMN()-2&lt;=$E$3,INDEX($B$10:$B$59,RANDBETWEEN(1,$E$3)),"")</x:f>
      </x:c>
      <x:c r="AO126" s="68" t="str">
        <x:f>IF(COLUMN()-2&lt;=$E$3,INDEX($B$10:$B$59,RANDBETWEEN(1,$E$3)),"")</x:f>
      </x:c>
      <x:c r="AP126" s="68" t="str">
        <x:f>IF(COLUMN()-2&lt;=$E$3,INDEX($B$10:$B$59,RANDBETWEEN(1,$E$3)),"")</x:f>
      </x:c>
      <x:c r="AQ126" s="68" t="str">
        <x:f>IF(COLUMN()-2&lt;=$E$3,INDEX($B$10:$B$59,RANDBETWEEN(1,$E$3)),"")</x:f>
      </x:c>
      <x:c r="AR126" s="68" t="str">
        <x:f>IF(COLUMN()-2&lt;=$E$3,INDEX($B$10:$B$59,RANDBETWEEN(1,$E$3)),"")</x:f>
      </x:c>
      <x:c r="AS126" s="68" t="str">
        <x:f>IF(COLUMN()-2&lt;=$E$3,INDEX($B$10:$B$59,RANDBETWEEN(1,$E$3)),"")</x:f>
      </x:c>
      <x:c r="AT126" s="68" t="str">
        <x:f>IF(COLUMN()-2&lt;=$E$3,INDEX($B$10:$B$59,RANDBETWEEN(1,$E$3)),"")</x:f>
      </x:c>
      <x:c r="AU126" s="68" t="str">
        <x:f>IF(COLUMN()-2&lt;=$E$3,INDEX($B$10:$B$59,RANDBETWEEN(1,$E$3)),"")</x:f>
      </x:c>
      <x:c r="AV126" s="68" t="str">
        <x:f>IF(COLUMN()-2&lt;=$E$3,INDEX($B$10:$B$59,RANDBETWEEN(1,$E$3)),"")</x:f>
      </x:c>
      <x:c r="AW126" s="68" t="str">
        <x:f>IF(COLUMN()-2&lt;=$E$3,INDEX($B$10:$B$59,RANDBETWEEN(1,$E$3)),"")</x:f>
      </x:c>
      <x:c r="AX126" s="68" t="str">
        <x:f>IF(COLUMN()-2&lt;=$E$3,INDEX($B$10:$B$59,RANDBETWEEN(1,$E$3)),"")</x:f>
      </x:c>
      <x:c r="AY126" s="68" t="str">
        <x:f>IF(COLUMN()-2&lt;=$E$3,INDEX($B$10:$B$59,RANDBETWEEN(1,$E$3)),"")</x:f>
      </x:c>
      <x:c r="AZ126" s="68" t="str">
        <x:f>IF(COLUMN()-2&lt;=$E$3,INDEX($B$10:$B$59,RANDBETWEEN(1,$E$3)),"")</x:f>
      </x:c>
      <x:c r="BA126" s="68" t="str">
        <x:f>IF($E$3=0,"",AVERAGE(C126:AZ126))</x:f>
      </x:c>
    </x:row>
    <x:row r="127">
      <x:c r="A127" t="n">
        <x:v>63</x:v>
      </x:c>
      <x:c r="C127" s="68" t="str">
        <x:f>IF(COLUMN()-2&lt;=$E$3,INDEX($B$10:$B$59,RANDBETWEEN(1,$E$3)),"")</x:f>
      </x:c>
      <x:c r="D127" s="68" t="str">
        <x:f>IF(COLUMN()-2&lt;=$E$3,INDEX($B$10:$B$59,RANDBETWEEN(1,$E$3)),"")</x:f>
      </x:c>
      <x:c r="E127" s="68" t="str">
        <x:f>IF(COLUMN()-2&lt;=$E$3,INDEX($B$10:$B$59,RANDBETWEEN(1,$E$3)),"")</x:f>
      </x:c>
      <x:c r="F127" s="68" t="str">
        <x:f>IF(COLUMN()-2&lt;=$E$3,INDEX($B$10:$B$59,RANDBETWEEN(1,$E$3)),"")</x:f>
      </x:c>
      <x:c r="G127" s="68" t="str">
        <x:f>IF(COLUMN()-2&lt;=$E$3,INDEX($B$10:$B$59,RANDBETWEEN(1,$E$3)),"")</x:f>
      </x:c>
      <x:c r="H127" s="68" t="str">
        <x:f>IF(COLUMN()-2&lt;=$E$3,INDEX($B$10:$B$59,RANDBETWEEN(1,$E$3)),"")</x:f>
      </x:c>
      <x:c r="I127" s="68" t="str">
        <x:f>IF(COLUMN()-2&lt;=$E$3,INDEX($B$10:$B$59,RANDBETWEEN(1,$E$3)),"")</x:f>
      </x:c>
      <x:c r="J127" s="68" t="str">
        <x:f>IF(COLUMN()-2&lt;=$E$3,INDEX($B$10:$B$59,RANDBETWEEN(1,$E$3)),"")</x:f>
      </x:c>
      <x:c r="K127" s="68" t="str">
        <x:f>IF(COLUMN()-2&lt;=$E$3,INDEX($B$10:$B$59,RANDBETWEEN(1,$E$3)),"")</x:f>
      </x:c>
      <x:c r="L127" s="68" t="str">
        <x:f>IF(COLUMN()-2&lt;=$E$3,INDEX($B$10:$B$59,RANDBETWEEN(1,$E$3)),"")</x:f>
      </x:c>
      <x:c r="M127" s="68" t="str">
        <x:f>IF(COLUMN()-2&lt;=$E$3,INDEX($B$10:$B$59,RANDBETWEEN(1,$E$3)),"")</x:f>
      </x:c>
      <x:c r="N127" s="68" t="str">
        <x:f>IF(COLUMN()-2&lt;=$E$3,INDEX($B$10:$B$59,RANDBETWEEN(1,$E$3)),"")</x:f>
      </x:c>
      <x:c r="O127" s="68" t="str">
        <x:f>IF(COLUMN()-2&lt;=$E$3,INDEX($B$10:$B$59,RANDBETWEEN(1,$E$3)),"")</x:f>
      </x:c>
      <x:c r="P127" s="68" t="str">
        <x:f>IF(COLUMN()-2&lt;=$E$3,INDEX($B$10:$B$59,RANDBETWEEN(1,$E$3)),"")</x:f>
      </x:c>
      <x:c r="Q127" s="68" t="str">
        <x:f>IF(COLUMN()-2&lt;=$E$3,INDEX($B$10:$B$59,RANDBETWEEN(1,$E$3)),"")</x:f>
      </x:c>
      <x:c r="R127" s="68" t="str">
        <x:f>IF(COLUMN()-2&lt;=$E$3,INDEX($B$10:$B$59,RANDBETWEEN(1,$E$3)),"")</x:f>
      </x:c>
      <x:c r="S127" s="68" t="str">
        <x:f>IF(COLUMN()-2&lt;=$E$3,INDEX($B$10:$B$59,RANDBETWEEN(1,$E$3)),"")</x:f>
      </x:c>
      <x:c r="T127" s="68" t="str">
        <x:f>IF(COLUMN()-2&lt;=$E$3,INDEX($B$10:$B$59,RANDBETWEEN(1,$E$3)),"")</x:f>
      </x:c>
      <x:c r="U127" s="68" t="str">
        <x:f>IF(COLUMN()-2&lt;=$E$3,INDEX($B$10:$B$59,RANDBETWEEN(1,$E$3)),"")</x:f>
      </x:c>
      <x:c r="V127" s="68" t="str">
        <x:f>IF(COLUMN()-2&lt;=$E$3,INDEX($B$10:$B$59,RANDBETWEEN(1,$E$3)),"")</x:f>
      </x:c>
      <x:c r="W127" s="68" t="str">
        <x:f>IF(COLUMN()-2&lt;=$E$3,INDEX($B$10:$B$59,RANDBETWEEN(1,$E$3)),"")</x:f>
      </x:c>
      <x:c r="X127" s="68" t="str">
        <x:f>IF(COLUMN()-2&lt;=$E$3,INDEX($B$10:$B$59,RANDBETWEEN(1,$E$3)),"")</x:f>
      </x:c>
      <x:c r="Y127" s="68" t="str">
        <x:f>IF(COLUMN()-2&lt;=$E$3,INDEX($B$10:$B$59,RANDBETWEEN(1,$E$3)),"")</x:f>
      </x:c>
      <x:c r="Z127" s="68" t="str">
        <x:f>IF(COLUMN()-2&lt;=$E$3,INDEX($B$10:$B$59,RANDBETWEEN(1,$E$3)),"")</x:f>
      </x:c>
      <x:c r="AA127" s="68" t="str">
        <x:f>IF(COLUMN()-2&lt;=$E$3,INDEX($B$10:$B$59,RANDBETWEEN(1,$E$3)),"")</x:f>
      </x:c>
      <x:c r="AB127" s="68" t="str">
        <x:f>IF(COLUMN()-2&lt;=$E$3,INDEX($B$10:$B$59,RANDBETWEEN(1,$E$3)),"")</x:f>
      </x:c>
      <x:c r="AC127" s="68" t="str">
        <x:f>IF(COLUMN()-2&lt;=$E$3,INDEX($B$10:$B$59,RANDBETWEEN(1,$E$3)),"")</x:f>
      </x:c>
      <x:c r="AD127" s="68" t="str">
        <x:f>IF(COLUMN()-2&lt;=$E$3,INDEX($B$10:$B$59,RANDBETWEEN(1,$E$3)),"")</x:f>
      </x:c>
      <x:c r="AE127" s="68" t="str">
        <x:f>IF(COLUMN()-2&lt;=$E$3,INDEX($B$10:$B$59,RANDBETWEEN(1,$E$3)),"")</x:f>
      </x:c>
      <x:c r="AF127" s="68" t="str">
        <x:f>IF(COLUMN()-2&lt;=$E$3,INDEX($B$10:$B$59,RANDBETWEEN(1,$E$3)),"")</x:f>
      </x:c>
      <x:c r="AG127" s="68" t="str">
        <x:f>IF(COLUMN()-2&lt;=$E$3,INDEX($B$10:$B$59,RANDBETWEEN(1,$E$3)),"")</x:f>
      </x:c>
      <x:c r="AH127" s="68" t="str">
        <x:f>IF(COLUMN()-2&lt;=$E$3,INDEX($B$10:$B$59,RANDBETWEEN(1,$E$3)),"")</x:f>
      </x:c>
      <x:c r="AI127" s="68" t="str">
        <x:f>IF(COLUMN()-2&lt;=$E$3,INDEX($B$10:$B$59,RANDBETWEEN(1,$E$3)),"")</x:f>
      </x:c>
      <x:c r="AJ127" s="68" t="str">
        <x:f>IF(COLUMN()-2&lt;=$E$3,INDEX($B$10:$B$59,RANDBETWEEN(1,$E$3)),"")</x:f>
      </x:c>
      <x:c r="AK127" s="68" t="str">
        <x:f>IF(COLUMN()-2&lt;=$E$3,INDEX($B$10:$B$59,RANDBETWEEN(1,$E$3)),"")</x:f>
      </x:c>
      <x:c r="AL127" s="68" t="str">
        <x:f>IF(COLUMN()-2&lt;=$E$3,INDEX($B$10:$B$59,RANDBETWEEN(1,$E$3)),"")</x:f>
      </x:c>
      <x:c r="AM127" s="68" t="str">
        <x:f>IF(COLUMN()-2&lt;=$E$3,INDEX($B$10:$B$59,RANDBETWEEN(1,$E$3)),"")</x:f>
      </x:c>
      <x:c r="AN127" s="68" t="str">
        <x:f>IF(COLUMN()-2&lt;=$E$3,INDEX($B$10:$B$59,RANDBETWEEN(1,$E$3)),"")</x:f>
      </x:c>
      <x:c r="AO127" s="68" t="str">
        <x:f>IF(COLUMN()-2&lt;=$E$3,INDEX($B$10:$B$59,RANDBETWEEN(1,$E$3)),"")</x:f>
      </x:c>
      <x:c r="AP127" s="68" t="str">
        <x:f>IF(COLUMN()-2&lt;=$E$3,INDEX($B$10:$B$59,RANDBETWEEN(1,$E$3)),"")</x:f>
      </x:c>
      <x:c r="AQ127" s="68" t="str">
        <x:f>IF(COLUMN()-2&lt;=$E$3,INDEX($B$10:$B$59,RANDBETWEEN(1,$E$3)),"")</x:f>
      </x:c>
      <x:c r="AR127" s="68" t="str">
        <x:f>IF(COLUMN()-2&lt;=$E$3,INDEX($B$10:$B$59,RANDBETWEEN(1,$E$3)),"")</x:f>
      </x:c>
      <x:c r="AS127" s="68" t="str">
        <x:f>IF(COLUMN()-2&lt;=$E$3,INDEX($B$10:$B$59,RANDBETWEEN(1,$E$3)),"")</x:f>
      </x:c>
      <x:c r="AT127" s="68" t="str">
        <x:f>IF(COLUMN()-2&lt;=$E$3,INDEX($B$10:$B$59,RANDBETWEEN(1,$E$3)),"")</x:f>
      </x:c>
      <x:c r="AU127" s="68" t="str">
        <x:f>IF(COLUMN()-2&lt;=$E$3,INDEX($B$10:$B$59,RANDBETWEEN(1,$E$3)),"")</x:f>
      </x:c>
      <x:c r="AV127" s="68" t="str">
        <x:f>IF(COLUMN()-2&lt;=$E$3,INDEX($B$10:$B$59,RANDBETWEEN(1,$E$3)),"")</x:f>
      </x:c>
      <x:c r="AW127" s="68" t="str">
        <x:f>IF(COLUMN()-2&lt;=$E$3,INDEX($B$10:$B$59,RANDBETWEEN(1,$E$3)),"")</x:f>
      </x:c>
      <x:c r="AX127" s="68" t="str">
        <x:f>IF(COLUMN()-2&lt;=$E$3,INDEX($B$10:$B$59,RANDBETWEEN(1,$E$3)),"")</x:f>
      </x:c>
      <x:c r="AY127" s="68" t="str">
        <x:f>IF(COLUMN()-2&lt;=$E$3,INDEX($B$10:$B$59,RANDBETWEEN(1,$E$3)),"")</x:f>
      </x:c>
      <x:c r="AZ127" s="68" t="str">
        <x:f>IF(COLUMN()-2&lt;=$E$3,INDEX($B$10:$B$59,RANDBETWEEN(1,$E$3)),"")</x:f>
      </x:c>
      <x:c r="BA127" s="68" t="str">
        <x:f>IF($E$3=0,"",AVERAGE(C127:AZ127))</x:f>
      </x:c>
    </x:row>
    <x:row r="128">
      <x:c r="A128" t="n">
        <x:v>64</x:v>
      </x:c>
      <x:c r="C128" s="68" t="str">
        <x:f>IF(COLUMN()-2&lt;=$E$3,INDEX($B$10:$B$59,RANDBETWEEN(1,$E$3)),"")</x:f>
      </x:c>
      <x:c r="D128" s="68" t="str">
        <x:f>IF(COLUMN()-2&lt;=$E$3,INDEX($B$10:$B$59,RANDBETWEEN(1,$E$3)),"")</x:f>
      </x:c>
      <x:c r="E128" s="68" t="str">
        <x:f>IF(COLUMN()-2&lt;=$E$3,INDEX($B$10:$B$59,RANDBETWEEN(1,$E$3)),"")</x:f>
      </x:c>
      <x:c r="F128" s="68" t="str">
        <x:f>IF(COLUMN()-2&lt;=$E$3,INDEX($B$10:$B$59,RANDBETWEEN(1,$E$3)),"")</x:f>
      </x:c>
      <x:c r="G128" s="68" t="str">
        <x:f>IF(COLUMN()-2&lt;=$E$3,INDEX($B$10:$B$59,RANDBETWEEN(1,$E$3)),"")</x:f>
      </x:c>
      <x:c r="H128" s="68" t="str">
        <x:f>IF(COLUMN()-2&lt;=$E$3,INDEX($B$10:$B$59,RANDBETWEEN(1,$E$3)),"")</x:f>
      </x:c>
      <x:c r="I128" s="68" t="str">
        <x:f>IF(COLUMN()-2&lt;=$E$3,INDEX($B$10:$B$59,RANDBETWEEN(1,$E$3)),"")</x:f>
      </x:c>
      <x:c r="J128" s="68" t="str">
        <x:f>IF(COLUMN()-2&lt;=$E$3,INDEX($B$10:$B$59,RANDBETWEEN(1,$E$3)),"")</x:f>
      </x:c>
      <x:c r="K128" s="68" t="str">
        <x:f>IF(COLUMN()-2&lt;=$E$3,INDEX($B$10:$B$59,RANDBETWEEN(1,$E$3)),"")</x:f>
      </x:c>
      <x:c r="L128" s="68" t="str">
        <x:f>IF(COLUMN()-2&lt;=$E$3,INDEX($B$10:$B$59,RANDBETWEEN(1,$E$3)),"")</x:f>
      </x:c>
      <x:c r="M128" s="68" t="str">
        <x:f>IF(COLUMN()-2&lt;=$E$3,INDEX($B$10:$B$59,RANDBETWEEN(1,$E$3)),"")</x:f>
      </x:c>
      <x:c r="N128" s="68" t="str">
        <x:f>IF(COLUMN()-2&lt;=$E$3,INDEX($B$10:$B$59,RANDBETWEEN(1,$E$3)),"")</x:f>
      </x:c>
      <x:c r="O128" s="68" t="str">
        <x:f>IF(COLUMN()-2&lt;=$E$3,INDEX($B$10:$B$59,RANDBETWEEN(1,$E$3)),"")</x:f>
      </x:c>
      <x:c r="P128" s="68" t="str">
        <x:f>IF(COLUMN()-2&lt;=$E$3,INDEX($B$10:$B$59,RANDBETWEEN(1,$E$3)),"")</x:f>
      </x:c>
      <x:c r="Q128" s="68" t="str">
        <x:f>IF(COLUMN()-2&lt;=$E$3,INDEX($B$10:$B$59,RANDBETWEEN(1,$E$3)),"")</x:f>
      </x:c>
      <x:c r="R128" s="68" t="str">
        <x:f>IF(COLUMN()-2&lt;=$E$3,INDEX($B$10:$B$59,RANDBETWEEN(1,$E$3)),"")</x:f>
      </x:c>
      <x:c r="S128" s="68" t="str">
        <x:f>IF(COLUMN()-2&lt;=$E$3,INDEX($B$10:$B$59,RANDBETWEEN(1,$E$3)),"")</x:f>
      </x:c>
      <x:c r="T128" s="68" t="str">
        <x:f>IF(COLUMN()-2&lt;=$E$3,INDEX($B$10:$B$59,RANDBETWEEN(1,$E$3)),"")</x:f>
      </x:c>
      <x:c r="U128" s="68" t="str">
        <x:f>IF(COLUMN()-2&lt;=$E$3,INDEX($B$10:$B$59,RANDBETWEEN(1,$E$3)),"")</x:f>
      </x:c>
      <x:c r="V128" s="68" t="str">
        <x:f>IF(COLUMN()-2&lt;=$E$3,INDEX($B$10:$B$59,RANDBETWEEN(1,$E$3)),"")</x:f>
      </x:c>
      <x:c r="W128" s="68" t="str">
        <x:f>IF(COLUMN()-2&lt;=$E$3,INDEX($B$10:$B$59,RANDBETWEEN(1,$E$3)),"")</x:f>
      </x:c>
      <x:c r="X128" s="68" t="str">
        <x:f>IF(COLUMN()-2&lt;=$E$3,INDEX($B$10:$B$59,RANDBETWEEN(1,$E$3)),"")</x:f>
      </x:c>
      <x:c r="Y128" s="68" t="str">
        <x:f>IF(COLUMN()-2&lt;=$E$3,INDEX($B$10:$B$59,RANDBETWEEN(1,$E$3)),"")</x:f>
      </x:c>
      <x:c r="Z128" s="68" t="str">
        <x:f>IF(COLUMN()-2&lt;=$E$3,INDEX($B$10:$B$59,RANDBETWEEN(1,$E$3)),"")</x:f>
      </x:c>
      <x:c r="AA128" s="68" t="str">
        <x:f>IF(COLUMN()-2&lt;=$E$3,INDEX($B$10:$B$59,RANDBETWEEN(1,$E$3)),"")</x:f>
      </x:c>
      <x:c r="AB128" s="68" t="str">
        <x:f>IF(COLUMN()-2&lt;=$E$3,INDEX($B$10:$B$59,RANDBETWEEN(1,$E$3)),"")</x:f>
      </x:c>
      <x:c r="AC128" s="68" t="str">
        <x:f>IF(COLUMN()-2&lt;=$E$3,INDEX($B$10:$B$59,RANDBETWEEN(1,$E$3)),"")</x:f>
      </x:c>
      <x:c r="AD128" s="68" t="str">
        <x:f>IF(COLUMN()-2&lt;=$E$3,INDEX($B$10:$B$59,RANDBETWEEN(1,$E$3)),"")</x:f>
      </x:c>
      <x:c r="AE128" s="68" t="str">
        <x:f>IF(COLUMN()-2&lt;=$E$3,INDEX($B$10:$B$59,RANDBETWEEN(1,$E$3)),"")</x:f>
      </x:c>
      <x:c r="AF128" s="68" t="str">
        <x:f>IF(COLUMN()-2&lt;=$E$3,INDEX($B$10:$B$59,RANDBETWEEN(1,$E$3)),"")</x:f>
      </x:c>
      <x:c r="AG128" s="68" t="str">
        <x:f>IF(COLUMN()-2&lt;=$E$3,INDEX($B$10:$B$59,RANDBETWEEN(1,$E$3)),"")</x:f>
      </x:c>
      <x:c r="AH128" s="68" t="str">
        <x:f>IF(COLUMN()-2&lt;=$E$3,INDEX($B$10:$B$59,RANDBETWEEN(1,$E$3)),"")</x:f>
      </x:c>
      <x:c r="AI128" s="68" t="str">
        <x:f>IF(COLUMN()-2&lt;=$E$3,INDEX($B$10:$B$59,RANDBETWEEN(1,$E$3)),"")</x:f>
      </x:c>
      <x:c r="AJ128" s="68" t="str">
        <x:f>IF(COLUMN()-2&lt;=$E$3,INDEX($B$10:$B$59,RANDBETWEEN(1,$E$3)),"")</x:f>
      </x:c>
      <x:c r="AK128" s="68" t="str">
        <x:f>IF(COLUMN()-2&lt;=$E$3,INDEX($B$10:$B$59,RANDBETWEEN(1,$E$3)),"")</x:f>
      </x:c>
      <x:c r="AL128" s="68" t="str">
        <x:f>IF(COLUMN()-2&lt;=$E$3,INDEX($B$10:$B$59,RANDBETWEEN(1,$E$3)),"")</x:f>
      </x:c>
      <x:c r="AM128" s="68" t="str">
        <x:f>IF(COLUMN()-2&lt;=$E$3,INDEX($B$10:$B$59,RANDBETWEEN(1,$E$3)),"")</x:f>
      </x:c>
      <x:c r="AN128" s="68" t="str">
        <x:f>IF(COLUMN()-2&lt;=$E$3,INDEX($B$10:$B$59,RANDBETWEEN(1,$E$3)),"")</x:f>
      </x:c>
      <x:c r="AO128" s="68" t="str">
        <x:f>IF(COLUMN()-2&lt;=$E$3,INDEX($B$10:$B$59,RANDBETWEEN(1,$E$3)),"")</x:f>
      </x:c>
      <x:c r="AP128" s="68" t="str">
        <x:f>IF(COLUMN()-2&lt;=$E$3,INDEX($B$10:$B$59,RANDBETWEEN(1,$E$3)),"")</x:f>
      </x:c>
      <x:c r="AQ128" s="68" t="str">
        <x:f>IF(COLUMN()-2&lt;=$E$3,INDEX($B$10:$B$59,RANDBETWEEN(1,$E$3)),"")</x:f>
      </x:c>
      <x:c r="AR128" s="68" t="str">
        <x:f>IF(COLUMN()-2&lt;=$E$3,INDEX($B$10:$B$59,RANDBETWEEN(1,$E$3)),"")</x:f>
      </x:c>
      <x:c r="AS128" s="68" t="str">
        <x:f>IF(COLUMN()-2&lt;=$E$3,INDEX($B$10:$B$59,RANDBETWEEN(1,$E$3)),"")</x:f>
      </x:c>
      <x:c r="AT128" s="68" t="str">
        <x:f>IF(COLUMN()-2&lt;=$E$3,INDEX($B$10:$B$59,RANDBETWEEN(1,$E$3)),"")</x:f>
      </x:c>
      <x:c r="AU128" s="68" t="str">
        <x:f>IF(COLUMN()-2&lt;=$E$3,INDEX($B$10:$B$59,RANDBETWEEN(1,$E$3)),"")</x:f>
      </x:c>
      <x:c r="AV128" s="68" t="str">
        <x:f>IF(COLUMN()-2&lt;=$E$3,INDEX($B$10:$B$59,RANDBETWEEN(1,$E$3)),"")</x:f>
      </x:c>
      <x:c r="AW128" s="68" t="str">
        <x:f>IF(COLUMN()-2&lt;=$E$3,INDEX($B$10:$B$59,RANDBETWEEN(1,$E$3)),"")</x:f>
      </x:c>
      <x:c r="AX128" s="68" t="str">
        <x:f>IF(COLUMN()-2&lt;=$E$3,INDEX($B$10:$B$59,RANDBETWEEN(1,$E$3)),"")</x:f>
      </x:c>
      <x:c r="AY128" s="68" t="str">
        <x:f>IF(COLUMN()-2&lt;=$E$3,INDEX($B$10:$B$59,RANDBETWEEN(1,$E$3)),"")</x:f>
      </x:c>
      <x:c r="AZ128" s="68" t="str">
        <x:f>IF(COLUMN()-2&lt;=$E$3,INDEX($B$10:$B$59,RANDBETWEEN(1,$E$3)),"")</x:f>
      </x:c>
      <x:c r="BA128" s="68" t="str">
        <x:f>IF($E$3=0,"",AVERAGE(C128:AZ128))</x:f>
      </x:c>
    </x:row>
    <x:row r="129">
      <x:c r="A129" t="n">
        <x:v>65</x:v>
      </x:c>
      <x:c r="C129" s="68" t="str">
        <x:f>IF(COLUMN()-2&lt;=$E$3,INDEX($B$10:$B$59,RANDBETWEEN(1,$E$3)),"")</x:f>
      </x:c>
      <x:c r="D129" s="68" t="str">
        <x:f>IF(COLUMN()-2&lt;=$E$3,INDEX($B$10:$B$59,RANDBETWEEN(1,$E$3)),"")</x:f>
      </x:c>
      <x:c r="E129" s="68" t="str">
        <x:f>IF(COLUMN()-2&lt;=$E$3,INDEX($B$10:$B$59,RANDBETWEEN(1,$E$3)),"")</x:f>
      </x:c>
      <x:c r="F129" s="68" t="str">
        <x:f>IF(COLUMN()-2&lt;=$E$3,INDEX($B$10:$B$59,RANDBETWEEN(1,$E$3)),"")</x:f>
      </x:c>
      <x:c r="G129" s="68" t="str">
        <x:f>IF(COLUMN()-2&lt;=$E$3,INDEX($B$10:$B$59,RANDBETWEEN(1,$E$3)),"")</x:f>
      </x:c>
      <x:c r="H129" s="68" t="str">
        <x:f>IF(COLUMN()-2&lt;=$E$3,INDEX($B$10:$B$59,RANDBETWEEN(1,$E$3)),"")</x:f>
      </x:c>
      <x:c r="I129" s="68" t="str">
        <x:f>IF(COLUMN()-2&lt;=$E$3,INDEX($B$10:$B$59,RANDBETWEEN(1,$E$3)),"")</x:f>
      </x:c>
      <x:c r="J129" s="68" t="str">
        <x:f>IF(COLUMN()-2&lt;=$E$3,INDEX($B$10:$B$59,RANDBETWEEN(1,$E$3)),"")</x:f>
      </x:c>
      <x:c r="K129" s="68" t="str">
        <x:f>IF(COLUMN()-2&lt;=$E$3,INDEX($B$10:$B$59,RANDBETWEEN(1,$E$3)),"")</x:f>
      </x:c>
      <x:c r="L129" s="68" t="str">
        <x:f>IF(COLUMN()-2&lt;=$E$3,INDEX($B$10:$B$59,RANDBETWEEN(1,$E$3)),"")</x:f>
      </x:c>
      <x:c r="M129" s="68" t="str">
        <x:f>IF(COLUMN()-2&lt;=$E$3,INDEX($B$10:$B$59,RANDBETWEEN(1,$E$3)),"")</x:f>
      </x:c>
      <x:c r="N129" s="68" t="str">
        <x:f>IF(COLUMN()-2&lt;=$E$3,INDEX($B$10:$B$59,RANDBETWEEN(1,$E$3)),"")</x:f>
      </x:c>
      <x:c r="O129" s="68" t="str">
        <x:f>IF(COLUMN()-2&lt;=$E$3,INDEX($B$10:$B$59,RANDBETWEEN(1,$E$3)),"")</x:f>
      </x:c>
      <x:c r="P129" s="68" t="str">
        <x:f>IF(COLUMN()-2&lt;=$E$3,INDEX($B$10:$B$59,RANDBETWEEN(1,$E$3)),"")</x:f>
      </x:c>
      <x:c r="Q129" s="68" t="str">
        <x:f>IF(COLUMN()-2&lt;=$E$3,INDEX($B$10:$B$59,RANDBETWEEN(1,$E$3)),"")</x:f>
      </x:c>
      <x:c r="R129" s="68" t="str">
        <x:f>IF(COLUMN()-2&lt;=$E$3,INDEX($B$10:$B$59,RANDBETWEEN(1,$E$3)),"")</x:f>
      </x:c>
      <x:c r="S129" s="68" t="str">
        <x:f>IF(COLUMN()-2&lt;=$E$3,INDEX($B$10:$B$59,RANDBETWEEN(1,$E$3)),"")</x:f>
      </x:c>
      <x:c r="T129" s="68" t="str">
        <x:f>IF(COLUMN()-2&lt;=$E$3,INDEX($B$10:$B$59,RANDBETWEEN(1,$E$3)),"")</x:f>
      </x:c>
      <x:c r="U129" s="68" t="str">
        <x:f>IF(COLUMN()-2&lt;=$E$3,INDEX($B$10:$B$59,RANDBETWEEN(1,$E$3)),"")</x:f>
      </x:c>
      <x:c r="V129" s="68" t="str">
        <x:f>IF(COLUMN()-2&lt;=$E$3,INDEX($B$10:$B$59,RANDBETWEEN(1,$E$3)),"")</x:f>
      </x:c>
      <x:c r="W129" s="68" t="str">
        <x:f>IF(COLUMN()-2&lt;=$E$3,INDEX($B$10:$B$59,RANDBETWEEN(1,$E$3)),"")</x:f>
      </x:c>
      <x:c r="X129" s="68" t="str">
        <x:f>IF(COLUMN()-2&lt;=$E$3,INDEX($B$10:$B$59,RANDBETWEEN(1,$E$3)),"")</x:f>
      </x:c>
      <x:c r="Y129" s="68" t="str">
        <x:f>IF(COLUMN()-2&lt;=$E$3,INDEX($B$10:$B$59,RANDBETWEEN(1,$E$3)),"")</x:f>
      </x:c>
      <x:c r="Z129" s="68" t="str">
        <x:f>IF(COLUMN()-2&lt;=$E$3,INDEX($B$10:$B$59,RANDBETWEEN(1,$E$3)),"")</x:f>
      </x:c>
      <x:c r="AA129" s="68" t="str">
        <x:f>IF(COLUMN()-2&lt;=$E$3,INDEX($B$10:$B$59,RANDBETWEEN(1,$E$3)),"")</x:f>
      </x:c>
      <x:c r="AB129" s="68" t="str">
        <x:f>IF(COLUMN()-2&lt;=$E$3,INDEX($B$10:$B$59,RANDBETWEEN(1,$E$3)),"")</x:f>
      </x:c>
      <x:c r="AC129" s="68" t="str">
        <x:f>IF(COLUMN()-2&lt;=$E$3,INDEX($B$10:$B$59,RANDBETWEEN(1,$E$3)),"")</x:f>
      </x:c>
      <x:c r="AD129" s="68" t="str">
        <x:f>IF(COLUMN()-2&lt;=$E$3,INDEX($B$10:$B$59,RANDBETWEEN(1,$E$3)),"")</x:f>
      </x:c>
      <x:c r="AE129" s="68" t="str">
        <x:f>IF(COLUMN()-2&lt;=$E$3,INDEX($B$10:$B$59,RANDBETWEEN(1,$E$3)),"")</x:f>
      </x:c>
      <x:c r="AF129" s="68" t="str">
        <x:f>IF(COLUMN()-2&lt;=$E$3,INDEX($B$10:$B$59,RANDBETWEEN(1,$E$3)),"")</x:f>
      </x:c>
      <x:c r="AG129" s="68" t="str">
        <x:f>IF(COLUMN()-2&lt;=$E$3,INDEX($B$10:$B$59,RANDBETWEEN(1,$E$3)),"")</x:f>
      </x:c>
      <x:c r="AH129" s="68" t="str">
        <x:f>IF(COLUMN()-2&lt;=$E$3,INDEX($B$10:$B$59,RANDBETWEEN(1,$E$3)),"")</x:f>
      </x:c>
      <x:c r="AI129" s="68" t="str">
        <x:f>IF(COLUMN()-2&lt;=$E$3,INDEX($B$10:$B$59,RANDBETWEEN(1,$E$3)),"")</x:f>
      </x:c>
      <x:c r="AJ129" s="68" t="str">
        <x:f>IF(COLUMN()-2&lt;=$E$3,INDEX($B$10:$B$59,RANDBETWEEN(1,$E$3)),"")</x:f>
      </x:c>
      <x:c r="AK129" s="68" t="str">
        <x:f>IF(COLUMN()-2&lt;=$E$3,INDEX($B$10:$B$59,RANDBETWEEN(1,$E$3)),"")</x:f>
      </x:c>
      <x:c r="AL129" s="68" t="str">
        <x:f>IF(COLUMN()-2&lt;=$E$3,INDEX($B$10:$B$59,RANDBETWEEN(1,$E$3)),"")</x:f>
      </x:c>
      <x:c r="AM129" s="68" t="str">
        <x:f>IF(COLUMN()-2&lt;=$E$3,INDEX($B$10:$B$59,RANDBETWEEN(1,$E$3)),"")</x:f>
      </x:c>
      <x:c r="AN129" s="68" t="str">
        <x:f>IF(COLUMN()-2&lt;=$E$3,INDEX($B$10:$B$59,RANDBETWEEN(1,$E$3)),"")</x:f>
      </x:c>
      <x:c r="AO129" s="68" t="str">
        <x:f>IF(COLUMN()-2&lt;=$E$3,INDEX($B$10:$B$59,RANDBETWEEN(1,$E$3)),"")</x:f>
      </x:c>
      <x:c r="AP129" s="68" t="str">
        <x:f>IF(COLUMN()-2&lt;=$E$3,INDEX($B$10:$B$59,RANDBETWEEN(1,$E$3)),"")</x:f>
      </x:c>
      <x:c r="AQ129" s="68" t="str">
        <x:f>IF(COLUMN()-2&lt;=$E$3,INDEX($B$10:$B$59,RANDBETWEEN(1,$E$3)),"")</x:f>
      </x:c>
      <x:c r="AR129" s="68" t="str">
        <x:f>IF(COLUMN()-2&lt;=$E$3,INDEX($B$10:$B$59,RANDBETWEEN(1,$E$3)),"")</x:f>
      </x:c>
      <x:c r="AS129" s="68" t="str">
        <x:f>IF(COLUMN()-2&lt;=$E$3,INDEX($B$10:$B$59,RANDBETWEEN(1,$E$3)),"")</x:f>
      </x:c>
      <x:c r="AT129" s="68" t="str">
        <x:f>IF(COLUMN()-2&lt;=$E$3,INDEX($B$10:$B$59,RANDBETWEEN(1,$E$3)),"")</x:f>
      </x:c>
      <x:c r="AU129" s="68" t="str">
        <x:f>IF(COLUMN()-2&lt;=$E$3,INDEX($B$10:$B$59,RANDBETWEEN(1,$E$3)),"")</x:f>
      </x:c>
      <x:c r="AV129" s="68" t="str">
        <x:f>IF(COLUMN()-2&lt;=$E$3,INDEX($B$10:$B$59,RANDBETWEEN(1,$E$3)),"")</x:f>
      </x:c>
      <x:c r="AW129" s="68" t="str">
        <x:f>IF(COLUMN()-2&lt;=$E$3,INDEX($B$10:$B$59,RANDBETWEEN(1,$E$3)),"")</x:f>
      </x:c>
      <x:c r="AX129" s="68" t="str">
        <x:f>IF(COLUMN()-2&lt;=$E$3,INDEX($B$10:$B$59,RANDBETWEEN(1,$E$3)),"")</x:f>
      </x:c>
      <x:c r="AY129" s="68" t="str">
        <x:f>IF(COLUMN()-2&lt;=$E$3,INDEX($B$10:$B$59,RANDBETWEEN(1,$E$3)),"")</x:f>
      </x:c>
      <x:c r="AZ129" s="68" t="str">
        <x:f>IF(COLUMN()-2&lt;=$E$3,INDEX($B$10:$B$59,RANDBETWEEN(1,$E$3)),"")</x:f>
      </x:c>
      <x:c r="BA129" s="68" t="str">
        <x:f>IF($E$3=0,"",AVERAGE(C129:AZ129))</x:f>
      </x:c>
    </x:row>
    <x:row r="130">
      <x:c r="A130" t="n">
        <x:v>66</x:v>
      </x:c>
      <x:c r="C130" s="68" t="str">
        <x:f>IF(COLUMN()-2&lt;=$E$3,INDEX($B$10:$B$59,RANDBETWEEN(1,$E$3)),"")</x:f>
      </x:c>
      <x:c r="D130" s="68" t="str">
        <x:f>IF(COLUMN()-2&lt;=$E$3,INDEX($B$10:$B$59,RANDBETWEEN(1,$E$3)),"")</x:f>
      </x:c>
      <x:c r="E130" s="68" t="str">
        <x:f>IF(COLUMN()-2&lt;=$E$3,INDEX($B$10:$B$59,RANDBETWEEN(1,$E$3)),"")</x:f>
      </x:c>
      <x:c r="F130" s="68" t="str">
        <x:f>IF(COLUMN()-2&lt;=$E$3,INDEX($B$10:$B$59,RANDBETWEEN(1,$E$3)),"")</x:f>
      </x:c>
      <x:c r="G130" s="68" t="str">
        <x:f>IF(COLUMN()-2&lt;=$E$3,INDEX($B$10:$B$59,RANDBETWEEN(1,$E$3)),"")</x:f>
      </x:c>
      <x:c r="H130" s="68" t="str">
        <x:f>IF(COLUMN()-2&lt;=$E$3,INDEX($B$10:$B$59,RANDBETWEEN(1,$E$3)),"")</x:f>
      </x:c>
      <x:c r="I130" s="68" t="str">
        <x:f>IF(COLUMN()-2&lt;=$E$3,INDEX($B$10:$B$59,RANDBETWEEN(1,$E$3)),"")</x:f>
      </x:c>
      <x:c r="J130" s="68" t="str">
        <x:f>IF(COLUMN()-2&lt;=$E$3,INDEX($B$10:$B$59,RANDBETWEEN(1,$E$3)),"")</x:f>
      </x:c>
      <x:c r="K130" s="68" t="str">
        <x:f>IF(COLUMN()-2&lt;=$E$3,INDEX($B$10:$B$59,RANDBETWEEN(1,$E$3)),"")</x:f>
      </x:c>
      <x:c r="L130" s="68" t="str">
        <x:f>IF(COLUMN()-2&lt;=$E$3,INDEX($B$10:$B$59,RANDBETWEEN(1,$E$3)),"")</x:f>
      </x:c>
      <x:c r="M130" s="68" t="str">
        <x:f>IF(COLUMN()-2&lt;=$E$3,INDEX($B$10:$B$59,RANDBETWEEN(1,$E$3)),"")</x:f>
      </x:c>
      <x:c r="N130" s="68" t="str">
        <x:f>IF(COLUMN()-2&lt;=$E$3,INDEX($B$10:$B$59,RANDBETWEEN(1,$E$3)),"")</x:f>
      </x:c>
      <x:c r="O130" s="68" t="str">
        <x:f>IF(COLUMN()-2&lt;=$E$3,INDEX($B$10:$B$59,RANDBETWEEN(1,$E$3)),"")</x:f>
      </x:c>
      <x:c r="P130" s="68" t="str">
        <x:f>IF(COLUMN()-2&lt;=$E$3,INDEX($B$10:$B$59,RANDBETWEEN(1,$E$3)),"")</x:f>
      </x:c>
      <x:c r="Q130" s="68" t="str">
        <x:f>IF(COLUMN()-2&lt;=$E$3,INDEX($B$10:$B$59,RANDBETWEEN(1,$E$3)),"")</x:f>
      </x:c>
      <x:c r="R130" s="68" t="str">
        <x:f>IF(COLUMN()-2&lt;=$E$3,INDEX($B$10:$B$59,RANDBETWEEN(1,$E$3)),"")</x:f>
      </x:c>
      <x:c r="S130" s="68" t="str">
        <x:f>IF(COLUMN()-2&lt;=$E$3,INDEX($B$10:$B$59,RANDBETWEEN(1,$E$3)),"")</x:f>
      </x:c>
      <x:c r="T130" s="68" t="str">
        <x:f>IF(COLUMN()-2&lt;=$E$3,INDEX($B$10:$B$59,RANDBETWEEN(1,$E$3)),"")</x:f>
      </x:c>
      <x:c r="U130" s="68" t="str">
        <x:f>IF(COLUMN()-2&lt;=$E$3,INDEX($B$10:$B$59,RANDBETWEEN(1,$E$3)),"")</x:f>
      </x:c>
      <x:c r="V130" s="68" t="str">
        <x:f>IF(COLUMN()-2&lt;=$E$3,INDEX($B$10:$B$59,RANDBETWEEN(1,$E$3)),"")</x:f>
      </x:c>
      <x:c r="W130" s="68" t="str">
        <x:f>IF(COLUMN()-2&lt;=$E$3,INDEX($B$10:$B$59,RANDBETWEEN(1,$E$3)),"")</x:f>
      </x:c>
      <x:c r="X130" s="68" t="str">
        <x:f>IF(COLUMN()-2&lt;=$E$3,INDEX($B$10:$B$59,RANDBETWEEN(1,$E$3)),"")</x:f>
      </x:c>
      <x:c r="Y130" s="68" t="str">
        <x:f>IF(COLUMN()-2&lt;=$E$3,INDEX($B$10:$B$59,RANDBETWEEN(1,$E$3)),"")</x:f>
      </x:c>
      <x:c r="Z130" s="68" t="str">
        <x:f>IF(COLUMN()-2&lt;=$E$3,INDEX($B$10:$B$59,RANDBETWEEN(1,$E$3)),"")</x:f>
      </x:c>
      <x:c r="AA130" s="68" t="str">
        <x:f>IF(COLUMN()-2&lt;=$E$3,INDEX($B$10:$B$59,RANDBETWEEN(1,$E$3)),"")</x:f>
      </x:c>
      <x:c r="AB130" s="68" t="str">
        <x:f>IF(COLUMN()-2&lt;=$E$3,INDEX($B$10:$B$59,RANDBETWEEN(1,$E$3)),"")</x:f>
      </x:c>
      <x:c r="AC130" s="68" t="str">
        <x:f>IF(COLUMN()-2&lt;=$E$3,INDEX($B$10:$B$59,RANDBETWEEN(1,$E$3)),"")</x:f>
      </x:c>
      <x:c r="AD130" s="68" t="str">
        <x:f>IF(COLUMN()-2&lt;=$E$3,INDEX($B$10:$B$59,RANDBETWEEN(1,$E$3)),"")</x:f>
      </x:c>
      <x:c r="AE130" s="68" t="str">
        <x:f>IF(COLUMN()-2&lt;=$E$3,INDEX($B$10:$B$59,RANDBETWEEN(1,$E$3)),"")</x:f>
      </x:c>
      <x:c r="AF130" s="68" t="str">
        <x:f>IF(COLUMN()-2&lt;=$E$3,INDEX($B$10:$B$59,RANDBETWEEN(1,$E$3)),"")</x:f>
      </x:c>
      <x:c r="AG130" s="68" t="str">
        <x:f>IF(COLUMN()-2&lt;=$E$3,INDEX($B$10:$B$59,RANDBETWEEN(1,$E$3)),"")</x:f>
      </x:c>
      <x:c r="AH130" s="68" t="str">
        <x:f>IF(COLUMN()-2&lt;=$E$3,INDEX($B$10:$B$59,RANDBETWEEN(1,$E$3)),"")</x:f>
      </x:c>
      <x:c r="AI130" s="68" t="str">
        <x:f>IF(COLUMN()-2&lt;=$E$3,INDEX($B$10:$B$59,RANDBETWEEN(1,$E$3)),"")</x:f>
      </x:c>
      <x:c r="AJ130" s="68" t="str">
        <x:f>IF(COLUMN()-2&lt;=$E$3,INDEX($B$10:$B$59,RANDBETWEEN(1,$E$3)),"")</x:f>
      </x:c>
      <x:c r="AK130" s="68" t="str">
        <x:f>IF(COLUMN()-2&lt;=$E$3,INDEX($B$10:$B$59,RANDBETWEEN(1,$E$3)),"")</x:f>
      </x:c>
      <x:c r="AL130" s="68" t="str">
        <x:f>IF(COLUMN()-2&lt;=$E$3,INDEX($B$10:$B$59,RANDBETWEEN(1,$E$3)),"")</x:f>
      </x:c>
      <x:c r="AM130" s="68" t="str">
        <x:f>IF(COLUMN()-2&lt;=$E$3,INDEX($B$10:$B$59,RANDBETWEEN(1,$E$3)),"")</x:f>
      </x:c>
      <x:c r="AN130" s="68" t="str">
        <x:f>IF(COLUMN()-2&lt;=$E$3,INDEX($B$10:$B$59,RANDBETWEEN(1,$E$3)),"")</x:f>
      </x:c>
      <x:c r="AO130" s="68" t="str">
        <x:f>IF(COLUMN()-2&lt;=$E$3,INDEX($B$10:$B$59,RANDBETWEEN(1,$E$3)),"")</x:f>
      </x:c>
      <x:c r="AP130" s="68" t="str">
        <x:f>IF(COLUMN()-2&lt;=$E$3,INDEX($B$10:$B$59,RANDBETWEEN(1,$E$3)),"")</x:f>
      </x:c>
      <x:c r="AQ130" s="68" t="str">
        <x:f>IF(COLUMN()-2&lt;=$E$3,INDEX($B$10:$B$59,RANDBETWEEN(1,$E$3)),"")</x:f>
      </x:c>
      <x:c r="AR130" s="68" t="str">
        <x:f>IF(COLUMN()-2&lt;=$E$3,INDEX($B$10:$B$59,RANDBETWEEN(1,$E$3)),"")</x:f>
      </x:c>
      <x:c r="AS130" s="68" t="str">
        <x:f>IF(COLUMN()-2&lt;=$E$3,INDEX($B$10:$B$59,RANDBETWEEN(1,$E$3)),"")</x:f>
      </x:c>
      <x:c r="AT130" s="68" t="str">
        <x:f>IF(COLUMN()-2&lt;=$E$3,INDEX($B$10:$B$59,RANDBETWEEN(1,$E$3)),"")</x:f>
      </x:c>
      <x:c r="AU130" s="68" t="str">
        <x:f>IF(COLUMN()-2&lt;=$E$3,INDEX($B$10:$B$59,RANDBETWEEN(1,$E$3)),"")</x:f>
      </x:c>
      <x:c r="AV130" s="68" t="str">
        <x:f>IF(COLUMN()-2&lt;=$E$3,INDEX($B$10:$B$59,RANDBETWEEN(1,$E$3)),"")</x:f>
      </x:c>
      <x:c r="AW130" s="68" t="str">
        <x:f>IF(COLUMN()-2&lt;=$E$3,INDEX($B$10:$B$59,RANDBETWEEN(1,$E$3)),"")</x:f>
      </x:c>
      <x:c r="AX130" s="68" t="str">
        <x:f>IF(COLUMN()-2&lt;=$E$3,INDEX($B$10:$B$59,RANDBETWEEN(1,$E$3)),"")</x:f>
      </x:c>
      <x:c r="AY130" s="68" t="str">
        <x:f>IF(COLUMN()-2&lt;=$E$3,INDEX($B$10:$B$59,RANDBETWEEN(1,$E$3)),"")</x:f>
      </x:c>
      <x:c r="AZ130" s="68" t="str">
        <x:f>IF(COLUMN()-2&lt;=$E$3,INDEX($B$10:$B$59,RANDBETWEEN(1,$E$3)),"")</x:f>
      </x:c>
      <x:c r="BA130" s="68" t="str">
        <x:f>IF($E$3=0,"",AVERAGE(C130:AZ130))</x:f>
      </x:c>
    </x:row>
    <x:row r="131">
      <x:c r="A131" t="n">
        <x:v>67</x:v>
      </x:c>
      <x:c r="C131" s="68" t="str">
        <x:f>IF(COLUMN()-2&lt;=$E$3,INDEX($B$10:$B$59,RANDBETWEEN(1,$E$3)),"")</x:f>
      </x:c>
      <x:c r="D131" s="68" t="str">
        <x:f>IF(COLUMN()-2&lt;=$E$3,INDEX($B$10:$B$59,RANDBETWEEN(1,$E$3)),"")</x:f>
      </x:c>
      <x:c r="E131" s="68" t="str">
        <x:f>IF(COLUMN()-2&lt;=$E$3,INDEX($B$10:$B$59,RANDBETWEEN(1,$E$3)),"")</x:f>
      </x:c>
      <x:c r="F131" s="68" t="str">
        <x:f>IF(COLUMN()-2&lt;=$E$3,INDEX($B$10:$B$59,RANDBETWEEN(1,$E$3)),"")</x:f>
      </x:c>
      <x:c r="G131" s="68" t="str">
        <x:f>IF(COLUMN()-2&lt;=$E$3,INDEX($B$10:$B$59,RANDBETWEEN(1,$E$3)),"")</x:f>
      </x:c>
      <x:c r="H131" s="68" t="str">
        <x:f>IF(COLUMN()-2&lt;=$E$3,INDEX($B$10:$B$59,RANDBETWEEN(1,$E$3)),"")</x:f>
      </x:c>
      <x:c r="I131" s="68" t="str">
        <x:f>IF(COLUMN()-2&lt;=$E$3,INDEX($B$10:$B$59,RANDBETWEEN(1,$E$3)),"")</x:f>
      </x:c>
      <x:c r="J131" s="68" t="str">
        <x:f>IF(COLUMN()-2&lt;=$E$3,INDEX($B$10:$B$59,RANDBETWEEN(1,$E$3)),"")</x:f>
      </x:c>
      <x:c r="K131" s="68" t="str">
        <x:f>IF(COLUMN()-2&lt;=$E$3,INDEX($B$10:$B$59,RANDBETWEEN(1,$E$3)),"")</x:f>
      </x:c>
      <x:c r="L131" s="68" t="str">
        <x:f>IF(COLUMN()-2&lt;=$E$3,INDEX($B$10:$B$59,RANDBETWEEN(1,$E$3)),"")</x:f>
      </x:c>
      <x:c r="M131" s="68" t="str">
        <x:f>IF(COLUMN()-2&lt;=$E$3,INDEX($B$10:$B$59,RANDBETWEEN(1,$E$3)),"")</x:f>
      </x:c>
      <x:c r="N131" s="68" t="str">
        <x:f>IF(COLUMN()-2&lt;=$E$3,INDEX($B$10:$B$59,RANDBETWEEN(1,$E$3)),"")</x:f>
      </x:c>
      <x:c r="O131" s="68" t="str">
        <x:f>IF(COLUMN()-2&lt;=$E$3,INDEX($B$10:$B$59,RANDBETWEEN(1,$E$3)),"")</x:f>
      </x:c>
      <x:c r="P131" s="68" t="str">
        <x:f>IF(COLUMN()-2&lt;=$E$3,INDEX($B$10:$B$59,RANDBETWEEN(1,$E$3)),"")</x:f>
      </x:c>
      <x:c r="Q131" s="68" t="str">
        <x:f>IF(COLUMN()-2&lt;=$E$3,INDEX($B$10:$B$59,RANDBETWEEN(1,$E$3)),"")</x:f>
      </x:c>
      <x:c r="R131" s="68" t="str">
        <x:f>IF(COLUMN()-2&lt;=$E$3,INDEX($B$10:$B$59,RANDBETWEEN(1,$E$3)),"")</x:f>
      </x:c>
      <x:c r="S131" s="68" t="str">
        <x:f>IF(COLUMN()-2&lt;=$E$3,INDEX($B$10:$B$59,RANDBETWEEN(1,$E$3)),"")</x:f>
      </x:c>
      <x:c r="T131" s="68" t="str">
        <x:f>IF(COLUMN()-2&lt;=$E$3,INDEX($B$10:$B$59,RANDBETWEEN(1,$E$3)),"")</x:f>
      </x:c>
      <x:c r="U131" s="68" t="str">
        <x:f>IF(COLUMN()-2&lt;=$E$3,INDEX($B$10:$B$59,RANDBETWEEN(1,$E$3)),"")</x:f>
      </x:c>
      <x:c r="V131" s="68" t="str">
        <x:f>IF(COLUMN()-2&lt;=$E$3,INDEX($B$10:$B$59,RANDBETWEEN(1,$E$3)),"")</x:f>
      </x:c>
      <x:c r="W131" s="68" t="str">
        <x:f>IF(COLUMN()-2&lt;=$E$3,INDEX($B$10:$B$59,RANDBETWEEN(1,$E$3)),"")</x:f>
      </x:c>
      <x:c r="X131" s="68" t="str">
        <x:f>IF(COLUMN()-2&lt;=$E$3,INDEX($B$10:$B$59,RANDBETWEEN(1,$E$3)),"")</x:f>
      </x:c>
      <x:c r="Y131" s="68" t="str">
        <x:f>IF(COLUMN()-2&lt;=$E$3,INDEX($B$10:$B$59,RANDBETWEEN(1,$E$3)),"")</x:f>
      </x:c>
      <x:c r="Z131" s="68" t="str">
        <x:f>IF(COLUMN()-2&lt;=$E$3,INDEX($B$10:$B$59,RANDBETWEEN(1,$E$3)),"")</x:f>
      </x:c>
      <x:c r="AA131" s="68" t="str">
        <x:f>IF(COLUMN()-2&lt;=$E$3,INDEX($B$10:$B$59,RANDBETWEEN(1,$E$3)),"")</x:f>
      </x:c>
      <x:c r="AB131" s="68" t="str">
        <x:f>IF(COLUMN()-2&lt;=$E$3,INDEX($B$10:$B$59,RANDBETWEEN(1,$E$3)),"")</x:f>
      </x:c>
      <x:c r="AC131" s="68" t="str">
        <x:f>IF(COLUMN()-2&lt;=$E$3,INDEX($B$10:$B$59,RANDBETWEEN(1,$E$3)),"")</x:f>
      </x:c>
      <x:c r="AD131" s="68" t="str">
        <x:f>IF(COLUMN()-2&lt;=$E$3,INDEX($B$10:$B$59,RANDBETWEEN(1,$E$3)),"")</x:f>
      </x:c>
      <x:c r="AE131" s="68" t="str">
        <x:f>IF(COLUMN()-2&lt;=$E$3,INDEX($B$10:$B$59,RANDBETWEEN(1,$E$3)),"")</x:f>
      </x:c>
      <x:c r="AF131" s="68" t="str">
        <x:f>IF(COLUMN()-2&lt;=$E$3,INDEX($B$10:$B$59,RANDBETWEEN(1,$E$3)),"")</x:f>
      </x:c>
      <x:c r="AG131" s="68" t="str">
        <x:f>IF(COLUMN()-2&lt;=$E$3,INDEX($B$10:$B$59,RANDBETWEEN(1,$E$3)),"")</x:f>
      </x:c>
      <x:c r="AH131" s="68" t="str">
        <x:f>IF(COLUMN()-2&lt;=$E$3,INDEX($B$10:$B$59,RANDBETWEEN(1,$E$3)),"")</x:f>
      </x:c>
      <x:c r="AI131" s="68" t="str">
        <x:f>IF(COLUMN()-2&lt;=$E$3,INDEX($B$10:$B$59,RANDBETWEEN(1,$E$3)),"")</x:f>
      </x:c>
      <x:c r="AJ131" s="68" t="str">
        <x:f>IF(COLUMN()-2&lt;=$E$3,INDEX($B$10:$B$59,RANDBETWEEN(1,$E$3)),"")</x:f>
      </x:c>
      <x:c r="AK131" s="68" t="str">
        <x:f>IF(COLUMN()-2&lt;=$E$3,INDEX($B$10:$B$59,RANDBETWEEN(1,$E$3)),"")</x:f>
      </x:c>
      <x:c r="AL131" s="68" t="str">
        <x:f>IF(COLUMN()-2&lt;=$E$3,INDEX($B$10:$B$59,RANDBETWEEN(1,$E$3)),"")</x:f>
      </x:c>
      <x:c r="AM131" s="68" t="str">
        <x:f>IF(COLUMN()-2&lt;=$E$3,INDEX($B$10:$B$59,RANDBETWEEN(1,$E$3)),"")</x:f>
      </x:c>
      <x:c r="AN131" s="68" t="str">
        <x:f>IF(COLUMN()-2&lt;=$E$3,INDEX($B$10:$B$59,RANDBETWEEN(1,$E$3)),"")</x:f>
      </x:c>
      <x:c r="AO131" s="68" t="str">
        <x:f>IF(COLUMN()-2&lt;=$E$3,INDEX($B$10:$B$59,RANDBETWEEN(1,$E$3)),"")</x:f>
      </x:c>
      <x:c r="AP131" s="68" t="str">
        <x:f>IF(COLUMN()-2&lt;=$E$3,INDEX($B$10:$B$59,RANDBETWEEN(1,$E$3)),"")</x:f>
      </x:c>
      <x:c r="AQ131" s="68" t="str">
        <x:f>IF(COLUMN()-2&lt;=$E$3,INDEX($B$10:$B$59,RANDBETWEEN(1,$E$3)),"")</x:f>
      </x:c>
      <x:c r="AR131" s="68" t="str">
        <x:f>IF(COLUMN()-2&lt;=$E$3,INDEX($B$10:$B$59,RANDBETWEEN(1,$E$3)),"")</x:f>
      </x:c>
      <x:c r="AS131" s="68" t="str">
        <x:f>IF(COLUMN()-2&lt;=$E$3,INDEX($B$10:$B$59,RANDBETWEEN(1,$E$3)),"")</x:f>
      </x:c>
      <x:c r="AT131" s="68" t="str">
        <x:f>IF(COLUMN()-2&lt;=$E$3,INDEX($B$10:$B$59,RANDBETWEEN(1,$E$3)),"")</x:f>
      </x:c>
      <x:c r="AU131" s="68" t="str">
        <x:f>IF(COLUMN()-2&lt;=$E$3,INDEX($B$10:$B$59,RANDBETWEEN(1,$E$3)),"")</x:f>
      </x:c>
      <x:c r="AV131" s="68" t="str">
        <x:f>IF(COLUMN()-2&lt;=$E$3,INDEX($B$10:$B$59,RANDBETWEEN(1,$E$3)),"")</x:f>
      </x:c>
      <x:c r="AW131" s="68" t="str">
        <x:f>IF(COLUMN()-2&lt;=$E$3,INDEX($B$10:$B$59,RANDBETWEEN(1,$E$3)),"")</x:f>
      </x:c>
      <x:c r="AX131" s="68" t="str">
        <x:f>IF(COLUMN()-2&lt;=$E$3,INDEX($B$10:$B$59,RANDBETWEEN(1,$E$3)),"")</x:f>
      </x:c>
      <x:c r="AY131" s="68" t="str">
        <x:f>IF(COLUMN()-2&lt;=$E$3,INDEX($B$10:$B$59,RANDBETWEEN(1,$E$3)),"")</x:f>
      </x:c>
      <x:c r="AZ131" s="68" t="str">
        <x:f>IF(COLUMN()-2&lt;=$E$3,INDEX($B$10:$B$59,RANDBETWEEN(1,$E$3)),"")</x:f>
      </x:c>
      <x:c r="BA131" s="68" t="str">
        <x:f>IF($E$3=0,"",AVERAGE(C131:AZ131))</x:f>
      </x:c>
    </x:row>
    <x:row r="132">
      <x:c r="A132" t="n">
        <x:v>68</x:v>
      </x:c>
      <x:c r="C132" s="68" t="str">
        <x:f>IF(COLUMN()-2&lt;=$E$3,INDEX($B$10:$B$59,RANDBETWEEN(1,$E$3)),"")</x:f>
      </x:c>
      <x:c r="D132" s="68" t="str">
        <x:f>IF(COLUMN()-2&lt;=$E$3,INDEX($B$10:$B$59,RANDBETWEEN(1,$E$3)),"")</x:f>
      </x:c>
      <x:c r="E132" s="68" t="str">
        <x:f>IF(COLUMN()-2&lt;=$E$3,INDEX($B$10:$B$59,RANDBETWEEN(1,$E$3)),"")</x:f>
      </x:c>
      <x:c r="F132" s="68" t="str">
        <x:f>IF(COLUMN()-2&lt;=$E$3,INDEX($B$10:$B$59,RANDBETWEEN(1,$E$3)),"")</x:f>
      </x:c>
      <x:c r="G132" s="68" t="str">
        <x:f>IF(COLUMN()-2&lt;=$E$3,INDEX($B$10:$B$59,RANDBETWEEN(1,$E$3)),"")</x:f>
      </x:c>
      <x:c r="H132" s="68" t="str">
        <x:f>IF(COLUMN()-2&lt;=$E$3,INDEX($B$10:$B$59,RANDBETWEEN(1,$E$3)),"")</x:f>
      </x:c>
      <x:c r="I132" s="68" t="str">
        <x:f>IF(COLUMN()-2&lt;=$E$3,INDEX($B$10:$B$59,RANDBETWEEN(1,$E$3)),"")</x:f>
      </x:c>
      <x:c r="J132" s="68" t="str">
        <x:f>IF(COLUMN()-2&lt;=$E$3,INDEX($B$10:$B$59,RANDBETWEEN(1,$E$3)),"")</x:f>
      </x:c>
      <x:c r="K132" s="68" t="str">
        <x:f>IF(COLUMN()-2&lt;=$E$3,INDEX($B$10:$B$59,RANDBETWEEN(1,$E$3)),"")</x:f>
      </x:c>
      <x:c r="L132" s="68" t="str">
        <x:f>IF(COLUMN()-2&lt;=$E$3,INDEX($B$10:$B$59,RANDBETWEEN(1,$E$3)),"")</x:f>
      </x:c>
      <x:c r="M132" s="68" t="str">
        <x:f>IF(COLUMN()-2&lt;=$E$3,INDEX($B$10:$B$59,RANDBETWEEN(1,$E$3)),"")</x:f>
      </x:c>
      <x:c r="N132" s="68" t="str">
        <x:f>IF(COLUMN()-2&lt;=$E$3,INDEX($B$10:$B$59,RANDBETWEEN(1,$E$3)),"")</x:f>
      </x:c>
      <x:c r="O132" s="68" t="str">
        <x:f>IF(COLUMN()-2&lt;=$E$3,INDEX($B$10:$B$59,RANDBETWEEN(1,$E$3)),"")</x:f>
      </x:c>
      <x:c r="P132" s="68" t="str">
        <x:f>IF(COLUMN()-2&lt;=$E$3,INDEX($B$10:$B$59,RANDBETWEEN(1,$E$3)),"")</x:f>
      </x:c>
      <x:c r="Q132" s="68" t="str">
        <x:f>IF(COLUMN()-2&lt;=$E$3,INDEX($B$10:$B$59,RANDBETWEEN(1,$E$3)),"")</x:f>
      </x:c>
      <x:c r="R132" s="68" t="str">
        <x:f>IF(COLUMN()-2&lt;=$E$3,INDEX($B$10:$B$59,RANDBETWEEN(1,$E$3)),"")</x:f>
      </x:c>
      <x:c r="S132" s="68" t="str">
        <x:f>IF(COLUMN()-2&lt;=$E$3,INDEX($B$10:$B$59,RANDBETWEEN(1,$E$3)),"")</x:f>
      </x:c>
      <x:c r="T132" s="68" t="str">
        <x:f>IF(COLUMN()-2&lt;=$E$3,INDEX($B$10:$B$59,RANDBETWEEN(1,$E$3)),"")</x:f>
      </x:c>
      <x:c r="U132" s="68" t="str">
        <x:f>IF(COLUMN()-2&lt;=$E$3,INDEX($B$10:$B$59,RANDBETWEEN(1,$E$3)),"")</x:f>
      </x:c>
      <x:c r="V132" s="68" t="str">
        <x:f>IF(COLUMN()-2&lt;=$E$3,INDEX($B$10:$B$59,RANDBETWEEN(1,$E$3)),"")</x:f>
      </x:c>
      <x:c r="W132" s="68" t="str">
        <x:f>IF(COLUMN()-2&lt;=$E$3,INDEX($B$10:$B$59,RANDBETWEEN(1,$E$3)),"")</x:f>
      </x:c>
      <x:c r="X132" s="68" t="str">
        <x:f>IF(COLUMN()-2&lt;=$E$3,INDEX($B$10:$B$59,RANDBETWEEN(1,$E$3)),"")</x:f>
      </x:c>
      <x:c r="Y132" s="68" t="str">
        <x:f>IF(COLUMN()-2&lt;=$E$3,INDEX($B$10:$B$59,RANDBETWEEN(1,$E$3)),"")</x:f>
      </x:c>
      <x:c r="Z132" s="68" t="str">
        <x:f>IF(COLUMN()-2&lt;=$E$3,INDEX($B$10:$B$59,RANDBETWEEN(1,$E$3)),"")</x:f>
      </x:c>
      <x:c r="AA132" s="68" t="str">
        <x:f>IF(COLUMN()-2&lt;=$E$3,INDEX($B$10:$B$59,RANDBETWEEN(1,$E$3)),"")</x:f>
      </x:c>
      <x:c r="AB132" s="68" t="str">
        <x:f>IF(COLUMN()-2&lt;=$E$3,INDEX($B$10:$B$59,RANDBETWEEN(1,$E$3)),"")</x:f>
      </x:c>
      <x:c r="AC132" s="68" t="str">
        <x:f>IF(COLUMN()-2&lt;=$E$3,INDEX($B$10:$B$59,RANDBETWEEN(1,$E$3)),"")</x:f>
      </x:c>
      <x:c r="AD132" s="68" t="str">
        <x:f>IF(COLUMN()-2&lt;=$E$3,INDEX($B$10:$B$59,RANDBETWEEN(1,$E$3)),"")</x:f>
      </x:c>
      <x:c r="AE132" s="68" t="str">
        <x:f>IF(COLUMN()-2&lt;=$E$3,INDEX($B$10:$B$59,RANDBETWEEN(1,$E$3)),"")</x:f>
      </x:c>
      <x:c r="AF132" s="68" t="str">
        <x:f>IF(COLUMN()-2&lt;=$E$3,INDEX($B$10:$B$59,RANDBETWEEN(1,$E$3)),"")</x:f>
      </x:c>
      <x:c r="AG132" s="68" t="str">
        <x:f>IF(COLUMN()-2&lt;=$E$3,INDEX($B$10:$B$59,RANDBETWEEN(1,$E$3)),"")</x:f>
      </x:c>
      <x:c r="AH132" s="68" t="str">
        <x:f>IF(COLUMN()-2&lt;=$E$3,INDEX($B$10:$B$59,RANDBETWEEN(1,$E$3)),"")</x:f>
      </x:c>
      <x:c r="AI132" s="68" t="str">
        <x:f>IF(COLUMN()-2&lt;=$E$3,INDEX($B$10:$B$59,RANDBETWEEN(1,$E$3)),"")</x:f>
      </x:c>
      <x:c r="AJ132" s="68" t="str">
        <x:f>IF(COLUMN()-2&lt;=$E$3,INDEX($B$10:$B$59,RANDBETWEEN(1,$E$3)),"")</x:f>
      </x:c>
      <x:c r="AK132" s="68" t="str">
        <x:f>IF(COLUMN()-2&lt;=$E$3,INDEX($B$10:$B$59,RANDBETWEEN(1,$E$3)),"")</x:f>
      </x:c>
      <x:c r="AL132" s="68" t="str">
        <x:f>IF(COLUMN()-2&lt;=$E$3,INDEX($B$10:$B$59,RANDBETWEEN(1,$E$3)),"")</x:f>
      </x:c>
      <x:c r="AM132" s="68" t="str">
        <x:f>IF(COLUMN()-2&lt;=$E$3,INDEX($B$10:$B$59,RANDBETWEEN(1,$E$3)),"")</x:f>
      </x:c>
      <x:c r="AN132" s="68" t="str">
        <x:f>IF(COLUMN()-2&lt;=$E$3,INDEX($B$10:$B$59,RANDBETWEEN(1,$E$3)),"")</x:f>
      </x:c>
      <x:c r="AO132" s="68" t="str">
        <x:f>IF(COLUMN()-2&lt;=$E$3,INDEX($B$10:$B$59,RANDBETWEEN(1,$E$3)),"")</x:f>
      </x:c>
      <x:c r="AP132" s="68" t="str">
        <x:f>IF(COLUMN()-2&lt;=$E$3,INDEX($B$10:$B$59,RANDBETWEEN(1,$E$3)),"")</x:f>
      </x:c>
      <x:c r="AQ132" s="68" t="str">
        <x:f>IF(COLUMN()-2&lt;=$E$3,INDEX($B$10:$B$59,RANDBETWEEN(1,$E$3)),"")</x:f>
      </x:c>
      <x:c r="AR132" s="68" t="str">
        <x:f>IF(COLUMN()-2&lt;=$E$3,INDEX($B$10:$B$59,RANDBETWEEN(1,$E$3)),"")</x:f>
      </x:c>
      <x:c r="AS132" s="68" t="str">
        <x:f>IF(COLUMN()-2&lt;=$E$3,INDEX($B$10:$B$59,RANDBETWEEN(1,$E$3)),"")</x:f>
      </x:c>
      <x:c r="AT132" s="68" t="str">
        <x:f>IF(COLUMN()-2&lt;=$E$3,INDEX($B$10:$B$59,RANDBETWEEN(1,$E$3)),"")</x:f>
      </x:c>
      <x:c r="AU132" s="68" t="str">
        <x:f>IF(COLUMN()-2&lt;=$E$3,INDEX($B$10:$B$59,RANDBETWEEN(1,$E$3)),"")</x:f>
      </x:c>
      <x:c r="AV132" s="68" t="str">
        <x:f>IF(COLUMN()-2&lt;=$E$3,INDEX($B$10:$B$59,RANDBETWEEN(1,$E$3)),"")</x:f>
      </x:c>
      <x:c r="AW132" s="68" t="str">
        <x:f>IF(COLUMN()-2&lt;=$E$3,INDEX($B$10:$B$59,RANDBETWEEN(1,$E$3)),"")</x:f>
      </x:c>
      <x:c r="AX132" s="68" t="str">
        <x:f>IF(COLUMN()-2&lt;=$E$3,INDEX($B$10:$B$59,RANDBETWEEN(1,$E$3)),"")</x:f>
      </x:c>
      <x:c r="AY132" s="68" t="str">
        <x:f>IF(COLUMN()-2&lt;=$E$3,INDEX($B$10:$B$59,RANDBETWEEN(1,$E$3)),"")</x:f>
      </x:c>
      <x:c r="AZ132" s="68" t="str">
        <x:f>IF(COLUMN()-2&lt;=$E$3,INDEX($B$10:$B$59,RANDBETWEEN(1,$E$3)),"")</x:f>
      </x:c>
      <x:c r="BA132" s="68" t="str">
        <x:f>IF($E$3=0,"",AVERAGE(C132:AZ132))</x:f>
      </x:c>
    </x:row>
    <x:row r="133">
      <x:c r="A133" t="n">
        <x:v>69</x:v>
      </x:c>
      <x:c r="C133" s="68" t="str">
        <x:f>IF(COLUMN()-2&lt;=$E$3,INDEX($B$10:$B$59,RANDBETWEEN(1,$E$3)),"")</x:f>
      </x:c>
      <x:c r="D133" s="68" t="str">
        <x:f>IF(COLUMN()-2&lt;=$E$3,INDEX($B$10:$B$59,RANDBETWEEN(1,$E$3)),"")</x:f>
      </x:c>
      <x:c r="E133" s="68" t="str">
        <x:f>IF(COLUMN()-2&lt;=$E$3,INDEX($B$10:$B$59,RANDBETWEEN(1,$E$3)),"")</x:f>
      </x:c>
      <x:c r="F133" s="68" t="str">
        <x:f>IF(COLUMN()-2&lt;=$E$3,INDEX($B$10:$B$59,RANDBETWEEN(1,$E$3)),"")</x:f>
      </x:c>
      <x:c r="G133" s="68" t="str">
        <x:f>IF(COLUMN()-2&lt;=$E$3,INDEX($B$10:$B$59,RANDBETWEEN(1,$E$3)),"")</x:f>
      </x:c>
      <x:c r="H133" s="68" t="str">
        <x:f>IF(COLUMN()-2&lt;=$E$3,INDEX($B$10:$B$59,RANDBETWEEN(1,$E$3)),"")</x:f>
      </x:c>
      <x:c r="I133" s="68" t="str">
        <x:f>IF(COLUMN()-2&lt;=$E$3,INDEX($B$10:$B$59,RANDBETWEEN(1,$E$3)),"")</x:f>
      </x:c>
      <x:c r="J133" s="68" t="str">
        <x:f>IF(COLUMN()-2&lt;=$E$3,INDEX($B$10:$B$59,RANDBETWEEN(1,$E$3)),"")</x:f>
      </x:c>
      <x:c r="K133" s="68" t="str">
        <x:f>IF(COLUMN()-2&lt;=$E$3,INDEX($B$10:$B$59,RANDBETWEEN(1,$E$3)),"")</x:f>
      </x:c>
      <x:c r="L133" s="68" t="str">
        <x:f>IF(COLUMN()-2&lt;=$E$3,INDEX($B$10:$B$59,RANDBETWEEN(1,$E$3)),"")</x:f>
      </x:c>
      <x:c r="M133" s="68" t="str">
        <x:f>IF(COLUMN()-2&lt;=$E$3,INDEX($B$10:$B$59,RANDBETWEEN(1,$E$3)),"")</x:f>
      </x:c>
      <x:c r="N133" s="68" t="str">
        <x:f>IF(COLUMN()-2&lt;=$E$3,INDEX($B$10:$B$59,RANDBETWEEN(1,$E$3)),"")</x:f>
      </x:c>
      <x:c r="O133" s="68" t="str">
        <x:f>IF(COLUMN()-2&lt;=$E$3,INDEX($B$10:$B$59,RANDBETWEEN(1,$E$3)),"")</x:f>
      </x:c>
      <x:c r="P133" s="68" t="str">
        <x:f>IF(COLUMN()-2&lt;=$E$3,INDEX($B$10:$B$59,RANDBETWEEN(1,$E$3)),"")</x:f>
      </x:c>
      <x:c r="Q133" s="68" t="str">
        <x:f>IF(COLUMN()-2&lt;=$E$3,INDEX($B$10:$B$59,RANDBETWEEN(1,$E$3)),"")</x:f>
      </x:c>
      <x:c r="R133" s="68" t="str">
        <x:f>IF(COLUMN()-2&lt;=$E$3,INDEX($B$10:$B$59,RANDBETWEEN(1,$E$3)),"")</x:f>
      </x:c>
      <x:c r="S133" s="68" t="str">
        <x:f>IF(COLUMN()-2&lt;=$E$3,INDEX($B$10:$B$59,RANDBETWEEN(1,$E$3)),"")</x:f>
      </x:c>
      <x:c r="T133" s="68" t="str">
        <x:f>IF(COLUMN()-2&lt;=$E$3,INDEX($B$10:$B$59,RANDBETWEEN(1,$E$3)),"")</x:f>
      </x:c>
      <x:c r="U133" s="68" t="str">
        <x:f>IF(COLUMN()-2&lt;=$E$3,INDEX($B$10:$B$59,RANDBETWEEN(1,$E$3)),"")</x:f>
      </x:c>
      <x:c r="V133" s="68" t="str">
        <x:f>IF(COLUMN()-2&lt;=$E$3,INDEX($B$10:$B$59,RANDBETWEEN(1,$E$3)),"")</x:f>
      </x:c>
      <x:c r="W133" s="68" t="str">
        <x:f>IF(COLUMN()-2&lt;=$E$3,INDEX($B$10:$B$59,RANDBETWEEN(1,$E$3)),"")</x:f>
      </x:c>
      <x:c r="X133" s="68" t="str">
        <x:f>IF(COLUMN()-2&lt;=$E$3,INDEX($B$10:$B$59,RANDBETWEEN(1,$E$3)),"")</x:f>
      </x:c>
      <x:c r="Y133" s="68" t="str">
        <x:f>IF(COLUMN()-2&lt;=$E$3,INDEX($B$10:$B$59,RANDBETWEEN(1,$E$3)),"")</x:f>
      </x:c>
      <x:c r="Z133" s="68" t="str">
        <x:f>IF(COLUMN()-2&lt;=$E$3,INDEX($B$10:$B$59,RANDBETWEEN(1,$E$3)),"")</x:f>
      </x:c>
      <x:c r="AA133" s="68" t="str">
        <x:f>IF(COLUMN()-2&lt;=$E$3,INDEX($B$10:$B$59,RANDBETWEEN(1,$E$3)),"")</x:f>
      </x:c>
      <x:c r="AB133" s="68" t="str">
        <x:f>IF(COLUMN()-2&lt;=$E$3,INDEX($B$10:$B$59,RANDBETWEEN(1,$E$3)),"")</x:f>
      </x:c>
      <x:c r="AC133" s="68" t="str">
        <x:f>IF(COLUMN()-2&lt;=$E$3,INDEX($B$10:$B$59,RANDBETWEEN(1,$E$3)),"")</x:f>
      </x:c>
      <x:c r="AD133" s="68" t="str">
        <x:f>IF(COLUMN()-2&lt;=$E$3,INDEX($B$10:$B$59,RANDBETWEEN(1,$E$3)),"")</x:f>
      </x:c>
      <x:c r="AE133" s="68" t="str">
        <x:f>IF(COLUMN()-2&lt;=$E$3,INDEX($B$10:$B$59,RANDBETWEEN(1,$E$3)),"")</x:f>
      </x:c>
      <x:c r="AF133" s="68" t="str">
        <x:f>IF(COLUMN()-2&lt;=$E$3,INDEX($B$10:$B$59,RANDBETWEEN(1,$E$3)),"")</x:f>
      </x:c>
      <x:c r="AG133" s="68" t="str">
        <x:f>IF(COLUMN()-2&lt;=$E$3,INDEX($B$10:$B$59,RANDBETWEEN(1,$E$3)),"")</x:f>
      </x:c>
      <x:c r="AH133" s="68" t="str">
        <x:f>IF(COLUMN()-2&lt;=$E$3,INDEX($B$10:$B$59,RANDBETWEEN(1,$E$3)),"")</x:f>
      </x:c>
      <x:c r="AI133" s="68" t="str">
        <x:f>IF(COLUMN()-2&lt;=$E$3,INDEX($B$10:$B$59,RANDBETWEEN(1,$E$3)),"")</x:f>
      </x:c>
      <x:c r="AJ133" s="68" t="str">
        <x:f>IF(COLUMN()-2&lt;=$E$3,INDEX($B$10:$B$59,RANDBETWEEN(1,$E$3)),"")</x:f>
      </x:c>
      <x:c r="AK133" s="68" t="str">
        <x:f>IF(COLUMN()-2&lt;=$E$3,INDEX($B$10:$B$59,RANDBETWEEN(1,$E$3)),"")</x:f>
      </x:c>
      <x:c r="AL133" s="68" t="str">
        <x:f>IF(COLUMN()-2&lt;=$E$3,INDEX($B$10:$B$59,RANDBETWEEN(1,$E$3)),"")</x:f>
      </x:c>
      <x:c r="AM133" s="68" t="str">
        <x:f>IF(COLUMN()-2&lt;=$E$3,INDEX($B$10:$B$59,RANDBETWEEN(1,$E$3)),"")</x:f>
      </x:c>
      <x:c r="AN133" s="68" t="str">
        <x:f>IF(COLUMN()-2&lt;=$E$3,INDEX($B$10:$B$59,RANDBETWEEN(1,$E$3)),"")</x:f>
      </x:c>
      <x:c r="AO133" s="68" t="str">
        <x:f>IF(COLUMN()-2&lt;=$E$3,INDEX($B$10:$B$59,RANDBETWEEN(1,$E$3)),"")</x:f>
      </x:c>
      <x:c r="AP133" s="68" t="str">
        <x:f>IF(COLUMN()-2&lt;=$E$3,INDEX($B$10:$B$59,RANDBETWEEN(1,$E$3)),"")</x:f>
      </x:c>
      <x:c r="AQ133" s="68" t="str">
        <x:f>IF(COLUMN()-2&lt;=$E$3,INDEX($B$10:$B$59,RANDBETWEEN(1,$E$3)),"")</x:f>
      </x:c>
      <x:c r="AR133" s="68" t="str">
        <x:f>IF(COLUMN()-2&lt;=$E$3,INDEX($B$10:$B$59,RANDBETWEEN(1,$E$3)),"")</x:f>
      </x:c>
      <x:c r="AS133" s="68" t="str">
        <x:f>IF(COLUMN()-2&lt;=$E$3,INDEX($B$10:$B$59,RANDBETWEEN(1,$E$3)),"")</x:f>
      </x:c>
      <x:c r="AT133" s="68" t="str">
        <x:f>IF(COLUMN()-2&lt;=$E$3,INDEX($B$10:$B$59,RANDBETWEEN(1,$E$3)),"")</x:f>
      </x:c>
      <x:c r="AU133" s="68" t="str">
        <x:f>IF(COLUMN()-2&lt;=$E$3,INDEX($B$10:$B$59,RANDBETWEEN(1,$E$3)),"")</x:f>
      </x:c>
      <x:c r="AV133" s="68" t="str">
        <x:f>IF(COLUMN()-2&lt;=$E$3,INDEX($B$10:$B$59,RANDBETWEEN(1,$E$3)),"")</x:f>
      </x:c>
      <x:c r="AW133" s="68" t="str">
        <x:f>IF(COLUMN()-2&lt;=$E$3,INDEX($B$10:$B$59,RANDBETWEEN(1,$E$3)),"")</x:f>
      </x:c>
      <x:c r="AX133" s="68" t="str">
        <x:f>IF(COLUMN()-2&lt;=$E$3,INDEX($B$10:$B$59,RANDBETWEEN(1,$E$3)),"")</x:f>
      </x:c>
      <x:c r="AY133" s="68" t="str">
        <x:f>IF(COLUMN()-2&lt;=$E$3,INDEX($B$10:$B$59,RANDBETWEEN(1,$E$3)),"")</x:f>
      </x:c>
      <x:c r="AZ133" s="68" t="str">
        <x:f>IF(COLUMN()-2&lt;=$E$3,INDEX($B$10:$B$59,RANDBETWEEN(1,$E$3)),"")</x:f>
      </x:c>
      <x:c r="BA133" s="68" t="str">
        <x:f>IF($E$3=0,"",AVERAGE(C133:AZ133))</x:f>
      </x:c>
    </x:row>
    <x:row r="134">
      <x:c r="A134" t="n">
        <x:v>70</x:v>
      </x:c>
      <x:c r="C134" s="68" t="str">
        <x:f>IF(COLUMN()-2&lt;=$E$3,INDEX($B$10:$B$59,RANDBETWEEN(1,$E$3)),"")</x:f>
      </x:c>
      <x:c r="D134" s="68" t="str">
        <x:f>IF(COLUMN()-2&lt;=$E$3,INDEX($B$10:$B$59,RANDBETWEEN(1,$E$3)),"")</x:f>
      </x:c>
      <x:c r="E134" s="68" t="str">
        <x:f>IF(COLUMN()-2&lt;=$E$3,INDEX($B$10:$B$59,RANDBETWEEN(1,$E$3)),"")</x:f>
      </x:c>
      <x:c r="F134" s="68" t="str">
        <x:f>IF(COLUMN()-2&lt;=$E$3,INDEX($B$10:$B$59,RANDBETWEEN(1,$E$3)),"")</x:f>
      </x:c>
      <x:c r="G134" s="68" t="str">
        <x:f>IF(COLUMN()-2&lt;=$E$3,INDEX($B$10:$B$59,RANDBETWEEN(1,$E$3)),"")</x:f>
      </x:c>
      <x:c r="H134" s="68" t="str">
        <x:f>IF(COLUMN()-2&lt;=$E$3,INDEX($B$10:$B$59,RANDBETWEEN(1,$E$3)),"")</x:f>
      </x:c>
      <x:c r="I134" s="68" t="str">
        <x:f>IF(COLUMN()-2&lt;=$E$3,INDEX($B$10:$B$59,RANDBETWEEN(1,$E$3)),"")</x:f>
      </x:c>
      <x:c r="J134" s="68" t="str">
        <x:f>IF(COLUMN()-2&lt;=$E$3,INDEX($B$10:$B$59,RANDBETWEEN(1,$E$3)),"")</x:f>
      </x:c>
      <x:c r="K134" s="68" t="str">
        <x:f>IF(COLUMN()-2&lt;=$E$3,INDEX($B$10:$B$59,RANDBETWEEN(1,$E$3)),"")</x:f>
      </x:c>
      <x:c r="L134" s="68" t="str">
        <x:f>IF(COLUMN()-2&lt;=$E$3,INDEX($B$10:$B$59,RANDBETWEEN(1,$E$3)),"")</x:f>
      </x:c>
      <x:c r="M134" s="68" t="str">
        <x:f>IF(COLUMN()-2&lt;=$E$3,INDEX($B$10:$B$59,RANDBETWEEN(1,$E$3)),"")</x:f>
      </x:c>
      <x:c r="N134" s="68" t="str">
        <x:f>IF(COLUMN()-2&lt;=$E$3,INDEX($B$10:$B$59,RANDBETWEEN(1,$E$3)),"")</x:f>
      </x:c>
      <x:c r="O134" s="68" t="str">
        <x:f>IF(COLUMN()-2&lt;=$E$3,INDEX($B$10:$B$59,RANDBETWEEN(1,$E$3)),"")</x:f>
      </x:c>
      <x:c r="P134" s="68" t="str">
        <x:f>IF(COLUMN()-2&lt;=$E$3,INDEX($B$10:$B$59,RANDBETWEEN(1,$E$3)),"")</x:f>
      </x:c>
      <x:c r="Q134" s="68" t="str">
        <x:f>IF(COLUMN()-2&lt;=$E$3,INDEX($B$10:$B$59,RANDBETWEEN(1,$E$3)),"")</x:f>
      </x:c>
      <x:c r="R134" s="68" t="str">
        <x:f>IF(COLUMN()-2&lt;=$E$3,INDEX($B$10:$B$59,RANDBETWEEN(1,$E$3)),"")</x:f>
      </x:c>
      <x:c r="S134" s="68" t="str">
        <x:f>IF(COLUMN()-2&lt;=$E$3,INDEX($B$10:$B$59,RANDBETWEEN(1,$E$3)),"")</x:f>
      </x:c>
      <x:c r="T134" s="68" t="str">
        <x:f>IF(COLUMN()-2&lt;=$E$3,INDEX($B$10:$B$59,RANDBETWEEN(1,$E$3)),"")</x:f>
      </x:c>
      <x:c r="U134" s="68" t="str">
        <x:f>IF(COLUMN()-2&lt;=$E$3,INDEX($B$10:$B$59,RANDBETWEEN(1,$E$3)),"")</x:f>
      </x:c>
      <x:c r="V134" s="68" t="str">
        <x:f>IF(COLUMN()-2&lt;=$E$3,INDEX($B$10:$B$59,RANDBETWEEN(1,$E$3)),"")</x:f>
      </x:c>
      <x:c r="W134" s="68" t="str">
        <x:f>IF(COLUMN()-2&lt;=$E$3,INDEX($B$10:$B$59,RANDBETWEEN(1,$E$3)),"")</x:f>
      </x:c>
      <x:c r="X134" s="68" t="str">
        <x:f>IF(COLUMN()-2&lt;=$E$3,INDEX($B$10:$B$59,RANDBETWEEN(1,$E$3)),"")</x:f>
      </x:c>
      <x:c r="Y134" s="68" t="str">
        <x:f>IF(COLUMN()-2&lt;=$E$3,INDEX($B$10:$B$59,RANDBETWEEN(1,$E$3)),"")</x:f>
      </x:c>
      <x:c r="Z134" s="68" t="str">
        <x:f>IF(COLUMN()-2&lt;=$E$3,INDEX($B$10:$B$59,RANDBETWEEN(1,$E$3)),"")</x:f>
      </x:c>
      <x:c r="AA134" s="68" t="str">
        <x:f>IF(COLUMN()-2&lt;=$E$3,INDEX($B$10:$B$59,RANDBETWEEN(1,$E$3)),"")</x:f>
      </x:c>
      <x:c r="AB134" s="68" t="str">
        <x:f>IF(COLUMN()-2&lt;=$E$3,INDEX($B$10:$B$59,RANDBETWEEN(1,$E$3)),"")</x:f>
      </x:c>
      <x:c r="AC134" s="68" t="str">
        <x:f>IF(COLUMN()-2&lt;=$E$3,INDEX($B$10:$B$59,RANDBETWEEN(1,$E$3)),"")</x:f>
      </x:c>
      <x:c r="AD134" s="68" t="str">
        <x:f>IF(COLUMN()-2&lt;=$E$3,INDEX($B$10:$B$59,RANDBETWEEN(1,$E$3)),"")</x:f>
      </x:c>
      <x:c r="AE134" s="68" t="str">
        <x:f>IF(COLUMN()-2&lt;=$E$3,INDEX($B$10:$B$59,RANDBETWEEN(1,$E$3)),"")</x:f>
      </x:c>
      <x:c r="AF134" s="68" t="str">
        <x:f>IF(COLUMN()-2&lt;=$E$3,INDEX($B$10:$B$59,RANDBETWEEN(1,$E$3)),"")</x:f>
      </x:c>
      <x:c r="AG134" s="68" t="str">
        <x:f>IF(COLUMN()-2&lt;=$E$3,INDEX($B$10:$B$59,RANDBETWEEN(1,$E$3)),"")</x:f>
      </x:c>
      <x:c r="AH134" s="68" t="str">
        <x:f>IF(COLUMN()-2&lt;=$E$3,INDEX($B$10:$B$59,RANDBETWEEN(1,$E$3)),"")</x:f>
      </x:c>
      <x:c r="AI134" s="68" t="str">
        <x:f>IF(COLUMN()-2&lt;=$E$3,INDEX($B$10:$B$59,RANDBETWEEN(1,$E$3)),"")</x:f>
      </x:c>
      <x:c r="AJ134" s="68" t="str">
        <x:f>IF(COLUMN()-2&lt;=$E$3,INDEX($B$10:$B$59,RANDBETWEEN(1,$E$3)),"")</x:f>
      </x:c>
      <x:c r="AK134" s="68" t="str">
        <x:f>IF(COLUMN()-2&lt;=$E$3,INDEX($B$10:$B$59,RANDBETWEEN(1,$E$3)),"")</x:f>
      </x:c>
      <x:c r="AL134" s="68" t="str">
        <x:f>IF(COLUMN()-2&lt;=$E$3,INDEX($B$10:$B$59,RANDBETWEEN(1,$E$3)),"")</x:f>
      </x:c>
      <x:c r="AM134" s="68" t="str">
        <x:f>IF(COLUMN()-2&lt;=$E$3,INDEX($B$10:$B$59,RANDBETWEEN(1,$E$3)),"")</x:f>
      </x:c>
      <x:c r="AN134" s="68" t="str">
        <x:f>IF(COLUMN()-2&lt;=$E$3,INDEX($B$10:$B$59,RANDBETWEEN(1,$E$3)),"")</x:f>
      </x:c>
      <x:c r="AO134" s="68" t="str">
        <x:f>IF(COLUMN()-2&lt;=$E$3,INDEX($B$10:$B$59,RANDBETWEEN(1,$E$3)),"")</x:f>
      </x:c>
      <x:c r="AP134" s="68" t="str">
        <x:f>IF(COLUMN()-2&lt;=$E$3,INDEX($B$10:$B$59,RANDBETWEEN(1,$E$3)),"")</x:f>
      </x:c>
      <x:c r="AQ134" s="68" t="str">
        <x:f>IF(COLUMN()-2&lt;=$E$3,INDEX($B$10:$B$59,RANDBETWEEN(1,$E$3)),"")</x:f>
      </x:c>
      <x:c r="AR134" s="68" t="str">
        <x:f>IF(COLUMN()-2&lt;=$E$3,INDEX($B$10:$B$59,RANDBETWEEN(1,$E$3)),"")</x:f>
      </x:c>
      <x:c r="AS134" s="68" t="str">
        <x:f>IF(COLUMN()-2&lt;=$E$3,INDEX($B$10:$B$59,RANDBETWEEN(1,$E$3)),"")</x:f>
      </x:c>
      <x:c r="AT134" s="68" t="str">
        <x:f>IF(COLUMN()-2&lt;=$E$3,INDEX($B$10:$B$59,RANDBETWEEN(1,$E$3)),"")</x:f>
      </x:c>
      <x:c r="AU134" s="68" t="str">
        <x:f>IF(COLUMN()-2&lt;=$E$3,INDEX($B$10:$B$59,RANDBETWEEN(1,$E$3)),"")</x:f>
      </x:c>
      <x:c r="AV134" s="68" t="str">
        <x:f>IF(COLUMN()-2&lt;=$E$3,INDEX($B$10:$B$59,RANDBETWEEN(1,$E$3)),"")</x:f>
      </x:c>
      <x:c r="AW134" s="68" t="str">
        <x:f>IF(COLUMN()-2&lt;=$E$3,INDEX($B$10:$B$59,RANDBETWEEN(1,$E$3)),"")</x:f>
      </x:c>
      <x:c r="AX134" s="68" t="str">
        <x:f>IF(COLUMN()-2&lt;=$E$3,INDEX($B$10:$B$59,RANDBETWEEN(1,$E$3)),"")</x:f>
      </x:c>
      <x:c r="AY134" s="68" t="str">
        <x:f>IF(COLUMN()-2&lt;=$E$3,INDEX($B$10:$B$59,RANDBETWEEN(1,$E$3)),"")</x:f>
      </x:c>
      <x:c r="AZ134" s="68" t="str">
        <x:f>IF(COLUMN()-2&lt;=$E$3,INDEX($B$10:$B$59,RANDBETWEEN(1,$E$3)),"")</x:f>
      </x:c>
      <x:c r="BA134" s="68" t="str">
        <x:f>IF($E$3=0,"",AVERAGE(C134:AZ134))</x:f>
      </x:c>
    </x:row>
    <x:row r="135">
      <x:c r="A135" t="n">
        <x:v>71</x:v>
      </x:c>
      <x:c r="C135" s="68" t="str">
        <x:f>IF(COLUMN()-2&lt;=$E$3,INDEX($B$10:$B$59,RANDBETWEEN(1,$E$3)),"")</x:f>
      </x:c>
      <x:c r="D135" s="68" t="str">
        <x:f>IF(COLUMN()-2&lt;=$E$3,INDEX($B$10:$B$59,RANDBETWEEN(1,$E$3)),"")</x:f>
      </x:c>
      <x:c r="E135" s="68" t="str">
        <x:f>IF(COLUMN()-2&lt;=$E$3,INDEX($B$10:$B$59,RANDBETWEEN(1,$E$3)),"")</x:f>
      </x:c>
      <x:c r="F135" s="68" t="str">
        <x:f>IF(COLUMN()-2&lt;=$E$3,INDEX($B$10:$B$59,RANDBETWEEN(1,$E$3)),"")</x:f>
      </x:c>
      <x:c r="G135" s="68" t="str">
        <x:f>IF(COLUMN()-2&lt;=$E$3,INDEX($B$10:$B$59,RANDBETWEEN(1,$E$3)),"")</x:f>
      </x:c>
      <x:c r="H135" s="68" t="str">
        <x:f>IF(COLUMN()-2&lt;=$E$3,INDEX($B$10:$B$59,RANDBETWEEN(1,$E$3)),"")</x:f>
      </x:c>
      <x:c r="I135" s="68" t="str">
        <x:f>IF(COLUMN()-2&lt;=$E$3,INDEX($B$10:$B$59,RANDBETWEEN(1,$E$3)),"")</x:f>
      </x:c>
      <x:c r="J135" s="68" t="str">
        <x:f>IF(COLUMN()-2&lt;=$E$3,INDEX($B$10:$B$59,RANDBETWEEN(1,$E$3)),"")</x:f>
      </x:c>
      <x:c r="K135" s="68" t="str">
        <x:f>IF(COLUMN()-2&lt;=$E$3,INDEX($B$10:$B$59,RANDBETWEEN(1,$E$3)),"")</x:f>
      </x:c>
      <x:c r="L135" s="68" t="str">
        <x:f>IF(COLUMN()-2&lt;=$E$3,INDEX($B$10:$B$59,RANDBETWEEN(1,$E$3)),"")</x:f>
      </x:c>
      <x:c r="M135" s="68" t="str">
        <x:f>IF(COLUMN()-2&lt;=$E$3,INDEX($B$10:$B$59,RANDBETWEEN(1,$E$3)),"")</x:f>
      </x:c>
      <x:c r="N135" s="68" t="str">
        <x:f>IF(COLUMN()-2&lt;=$E$3,INDEX($B$10:$B$59,RANDBETWEEN(1,$E$3)),"")</x:f>
      </x:c>
      <x:c r="O135" s="68" t="str">
        <x:f>IF(COLUMN()-2&lt;=$E$3,INDEX($B$10:$B$59,RANDBETWEEN(1,$E$3)),"")</x:f>
      </x:c>
      <x:c r="P135" s="68" t="str">
        <x:f>IF(COLUMN()-2&lt;=$E$3,INDEX($B$10:$B$59,RANDBETWEEN(1,$E$3)),"")</x:f>
      </x:c>
      <x:c r="Q135" s="68" t="str">
        <x:f>IF(COLUMN()-2&lt;=$E$3,INDEX($B$10:$B$59,RANDBETWEEN(1,$E$3)),"")</x:f>
      </x:c>
      <x:c r="R135" s="68" t="str">
        <x:f>IF(COLUMN()-2&lt;=$E$3,INDEX($B$10:$B$59,RANDBETWEEN(1,$E$3)),"")</x:f>
      </x:c>
      <x:c r="S135" s="68" t="str">
        <x:f>IF(COLUMN()-2&lt;=$E$3,INDEX($B$10:$B$59,RANDBETWEEN(1,$E$3)),"")</x:f>
      </x:c>
      <x:c r="T135" s="68" t="str">
        <x:f>IF(COLUMN()-2&lt;=$E$3,INDEX($B$10:$B$59,RANDBETWEEN(1,$E$3)),"")</x:f>
      </x:c>
      <x:c r="U135" s="68" t="str">
        <x:f>IF(COLUMN()-2&lt;=$E$3,INDEX($B$10:$B$59,RANDBETWEEN(1,$E$3)),"")</x:f>
      </x:c>
      <x:c r="V135" s="68" t="str">
        <x:f>IF(COLUMN()-2&lt;=$E$3,INDEX($B$10:$B$59,RANDBETWEEN(1,$E$3)),"")</x:f>
      </x:c>
      <x:c r="W135" s="68" t="str">
        <x:f>IF(COLUMN()-2&lt;=$E$3,INDEX($B$10:$B$59,RANDBETWEEN(1,$E$3)),"")</x:f>
      </x:c>
      <x:c r="X135" s="68" t="str">
        <x:f>IF(COLUMN()-2&lt;=$E$3,INDEX($B$10:$B$59,RANDBETWEEN(1,$E$3)),"")</x:f>
      </x:c>
      <x:c r="Y135" s="68" t="str">
        <x:f>IF(COLUMN()-2&lt;=$E$3,INDEX($B$10:$B$59,RANDBETWEEN(1,$E$3)),"")</x:f>
      </x:c>
      <x:c r="Z135" s="68" t="str">
        <x:f>IF(COLUMN()-2&lt;=$E$3,INDEX($B$10:$B$59,RANDBETWEEN(1,$E$3)),"")</x:f>
      </x:c>
      <x:c r="AA135" s="68" t="str">
        <x:f>IF(COLUMN()-2&lt;=$E$3,INDEX($B$10:$B$59,RANDBETWEEN(1,$E$3)),"")</x:f>
      </x:c>
      <x:c r="AB135" s="68" t="str">
        <x:f>IF(COLUMN()-2&lt;=$E$3,INDEX($B$10:$B$59,RANDBETWEEN(1,$E$3)),"")</x:f>
      </x:c>
      <x:c r="AC135" s="68" t="str">
        <x:f>IF(COLUMN()-2&lt;=$E$3,INDEX($B$10:$B$59,RANDBETWEEN(1,$E$3)),"")</x:f>
      </x:c>
      <x:c r="AD135" s="68" t="str">
        <x:f>IF(COLUMN()-2&lt;=$E$3,INDEX($B$10:$B$59,RANDBETWEEN(1,$E$3)),"")</x:f>
      </x:c>
      <x:c r="AE135" s="68" t="str">
        <x:f>IF(COLUMN()-2&lt;=$E$3,INDEX($B$10:$B$59,RANDBETWEEN(1,$E$3)),"")</x:f>
      </x:c>
      <x:c r="AF135" s="68" t="str">
        <x:f>IF(COLUMN()-2&lt;=$E$3,INDEX($B$10:$B$59,RANDBETWEEN(1,$E$3)),"")</x:f>
      </x:c>
      <x:c r="AG135" s="68" t="str">
        <x:f>IF(COLUMN()-2&lt;=$E$3,INDEX($B$10:$B$59,RANDBETWEEN(1,$E$3)),"")</x:f>
      </x:c>
      <x:c r="AH135" s="68" t="str">
        <x:f>IF(COLUMN()-2&lt;=$E$3,INDEX($B$10:$B$59,RANDBETWEEN(1,$E$3)),"")</x:f>
      </x:c>
      <x:c r="AI135" s="68" t="str">
        <x:f>IF(COLUMN()-2&lt;=$E$3,INDEX($B$10:$B$59,RANDBETWEEN(1,$E$3)),"")</x:f>
      </x:c>
      <x:c r="AJ135" s="68" t="str">
        <x:f>IF(COLUMN()-2&lt;=$E$3,INDEX($B$10:$B$59,RANDBETWEEN(1,$E$3)),"")</x:f>
      </x:c>
      <x:c r="AK135" s="68" t="str">
        <x:f>IF(COLUMN()-2&lt;=$E$3,INDEX($B$10:$B$59,RANDBETWEEN(1,$E$3)),"")</x:f>
      </x:c>
      <x:c r="AL135" s="68" t="str">
        <x:f>IF(COLUMN()-2&lt;=$E$3,INDEX($B$10:$B$59,RANDBETWEEN(1,$E$3)),"")</x:f>
      </x:c>
      <x:c r="AM135" s="68" t="str">
        <x:f>IF(COLUMN()-2&lt;=$E$3,INDEX($B$10:$B$59,RANDBETWEEN(1,$E$3)),"")</x:f>
      </x:c>
      <x:c r="AN135" s="68" t="str">
        <x:f>IF(COLUMN()-2&lt;=$E$3,INDEX($B$10:$B$59,RANDBETWEEN(1,$E$3)),"")</x:f>
      </x:c>
      <x:c r="AO135" s="68" t="str">
        <x:f>IF(COLUMN()-2&lt;=$E$3,INDEX($B$10:$B$59,RANDBETWEEN(1,$E$3)),"")</x:f>
      </x:c>
      <x:c r="AP135" s="68" t="str">
        <x:f>IF(COLUMN()-2&lt;=$E$3,INDEX($B$10:$B$59,RANDBETWEEN(1,$E$3)),"")</x:f>
      </x:c>
      <x:c r="AQ135" s="68" t="str">
        <x:f>IF(COLUMN()-2&lt;=$E$3,INDEX($B$10:$B$59,RANDBETWEEN(1,$E$3)),"")</x:f>
      </x:c>
      <x:c r="AR135" s="68" t="str">
        <x:f>IF(COLUMN()-2&lt;=$E$3,INDEX($B$10:$B$59,RANDBETWEEN(1,$E$3)),"")</x:f>
      </x:c>
      <x:c r="AS135" s="68" t="str">
        <x:f>IF(COLUMN()-2&lt;=$E$3,INDEX($B$10:$B$59,RANDBETWEEN(1,$E$3)),"")</x:f>
      </x:c>
      <x:c r="AT135" s="68" t="str">
        <x:f>IF(COLUMN()-2&lt;=$E$3,INDEX($B$10:$B$59,RANDBETWEEN(1,$E$3)),"")</x:f>
      </x:c>
      <x:c r="AU135" s="68" t="str">
        <x:f>IF(COLUMN()-2&lt;=$E$3,INDEX($B$10:$B$59,RANDBETWEEN(1,$E$3)),"")</x:f>
      </x:c>
      <x:c r="AV135" s="68" t="str">
        <x:f>IF(COLUMN()-2&lt;=$E$3,INDEX($B$10:$B$59,RANDBETWEEN(1,$E$3)),"")</x:f>
      </x:c>
      <x:c r="AW135" s="68" t="str">
        <x:f>IF(COLUMN()-2&lt;=$E$3,INDEX($B$10:$B$59,RANDBETWEEN(1,$E$3)),"")</x:f>
      </x:c>
      <x:c r="AX135" s="68" t="str">
        <x:f>IF(COLUMN()-2&lt;=$E$3,INDEX($B$10:$B$59,RANDBETWEEN(1,$E$3)),"")</x:f>
      </x:c>
      <x:c r="AY135" s="68" t="str">
        <x:f>IF(COLUMN()-2&lt;=$E$3,INDEX($B$10:$B$59,RANDBETWEEN(1,$E$3)),"")</x:f>
      </x:c>
      <x:c r="AZ135" s="68" t="str">
        <x:f>IF(COLUMN()-2&lt;=$E$3,INDEX($B$10:$B$59,RANDBETWEEN(1,$E$3)),"")</x:f>
      </x:c>
      <x:c r="BA135" s="68" t="str">
        <x:f>IF($E$3=0,"",AVERAGE(C135:AZ135))</x:f>
      </x:c>
    </x:row>
    <x:row r="136">
      <x:c r="A136" t="n">
        <x:v>72</x:v>
      </x:c>
      <x:c r="C136" s="68" t="str">
        <x:f>IF(COLUMN()-2&lt;=$E$3,INDEX($B$10:$B$59,RANDBETWEEN(1,$E$3)),"")</x:f>
      </x:c>
      <x:c r="D136" s="68" t="str">
        <x:f>IF(COLUMN()-2&lt;=$E$3,INDEX($B$10:$B$59,RANDBETWEEN(1,$E$3)),"")</x:f>
      </x:c>
      <x:c r="E136" s="68" t="str">
        <x:f>IF(COLUMN()-2&lt;=$E$3,INDEX($B$10:$B$59,RANDBETWEEN(1,$E$3)),"")</x:f>
      </x:c>
      <x:c r="F136" s="68" t="str">
        <x:f>IF(COLUMN()-2&lt;=$E$3,INDEX($B$10:$B$59,RANDBETWEEN(1,$E$3)),"")</x:f>
      </x:c>
      <x:c r="G136" s="68" t="str">
        <x:f>IF(COLUMN()-2&lt;=$E$3,INDEX($B$10:$B$59,RANDBETWEEN(1,$E$3)),"")</x:f>
      </x:c>
      <x:c r="H136" s="68" t="str">
        <x:f>IF(COLUMN()-2&lt;=$E$3,INDEX($B$10:$B$59,RANDBETWEEN(1,$E$3)),"")</x:f>
      </x:c>
      <x:c r="I136" s="68" t="str">
        <x:f>IF(COLUMN()-2&lt;=$E$3,INDEX($B$10:$B$59,RANDBETWEEN(1,$E$3)),"")</x:f>
      </x:c>
      <x:c r="J136" s="68" t="str">
        <x:f>IF(COLUMN()-2&lt;=$E$3,INDEX($B$10:$B$59,RANDBETWEEN(1,$E$3)),"")</x:f>
      </x:c>
      <x:c r="K136" s="68" t="str">
        <x:f>IF(COLUMN()-2&lt;=$E$3,INDEX($B$10:$B$59,RANDBETWEEN(1,$E$3)),"")</x:f>
      </x:c>
      <x:c r="L136" s="68" t="str">
        <x:f>IF(COLUMN()-2&lt;=$E$3,INDEX($B$10:$B$59,RANDBETWEEN(1,$E$3)),"")</x:f>
      </x:c>
      <x:c r="M136" s="68" t="str">
        <x:f>IF(COLUMN()-2&lt;=$E$3,INDEX($B$10:$B$59,RANDBETWEEN(1,$E$3)),"")</x:f>
      </x:c>
      <x:c r="N136" s="68" t="str">
        <x:f>IF(COLUMN()-2&lt;=$E$3,INDEX($B$10:$B$59,RANDBETWEEN(1,$E$3)),"")</x:f>
      </x:c>
      <x:c r="O136" s="68" t="str">
        <x:f>IF(COLUMN()-2&lt;=$E$3,INDEX($B$10:$B$59,RANDBETWEEN(1,$E$3)),"")</x:f>
      </x:c>
      <x:c r="P136" s="68" t="str">
        <x:f>IF(COLUMN()-2&lt;=$E$3,INDEX($B$10:$B$59,RANDBETWEEN(1,$E$3)),"")</x:f>
      </x:c>
      <x:c r="Q136" s="68" t="str">
        <x:f>IF(COLUMN()-2&lt;=$E$3,INDEX($B$10:$B$59,RANDBETWEEN(1,$E$3)),"")</x:f>
      </x:c>
      <x:c r="R136" s="68" t="str">
        <x:f>IF(COLUMN()-2&lt;=$E$3,INDEX($B$10:$B$59,RANDBETWEEN(1,$E$3)),"")</x:f>
      </x:c>
      <x:c r="S136" s="68" t="str">
        <x:f>IF(COLUMN()-2&lt;=$E$3,INDEX($B$10:$B$59,RANDBETWEEN(1,$E$3)),"")</x:f>
      </x:c>
      <x:c r="T136" s="68" t="str">
        <x:f>IF(COLUMN()-2&lt;=$E$3,INDEX($B$10:$B$59,RANDBETWEEN(1,$E$3)),"")</x:f>
      </x:c>
      <x:c r="U136" s="68" t="str">
        <x:f>IF(COLUMN()-2&lt;=$E$3,INDEX($B$10:$B$59,RANDBETWEEN(1,$E$3)),"")</x:f>
      </x:c>
      <x:c r="V136" s="68" t="str">
        <x:f>IF(COLUMN()-2&lt;=$E$3,INDEX($B$10:$B$59,RANDBETWEEN(1,$E$3)),"")</x:f>
      </x:c>
      <x:c r="W136" s="68" t="str">
        <x:f>IF(COLUMN()-2&lt;=$E$3,INDEX($B$10:$B$59,RANDBETWEEN(1,$E$3)),"")</x:f>
      </x:c>
      <x:c r="X136" s="68" t="str">
        <x:f>IF(COLUMN()-2&lt;=$E$3,INDEX($B$10:$B$59,RANDBETWEEN(1,$E$3)),"")</x:f>
      </x:c>
      <x:c r="Y136" s="68" t="str">
        <x:f>IF(COLUMN()-2&lt;=$E$3,INDEX($B$10:$B$59,RANDBETWEEN(1,$E$3)),"")</x:f>
      </x:c>
      <x:c r="Z136" s="68" t="str">
        <x:f>IF(COLUMN()-2&lt;=$E$3,INDEX($B$10:$B$59,RANDBETWEEN(1,$E$3)),"")</x:f>
      </x:c>
      <x:c r="AA136" s="68" t="str">
        <x:f>IF(COLUMN()-2&lt;=$E$3,INDEX($B$10:$B$59,RANDBETWEEN(1,$E$3)),"")</x:f>
      </x:c>
      <x:c r="AB136" s="68" t="str">
        <x:f>IF(COLUMN()-2&lt;=$E$3,INDEX($B$10:$B$59,RANDBETWEEN(1,$E$3)),"")</x:f>
      </x:c>
      <x:c r="AC136" s="68" t="str">
        <x:f>IF(COLUMN()-2&lt;=$E$3,INDEX($B$10:$B$59,RANDBETWEEN(1,$E$3)),"")</x:f>
      </x:c>
      <x:c r="AD136" s="68" t="str">
        <x:f>IF(COLUMN()-2&lt;=$E$3,INDEX($B$10:$B$59,RANDBETWEEN(1,$E$3)),"")</x:f>
      </x:c>
      <x:c r="AE136" s="68" t="str">
        <x:f>IF(COLUMN()-2&lt;=$E$3,INDEX($B$10:$B$59,RANDBETWEEN(1,$E$3)),"")</x:f>
      </x:c>
      <x:c r="AF136" s="68" t="str">
        <x:f>IF(COLUMN()-2&lt;=$E$3,INDEX($B$10:$B$59,RANDBETWEEN(1,$E$3)),"")</x:f>
      </x:c>
      <x:c r="AG136" s="68" t="str">
        <x:f>IF(COLUMN()-2&lt;=$E$3,INDEX($B$10:$B$59,RANDBETWEEN(1,$E$3)),"")</x:f>
      </x:c>
      <x:c r="AH136" s="68" t="str">
        <x:f>IF(COLUMN()-2&lt;=$E$3,INDEX($B$10:$B$59,RANDBETWEEN(1,$E$3)),"")</x:f>
      </x:c>
      <x:c r="AI136" s="68" t="str">
        <x:f>IF(COLUMN()-2&lt;=$E$3,INDEX($B$10:$B$59,RANDBETWEEN(1,$E$3)),"")</x:f>
      </x:c>
      <x:c r="AJ136" s="68" t="str">
        <x:f>IF(COLUMN()-2&lt;=$E$3,INDEX($B$10:$B$59,RANDBETWEEN(1,$E$3)),"")</x:f>
      </x:c>
      <x:c r="AK136" s="68" t="str">
        <x:f>IF(COLUMN()-2&lt;=$E$3,INDEX($B$10:$B$59,RANDBETWEEN(1,$E$3)),"")</x:f>
      </x:c>
      <x:c r="AL136" s="68" t="str">
        <x:f>IF(COLUMN()-2&lt;=$E$3,INDEX($B$10:$B$59,RANDBETWEEN(1,$E$3)),"")</x:f>
      </x:c>
      <x:c r="AM136" s="68" t="str">
        <x:f>IF(COLUMN()-2&lt;=$E$3,INDEX($B$10:$B$59,RANDBETWEEN(1,$E$3)),"")</x:f>
      </x:c>
      <x:c r="AN136" s="68" t="str">
        <x:f>IF(COLUMN()-2&lt;=$E$3,INDEX($B$10:$B$59,RANDBETWEEN(1,$E$3)),"")</x:f>
      </x:c>
      <x:c r="AO136" s="68" t="str">
        <x:f>IF(COLUMN()-2&lt;=$E$3,INDEX($B$10:$B$59,RANDBETWEEN(1,$E$3)),"")</x:f>
      </x:c>
      <x:c r="AP136" s="68" t="str">
        <x:f>IF(COLUMN()-2&lt;=$E$3,INDEX($B$10:$B$59,RANDBETWEEN(1,$E$3)),"")</x:f>
      </x:c>
      <x:c r="AQ136" s="68" t="str">
        <x:f>IF(COLUMN()-2&lt;=$E$3,INDEX($B$10:$B$59,RANDBETWEEN(1,$E$3)),"")</x:f>
      </x:c>
      <x:c r="AR136" s="68" t="str">
        <x:f>IF(COLUMN()-2&lt;=$E$3,INDEX($B$10:$B$59,RANDBETWEEN(1,$E$3)),"")</x:f>
      </x:c>
      <x:c r="AS136" s="68" t="str">
        <x:f>IF(COLUMN()-2&lt;=$E$3,INDEX($B$10:$B$59,RANDBETWEEN(1,$E$3)),"")</x:f>
      </x:c>
      <x:c r="AT136" s="68" t="str">
        <x:f>IF(COLUMN()-2&lt;=$E$3,INDEX($B$10:$B$59,RANDBETWEEN(1,$E$3)),"")</x:f>
      </x:c>
      <x:c r="AU136" s="68" t="str">
        <x:f>IF(COLUMN()-2&lt;=$E$3,INDEX($B$10:$B$59,RANDBETWEEN(1,$E$3)),"")</x:f>
      </x:c>
      <x:c r="AV136" s="68" t="str">
        <x:f>IF(COLUMN()-2&lt;=$E$3,INDEX($B$10:$B$59,RANDBETWEEN(1,$E$3)),"")</x:f>
      </x:c>
      <x:c r="AW136" s="68" t="str">
        <x:f>IF(COLUMN()-2&lt;=$E$3,INDEX($B$10:$B$59,RANDBETWEEN(1,$E$3)),"")</x:f>
      </x:c>
      <x:c r="AX136" s="68" t="str">
        <x:f>IF(COLUMN()-2&lt;=$E$3,INDEX($B$10:$B$59,RANDBETWEEN(1,$E$3)),"")</x:f>
      </x:c>
      <x:c r="AY136" s="68" t="str">
        <x:f>IF(COLUMN()-2&lt;=$E$3,INDEX($B$10:$B$59,RANDBETWEEN(1,$E$3)),"")</x:f>
      </x:c>
      <x:c r="AZ136" s="68" t="str">
        <x:f>IF(COLUMN()-2&lt;=$E$3,INDEX($B$10:$B$59,RANDBETWEEN(1,$E$3)),"")</x:f>
      </x:c>
      <x:c r="BA136" s="68" t="str">
        <x:f>IF($E$3=0,"",AVERAGE(C136:AZ136))</x:f>
      </x:c>
    </x:row>
    <x:row r="137">
      <x:c r="A137" t="n">
        <x:v>73</x:v>
      </x:c>
      <x:c r="C137" s="68" t="str">
        <x:f>IF(COLUMN()-2&lt;=$E$3,INDEX($B$10:$B$59,RANDBETWEEN(1,$E$3)),"")</x:f>
      </x:c>
      <x:c r="D137" s="68" t="str">
        <x:f>IF(COLUMN()-2&lt;=$E$3,INDEX($B$10:$B$59,RANDBETWEEN(1,$E$3)),"")</x:f>
      </x:c>
      <x:c r="E137" s="68" t="str">
        <x:f>IF(COLUMN()-2&lt;=$E$3,INDEX($B$10:$B$59,RANDBETWEEN(1,$E$3)),"")</x:f>
      </x:c>
      <x:c r="F137" s="68" t="str">
        <x:f>IF(COLUMN()-2&lt;=$E$3,INDEX($B$10:$B$59,RANDBETWEEN(1,$E$3)),"")</x:f>
      </x:c>
      <x:c r="G137" s="68" t="str">
        <x:f>IF(COLUMN()-2&lt;=$E$3,INDEX($B$10:$B$59,RANDBETWEEN(1,$E$3)),"")</x:f>
      </x:c>
      <x:c r="H137" s="68" t="str">
        <x:f>IF(COLUMN()-2&lt;=$E$3,INDEX($B$10:$B$59,RANDBETWEEN(1,$E$3)),"")</x:f>
      </x:c>
      <x:c r="I137" s="68" t="str">
        <x:f>IF(COLUMN()-2&lt;=$E$3,INDEX($B$10:$B$59,RANDBETWEEN(1,$E$3)),"")</x:f>
      </x:c>
      <x:c r="J137" s="68" t="str">
        <x:f>IF(COLUMN()-2&lt;=$E$3,INDEX($B$10:$B$59,RANDBETWEEN(1,$E$3)),"")</x:f>
      </x:c>
      <x:c r="K137" s="68" t="str">
        <x:f>IF(COLUMN()-2&lt;=$E$3,INDEX($B$10:$B$59,RANDBETWEEN(1,$E$3)),"")</x:f>
      </x:c>
      <x:c r="L137" s="68" t="str">
        <x:f>IF(COLUMN()-2&lt;=$E$3,INDEX($B$10:$B$59,RANDBETWEEN(1,$E$3)),"")</x:f>
      </x:c>
      <x:c r="M137" s="68" t="str">
        <x:f>IF(COLUMN()-2&lt;=$E$3,INDEX($B$10:$B$59,RANDBETWEEN(1,$E$3)),"")</x:f>
      </x:c>
      <x:c r="N137" s="68" t="str">
        <x:f>IF(COLUMN()-2&lt;=$E$3,INDEX($B$10:$B$59,RANDBETWEEN(1,$E$3)),"")</x:f>
      </x:c>
      <x:c r="O137" s="68" t="str">
        <x:f>IF(COLUMN()-2&lt;=$E$3,INDEX($B$10:$B$59,RANDBETWEEN(1,$E$3)),"")</x:f>
      </x:c>
      <x:c r="P137" s="68" t="str">
        <x:f>IF(COLUMN()-2&lt;=$E$3,INDEX($B$10:$B$59,RANDBETWEEN(1,$E$3)),"")</x:f>
      </x:c>
      <x:c r="Q137" s="68" t="str">
        <x:f>IF(COLUMN()-2&lt;=$E$3,INDEX($B$10:$B$59,RANDBETWEEN(1,$E$3)),"")</x:f>
      </x:c>
      <x:c r="R137" s="68" t="str">
        <x:f>IF(COLUMN()-2&lt;=$E$3,INDEX($B$10:$B$59,RANDBETWEEN(1,$E$3)),"")</x:f>
      </x:c>
      <x:c r="S137" s="68" t="str">
        <x:f>IF(COLUMN()-2&lt;=$E$3,INDEX($B$10:$B$59,RANDBETWEEN(1,$E$3)),"")</x:f>
      </x:c>
      <x:c r="T137" s="68" t="str">
        <x:f>IF(COLUMN()-2&lt;=$E$3,INDEX($B$10:$B$59,RANDBETWEEN(1,$E$3)),"")</x:f>
      </x:c>
      <x:c r="U137" s="68" t="str">
        <x:f>IF(COLUMN()-2&lt;=$E$3,INDEX($B$10:$B$59,RANDBETWEEN(1,$E$3)),"")</x:f>
      </x:c>
      <x:c r="V137" s="68" t="str">
        <x:f>IF(COLUMN()-2&lt;=$E$3,INDEX($B$10:$B$59,RANDBETWEEN(1,$E$3)),"")</x:f>
      </x:c>
      <x:c r="W137" s="68" t="str">
        <x:f>IF(COLUMN()-2&lt;=$E$3,INDEX($B$10:$B$59,RANDBETWEEN(1,$E$3)),"")</x:f>
      </x:c>
      <x:c r="X137" s="68" t="str">
        <x:f>IF(COLUMN()-2&lt;=$E$3,INDEX($B$10:$B$59,RANDBETWEEN(1,$E$3)),"")</x:f>
      </x:c>
      <x:c r="Y137" s="68" t="str">
        <x:f>IF(COLUMN()-2&lt;=$E$3,INDEX($B$10:$B$59,RANDBETWEEN(1,$E$3)),"")</x:f>
      </x:c>
      <x:c r="Z137" s="68" t="str">
        <x:f>IF(COLUMN()-2&lt;=$E$3,INDEX($B$10:$B$59,RANDBETWEEN(1,$E$3)),"")</x:f>
      </x:c>
      <x:c r="AA137" s="68" t="str">
        <x:f>IF(COLUMN()-2&lt;=$E$3,INDEX($B$10:$B$59,RANDBETWEEN(1,$E$3)),"")</x:f>
      </x:c>
      <x:c r="AB137" s="68" t="str">
        <x:f>IF(COLUMN()-2&lt;=$E$3,INDEX($B$10:$B$59,RANDBETWEEN(1,$E$3)),"")</x:f>
      </x:c>
      <x:c r="AC137" s="68" t="str">
        <x:f>IF(COLUMN()-2&lt;=$E$3,INDEX($B$10:$B$59,RANDBETWEEN(1,$E$3)),"")</x:f>
      </x:c>
      <x:c r="AD137" s="68" t="str">
        <x:f>IF(COLUMN()-2&lt;=$E$3,INDEX($B$10:$B$59,RANDBETWEEN(1,$E$3)),"")</x:f>
      </x:c>
      <x:c r="AE137" s="68" t="str">
        <x:f>IF(COLUMN()-2&lt;=$E$3,INDEX($B$10:$B$59,RANDBETWEEN(1,$E$3)),"")</x:f>
      </x:c>
      <x:c r="AF137" s="68" t="str">
        <x:f>IF(COLUMN()-2&lt;=$E$3,INDEX($B$10:$B$59,RANDBETWEEN(1,$E$3)),"")</x:f>
      </x:c>
      <x:c r="AG137" s="68" t="str">
        <x:f>IF(COLUMN()-2&lt;=$E$3,INDEX($B$10:$B$59,RANDBETWEEN(1,$E$3)),"")</x:f>
      </x:c>
      <x:c r="AH137" s="68" t="str">
        <x:f>IF(COLUMN()-2&lt;=$E$3,INDEX($B$10:$B$59,RANDBETWEEN(1,$E$3)),"")</x:f>
      </x:c>
      <x:c r="AI137" s="68" t="str">
        <x:f>IF(COLUMN()-2&lt;=$E$3,INDEX($B$10:$B$59,RANDBETWEEN(1,$E$3)),"")</x:f>
      </x:c>
      <x:c r="AJ137" s="68" t="str">
        <x:f>IF(COLUMN()-2&lt;=$E$3,INDEX($B$10:$B$59,RANDBETWEEN(1,$E$3)),"")</x:f>
      </x:c>
      <x:c r="AK137" s="68" t="str">
        <x:f>IF(COLUMN()-2&lt;=$E$3,INDEX($B$10:$B$59,RANDBETWEEN(1,$E$3)),"")</x:f>
      </x:c>
      <x:c r="AL137" s="68" t="str">
        <x:f>IF(COLUMN()-2&lt;=$E$3,INDEX($B$10:$B$59,RANDBETWEEN(1,$E$3)),"")</x:f>
      </x:c>
      <x:c r="AM137" s="68" t="str">
        <x:f>IF(COLUMN()-2&lt;=$E$3,INDEX($B$10:$B$59,RANDBETWEEN(1,$E$3)),"")</x:f>
      </x:c>
      <x:c r="AN137" s="68" t="str">
        <x:f>IF(COLUMN()-2&lt;=$E$3,INDEX($B$10:$B$59,RANDBETWEEN(1,$E$3)),"")</x:f>
      </x:c>
      <x:c r="AO137" s="68" t="str">
        <x:f>IF(COLUMN()-2&lt;=$E$3,INDEX($B$10:$B$59,RANDBETWEEN(1,$E$3)),"")</x:f>
      </x:c>
      <x:c r="AP137" s="68" t="str">
        <x:f>IF(COLUMN()-2&lt;=$E$3,INDEX($B$10:$B$59,RANDBETWEEN(1,$E$3)),"")</x:f>
      </x:c>
      <x:c r="AQ137" s="68" t="str">
        <x:f>IF(COLUMN()-2&lt;=$E$3,INDEX($B$10:$B$59,RANDBETWEEN(1,$E$3)),"")</x:f>
      </x:c>
      <x:c r="AR137" s="68" t="str">
        <x:f>IF(COLUMN()-2&lt;=$E$3,INDEX($B$10:$B$59,RANDBETWEEN(1,$E$3)),"")</x:f>
      </x:c>
      <x:c r="AS137" s="68" t="str">
        <x:f>IF(COLUMN()-2&lt;=$E$3,INDEX($B$10:$B$59,RANDBETWEEN(1,$E$3)),"")</x:f>
      </x:c>
      <x:c r="AT137" s="68" t="str">
        <x:f>IF(COLUMN()-2&lt;=$E$3,INDEX($B$10:$B$59,RANDBETWEEN(1,$E$3)),"")</x:f>
      </x:c>
      <x:c r="AU137" s="68" t="str">
        <x:f>IF(COLUMN()-2&lt;=$E$3,INDEX($B$10:$B$59,RANDBETWEEN(1,$E$3)),"")</x:f>
      </x:c>
      <x:c r="AV137" s="68" t="str">
        <x:f>IF(COLUMN()-2&lt;=$E$3,INDEX($B$10:$B$59,RANDBETWEEN(1,$E$3)),"")</x:f>
      </x:c>
      <x:c r="AW137" s="68" t="str">
        <x:f>IF(COLUMN()-2&lt;=$E$3,INDEX($B$10:$B$59,RANDBETWEEN(1,$E$3)),"")</x:f>
      </x:c>
      <x:c r="AX137" s="68" t="str">
        <x:f>IF(COLUMN()-2&lt;=$E$3,INDEX($B$10:$B$59,RANDBETWEEN(1,$E$3)),"")</x:f>
      </x:c>
      <x:c r="AY137" s="68" t="str">
        <x:f>IF(COLUMN()-2&lt;=$E$3,INDEX($B$10:$B$59,RANDBETWEEN(1,$E$3)),"")</x:f>
      </x:c>
      <x:c r="AZ137" s="68" t="str">
        <x:f>IF(COLUMN()-2&lt;=$E$3,INDEX($B$10:$B$59,RANDBETWEEN(1,$E$3)),"")</x:f>
      </x:c>
      <x:c r="BA137" s="68" t="str">
        <x:f>IF($E$3=0,"",AVERAGE(C137:AZ137))</x:f>
      </x:c>
    </x:row>
    <x:row r="138">
      <x:c r="A138" t="n">
        <x:v>74</x:v>
      </x:c>
      <x:c r="C138" s="68" t="str">
        <x:f>IF(COLUMN()-2&lt;=$E$3,INDEX($B$10:$B$59,RANDBETWEEN(1,$E$3)),"")</x:f>
      </x:c>
      <x:c r="D138" s="68" t="str">
        <x:f>IF(COLUMN()-2&lt;=$E$3,INDEX($B$10:$B$59,RANDBETWEEN(1,$E$3)),"")</x:f>
      </x:c>
      <x:c r="E138" s="68" t="str">
        <x:f>IF(COLUMN()-2&lt;=$E$3,INDEX($B$10:$B$59,RANDBETWEEN(1,$E$3)),"")</x:f>
      </x:c>
      <x:c r="F138" s="68" t="str">
        <x:f>IF(COLUMN()-2&lt;=$E$3,INDEX($B$10:$B$59,RANDBETWEEN(1,$E$3)),"")</x:f>
      </x:c>
      <x:c r="G138" s="68" t="str">
        <x:f>IF(COLUMN()-2&lt;=$E$3,INDEX($B$10:$B$59,RANDBETWEEN(1,$E$3)),"")</x:f>
      </x:c>
      <x:c r="H138" s="68" t="str">
        <x:f>IF(COLUMN()-2&lt;=$E$3,INDEX($B$10:$B$59,RANDBETWEEN(1,$E$3)),"")</x:f>
      </x:c>
      <x:c r="I138" s="68" t="str">
        <x:f>IF(COLUMN()-2&lt;=$E$3,INDEX($B$10:$B$59,RANDBETWEEN(1,$E$3)),"")</x:f>
      </x:c>
      <x:c r="J138" s="68" t="str">
        <x:f>IF(COLUMN()-2&lt;=$E$3,INDEX($B$10:$B$59,RANDBETWEEN(1,$E$3)),"")</x:f>
      </x:c>
      <x:c r="K138" s="68" t="str">
        <x:f>IF(COLUMN()-2&lt;=$E$3,INDEX($B$10:$B$59,RANDBETWEEN(1,$E$3)),"")</x:f>
      </x:c>
      <x:c r="L138" s="68" t="str">
        <x:f>IF(COLUMN()-2&lt;=$E$3,INDEX($B$10:$B$59,RANDBETWEEN(1,$E$3)),"")</x:f>
      </x:c>
      <x:c r="M138" s="68" t="str">
        <x:f>IF(COLUMN()-2&lt;=$E$3,INDEX($B$10:$B$59,RANDBETWEEN(1,$E$3)),"")</x:f>
      </x:c>
      <x:c r="N138" s="68" t="str">
        <x:f>IF(COLUMN()-2&lt;=$E$3,INDEX($B$10:$B$59,RANDBETWEEN(1,$E$3)),"")</x:f>
      </x:c>
      <x:c r="O138" s="68" t="str">
        <x:f>IF(COLUMN()-2&lt;=$E$3,INDEX($B$10:$B$59,RANDBETWEEN(1,$E$3)),"")</x:f>
      </x:c>
      <x:c r="P138" s="68" t="str">
        <x:f>IF(COLUMN()-2&lt;=$E$3,INDEX($B$10:$B$59,RANDBETWEEN(1,$E$3)),"")</x:f>
      </x:c>
      <x:c r="Q138" s="68" t="str">
        <x:f>IF(COLUMN()-2&lt;=$E$3,INDEX($B$10:$B$59,RANDBETWEEN(1,$E$3)),"")</x:f>
      </x:c>
      <x:c r="R138" s="68" t="str">
        <x:f>IF(COLUMN()-2&lt;=$E$3,INDEX($B$10:$B$59,RANDBETWEEN(1,$E$3)),"")</x:f>
      </x:c>
      <x:c r="S138" s="68" t="str">
        <x:f>IF(COLUMN()-2&lt;=$E$3,INDEX($B$10:$B$59,RANDBETWEEN(1,$E$3)),"")</x:f>
      </x:c>
      <x:c r="T138" s="68" t="str">
        <x:f>IF(COLUMN()-2&lt;=$E$3,INDEX($B$10:$B$59,RANDBETWEEN(1,$E$3)),"")</x:f>
      </x:c>
      <x:c r="U138" s="68" t="str">
        <x:f>IF(COLUMN()-2&lt;=$E$3,INDEX($B$10:$B$59,RANDBETWEEN(1,$E$3)),"")</x:f>
      </x:c>
      <x:c r="V138" s="68" t="str">
        <x:f>IF(COLUMN()-2&lt;=$E$3,INDEX($B$10:$B$59,RANDBETWEEN(1,$E$3)),"")</x:f>
      </x:c>
      <x:c r="W138" s="68" t="str">
        <x:f>IF(COLUMN()-2&lt;=$E$3,INDEX($B$10:$B$59,RANDBETWEEN(1,$E$3)),"")</x:f>
      </x:c>
      <x:c r="X138" s="68" t="str">
        <x:f>IF(COLUMN()-2&lt;=$E$3,INDEX($B$10:$B$59,RANDBETWEEN(1,$E$3)),"")</x:f>
      </x:c>
      <x:c r="Y138" s="68" t="str">
        <x:f>IF(COLUMN()-2&lt;=$E$3,INDEX($B$10:$B$59,RANDBETWEEN(1,$E$3)),"")</x:f>
      </x:c>
      <x:c r="Z138" s="68" t="str">
        <x:f>IF(COLUMN()-2&lt;=$E$3,INDEX($B$10:$B$59,RANDBETWEEN(1,$E$3)),"")</x:f>
      </x:c>
      <x:c r="AA138" s="68" t="str">
        <x:f>IF(COLUMN()-2&lt;=$E$3,INDEX($B$10:$B$59,RANDBETWEEN(1,$E$3)),"")</x:f>
      </x:c>
      <x:c r="AB138" s="68" t="str">
        <x:f>IF(COLUMN()-2&lt;=$E$3,INDEX($B$10:$B$59,RANDBETWEEN(1,$E$3)),"")</x:f>
      </x:c>
      <x:c r="AC138" s="68" t="str">
        <x:f>IF(COLUMN()-2&lt;=$E$3,INDEX($B$10:$B$59,RANDBETWEEN(1,$E$3)),"")</x:f>
      </x:c>
      <x:c r="AD138" s="68" t="str">
        <x:f>IF(COLUMN()-2&lt;=$E$3,INDEX($B$10:$B$59,RANDBETWEEN(1,$E$3)),"")</x:f>
      </x:c>
      <x:c r="AE138" s="68" t="str">
        <x:f>IF(COLUMN()-2&lt;=$E$3,INDEX($B$10:$B$59,RANDBETWEEN(1,$E$3)),"")</x:f>
      </x:c>
      <x:c r="AF138" s="68" t="str">
        <x:f>IF(COLUMN()-2&lt;=$E$3,INDEX($B$10:$B$59,RANDBETWEEN(1,$E$3)),"")</x:f>
      </x:c>
      <x:c r="AG138" s="68" t="str">
        <x:f>IF(COLUMN()-2&lt;=$E$3,INDEX($B$10:$B$59,RANDBETWEEN(1,$E$3)),"")</x:f>
      </x:c>
      <x:c r="AH138" s="68" t="str">
        <x:f>IF(COLUMN()-2&lt;=$E$3,INDEX($B$10:$B$59,RANDBETWEEN(1,$E$3)),"")</x:f>
      </x:c>
      <x:c r="AI138" s="68" t="str">
        <x:f>IF(COLUMN()-2&lt;=$E$3,INDEX($B$10:$B$59,RANDBETWEEN(1,$E$3)),"")</x:f>
      </x:c>
      <x:c r="AJ138" s="68" t="str">
        <x:f>IF(COLUMN()-2&lt;=$E$3,INDEX($B$10:$B$59,RANDBETWEEN(1,$E$3)),"")</x:f>
      </x:c>
      <x:c r="AK138" s="68" t="str">
        <x:f>IF(COLUMN()-2&lt;=$E$3,INDEX($B$10:$B$59,RANDBETWEEN(1,$E$3)),"")</x:f>
      </x:c>
      <x:c r="AL138" s="68" t="str">
        <x:f>IF(COLUMN()-2&lt;=$E$3,INDEX($B$10:$B$59,RANDBETWEEN(1,$E$3)),"")</x:f>
      </x:c>
      <x:c r="AM138" s="68" t="str">
        <x:f>IF(COLUMN()-2&lt;=$E$3,INDEX($B$10:$B$59,RANDBETWEEN(1,$E$3)),"")</x:f>
      </x:c>
      <x:c r="AN138" s="68" t="str">
        <x:f>IF(COLUMN()-2&lt;=$E$3,INDEX($B$10:$B$59,RANDBETWEEN(1,$E$3)),"")</x:f>
      </x:c>
      <x:c r="AO138" s="68" t="str">
        <x:f>IF(COLUMN()-2&lt;=$E$3,INDEX($B$10:$B$59,RANDBETWEEN(1,$E$3)),"")</x:f>
      </x:c>
      <x:c r="AP138" s="68" t="str">
        <x:f>IF(COLUMN()-2&lt;=$E$3,INDEX($B$10:$B$59,RANDBETWEEN(1,$E$3)),"")</x:f>
      </x:c>
      <x:c r="AQ138" s="68" t="str">
        <x:f>IF(COLUMN()-2&lt;=$E$3,INDEX($B$10:$B$59,RANDBETWEEN(1,$E$3)),"")</x:f>
      </x:c>
      <x:c r="AR138" s="68" t="str">
        <x:f>IF(COLUMN()-2&lt;=$E$3,INDEX($B$10:$B$59,RANDBETWEEN(1,$E$3)),"")</x:f>
      </x:c>
      <x:c r="AS138" s="68" t="str">
        <x:f>IF(COLUMN()-2&lt;=$E$3,INDEX($B$10:$B$59,RANDBETWEEN(1,$E$3)),"")</x:f>
      </x:c>
      <x:c r="AT138" s="68" t="str">
        <x:f>IF(COLUMN()-2&lt;=$E$3,INDEX($B$10:$B$59,RANDBETWEEN(1,$E$3)),"")</x:f>
      </x:c>
      <x:c r="AU138" s="68" t="str">
        <x:f>IF(COLUMN()-2&lt;=$E$3,INDEX($B$10:$B$59,RANDBETWEEN(1,$E$3)),"")</x:f>
      </x:c>
      <x:c r="AV138" s="68" t="str">
        <x:f>IF(COLUMN()-2&lt;=$E$3,INDEX($B$10:$B$59,RANDBETWEEN(1,$E$3)),"")</x:f>
      </x:c>
      <x:c r="AW138" s="68" t="str">
        <x:f>IF(COLUMN()-2&lt;=$E$3,INDEX($B$10:$B$59,RANDBETWEEN(1,$E$3)),"")</x:f>
      </x:c>
      <x:c r="AX138" s="68" t="str">
        <x:f>IF(COLUMN()-2&lt;=$E$3,INDEX($B$10:$B$59,RANDBETWEEN(1,$E$3)),"")</x:f>
      </x:c>
      <x:c r="AY138" s="68" t="str">
        <x:f>IF(COLUMN()-2&lt;=$E$3,INDEX($B$10:$B$59,RANDBETWEEN(1,$E$3)),"")</x:f>
      </x:c>
      <x:c r="AZ138" s="68" t="str">
        <x:f>IF(COLUMN()-2&lt;=$E$3,INDEX($B$10:$B$59,RANDBETWEEN(1,$E$3)),"")</x:f>
      </x:c>
      <x:c r="BA138" s="68" t="str">
        <x:f>IF($E$3=0,"",AVERAGE(C138:AZ138))</x:f>
      </x:c>
    </x:row>
    <x:row r="139">
      <x:c r="A139" t="n">
        <x:v>75</x:v>
      </x:c>
      <x:c r="C139" s="68" t="str">
        <x:f>IF(COLUMN()-2&lt;=$E$3,INDEX($B$10:$B$59,RANDBETWEEN(1,$E$3)),"")</x:f>
      </x:c>
      <x:c r="D139" s="68" t="str">
        <x:f>IF(COLUMN()-2&lt;=$E$3,INDEX($B$10:$B$59,RANDBETWEEN(1,$E$3)),"")</x:f>
      </x:c>
      <x:c r="E139" s="68" t="str">
        <x:f>IF(COLUMN()-2&lt;=$E$3,INDEX($B$10:$B$59,RANDBETWEEN(1,$E$3)),"")</x:f>
      </x:c>
      <x:c r="F139" s="68" t="str">
        <x:f>IF(COLUMN()-2&lt;=$E$3,INDEX($B$10:$B$59,RANDBETWEEN(1,$E$3)),"")</x:f>
      </x:c>
      <x:c r="G139" s="68" t="str">
        <x:f>IF(COLUMN()-2&lt;=$E$3,INDEX($B$10:$B$59,RANDBETWEEN(1,$E$3)),"")</x:f>
      </x:c>
      <x:c r="H139" s="68" t="str">
        <x:f>IF(COLUMN()-2&lt;=$E$3,INDEX($B$10:$B$59,RANDBETWEEN(1,$E$3)),"")</x:f>
      </x:c>
      <x:c r="I139" s="68" t="str">
        <x:f>IF(COLUMN()-2&lt;=$E$3,INDEX($B$10:$B$59,RANDBETWEEN(1,$E$3)),"")</x:f>
      </x:c>
      <x:c r="J139" s="68" t="str">
        <x:f>IF(COLUMN()-2&lt;=$E$3,INDEX($B$10:$B$59,RANDBETWEEN(1,$E$3)),"")</x:f>
      </x:c>
      <x:c r="K139" s="68" t="str">
        <x:f>IF(COLUMN()-2&lt;=$E$3,INDEX($B$10:$B$59,RANDBETWEEN(1,$E$3)),"")</x:f>
      </x:c>
      <x:c r="L139" s="68" t="str">
        <x:f>IF(COLUMN()-2&lt;=$E$3,INDEX($B$10:$B$59,RANDBETWEEN(1,$E$3)),"")</x:f>
      </x:c>
      <x:c r="M139" s="68" t="str">
        <x:f>IF(COLUMN()-2&lt;=$E$3,INDEX($B$10:$B$59,RANDBETWEEN(1,$E$3)),"")</x:f>
      </x:c>
      <x:c r="N139" s="68" t="str">
        <x:f>IF(COLUMN()-2&lt;=$E$3,INDEX($B$10:$B$59,RANDBETWEEN(1,$E$3)),"")</x:f>
      </x:c>
      <x:c r="O139" s="68" t="str">
        <x:f>IF(COLUMN()-2&lt;=$E$3,INDEX($B$10:$B$59,RANDBETWEEN(1,$E$3)),"")</x:f>
      </x:c>
      <x:c r="P139" s="68" t="str">
        <x:f>IF(COLUMN()-2&lt;=$E$3,INDEX($B$10:$B$59,RANDBETWEEN(1,$E$3)),"")</x:f>
      </x:c>
      <x:c r="Q139" s="68" t="str">
        <x:f>IF(COLUMN()-2&lt;=$E$3,INDEX($B$10:$B$59,RANDBETWEEN(1,$E$3)),"")</x:f>
      </x:c>
      <x:c r="R139" s="68" t="str">
        <x:f>IF(COLUMN()-2&lt;=$E$3,INDEX($B$10:$B$59,RANDBETWEEN(1,$E$3)),"")</x:f>
      </x:c>
      <x:c r="S139" s="68" t="str">
        <x:f>IF(COLUMN()-2&lt;=$E$3,INDEX($B$10:$B$59,RANDBETWEEN(1,$E$3)),"")</x:f>
      </x:c>
      <x:c r="T139" s="68" t="str">
        <x:f>IF(COLUMN()-2&lt;=$E$3,INDEX($B$10:$B$59,RANDBETWEEN(1,$E$3)),"")</x:f>
      </x:c>
      <x:c r="U139" s="68" t="str">
        <x:f>IF(COLUMN()-2&lt;=$E$3,INDEX($B$10:$B$59,RANDBETWEEN(1,$E$3)),"")</x:f>
      </x:c>
      <x:c r="V139" s="68" t="str">
        <x:f>IF(COLUMN()-2&lt;=$E$3,INDEX($B$10:$B$59,RANDBETWEEN(1,$E$3)),"")</x:f>
      </x:c>
      <x:c r="W139" s="68" t="str">
        <x:f>IF(COLUMN()-2&lt;=$E$3,INDEX($B$10:$B$59,RANDBETWEEN(1,$E$3)),"")</x:f>
      </x:c>
      <x:c r="X139" s="68" t="str">
        <x:f>IF(COLUMN()-2&lt;=$E$3,INDEX($B$10:$B$59,RANDBETWEEN(1,$E$3)),"")</x:f>
      </x:c>
      <x:c r="Y139" s="68" t="str">
        <x:f>IF(COLUMN()-2&lt;=$E$3,INDEX($B$10:$B$59,RANDBETWEEN(1,$E$3)),"")</x:f>
      </x:c>
      <x:c r="Z139" s="68" t="str">
        <x:f>IF(COLUMN()-2&lt;=$E$3,INDEX($B$10:$B$59,RANDBETWEEN(1,$E$3)),"")</x:f>
      </x:c>
      <x:c r="AA139" s="68" t="str">
        <x:f>IF(COLUMN()-2&lt;=$E$3,INDEX($B$10:$B$59,RANDBETWEEN(1,$E$3)),"")</x:f>
      </x:c>
      <x:c r="AB139" s="68" t="str">
        <x:f>IF(COLUMN()-2&lt;=$E$3,INDEX($B$10:$B$59,RANDBETWEEN(1,$E$3)),"")</x:f>
      </x:c>
      <x:c r="AC139" s="68" t="str">
        <x:f>IF(COLUMN()-2&lt;=$E$3,INDEX($B$10:$B$59,RANDBETWEEN(1,$E$3)),"")</x:f>
      </x:c>
      <x:c r="AD139" s="68" t="str">
        <x:f>IF(COLUMN()-2&lt;=$E$3,INDEX($B$10:$B$59,RANDBETWEEN(1,$E$3)),"")</x:f>
      </x:c>
      <x:c r="AE139" s="68" t="str">
        <x:f>IF(COLUMN()-2&lt;=$E$3,INDEX($B$10:$B$59,RANDBETWEEN(1,$E$3)),"")</x:f>
      </x:c>
      <x:c r="AF139" s="68" t="str">
        <x:f>IF(COLUMN()-2&lt;=$E$3,INDEX($B$10:$B$59,RANDBETWEEN(1,$E$3)),"")</x:f>
      </x:c>
      <x:c r="AG139" s="68" t="str">
        <x:f>IF(COLUMN()-2&lt;=$E$3,INDEX($B$10:$B$59,RANDBETWEEN(1,$E$3)),"")</x:f>
      </x:c>
      <x:c r="AH139" s="68" t="str">
        <x:f>IF(COLUMN()-2&lt;=$E$3,INDEX($B$10:$B$59,RANDBETWEEN(1,$E$3)),"")</x:f>
      </x:c>
      <x:c r="AI139" s="68" t="str">
        <x:f>IF(COLUMN()-2&lt;=$E$3,INDEX($B$10:$B$59,RANDBETWEEN(1,$E$3)),"")</x:f>
      </x:c>
      <x:c r="AJ139" s="68" t="str">
        <x:f>IF(COLUMN()-2&lt;=$E$3,INDEX($B$10:$B$59,RANDBETWEEN(1,$E$3)),"")</x:f>
      </x:c>
      <x:c r="AK139" s="68" t="str">
        <x:f>IF(COLUMN()-2&lt;=$E$3,INDEX($B$10:$B$59,RANDBETWEEN(1,$E$3)),"")</x:f>
      </x:c>
      <x:c r="AL139" s="68" t="str">
        <x:f>IF(COLUMN()-2&lt;=$E$3,INDEX($B$10:$B$59,RANDBETWEEN(1,$E$3)),"")</x:f>
      </x:c>
      <x:c r="AM139" s="68" t="str">
        <x:f>IF(COLUMN()-2&lt;=$E$3,INDEX($B$10:$B$59,RANDBETWEEN(1,$E$3)),"")</x:f>
      </x:c>
      <x:c r="AN139" s="68" t="str">
        <x:f>IF(COLUMN()-2&lt;=$E$3,INDEX($B$10:$B$59,RANDBETWEEN(1,$E$3)),"")</x:f>
      </x:c>
      <x:c r="AO139" s="68" t="str">
        <x:f>IF(COLUMN()-2&lt;=$E$3,INDEX($B$10:$B$59,RANDBETWEEN(1,$E$3)),"")</x:f>
      </x:c>
      <x:c r="AP139" s="68" t="str">
        <x:f>IF(COLUMN()-2&lt;=$E$3,INDEX($B$10:$B$59,RANDBETWEEN(1,$E$3)),"")</x:f>
      </x:c>
      <x:c r="AQ139" s="68" t="str">
        <x:f>IF(COLUMN()-2&lt;=$E$3,INDEX($B$10:$B$59,RANDBETWEEN(1,$E$3)),"")</x:f>
      </x:c>
      <x:c r="AR139" s="68" t="str">
        <x:f>IF(COLUMN()-2&lt;=$E$3,INDEX($B$10:$B$59,RANDBETWEEN(1,$E$3)),"")</x:f>
      </x:c>
      <x:c r="AS139" s="68" t="str">
        <x:f>IF(COLUMN()-2&lt;=$E$3,INDEX($B$10:$B$59,RANDBETWEEN(1,$E$3)),"")</x:f>
      </x:c>
      <x:c r="AT139" s="68" t="str">
        <x:f>IF(COLUMN()-2&lt;=$E$3,INDEX($B$10:$B$59,RANDBETWEEN(1,$E$3)),"")</x:f>
      </x:c>
      <x:c r="AU139" s="68" t="str">
        <x:f>IF(COLUMN()-2&lt;=$E$3,INDEX($B$10:$B$59,RANDBETWEEN(1,$E$3)),"")</x:f>
      </x:c>
      <x:c r="AV139" s="68" t="str">
        <x:f>IF(COLUMN()-2&lt;=$E$3,INDEX($B$10:$B$59,RANDBETWEEN(1,$E$3)),"")</x:f>
      </x:c>
      <x:c r="AW139" s="68" t="str">
        <x:f>IF(COLUMN()-2&lt;=$E$3,INDEX($B$10:$B$59,RANDBETWEEN(1,$E$3)),"")</x:f>
      </x:c>
      <x:c r="AX139" s="68" t="str">
        <x:f>IF(COLUMN()-2&lt;=$E$3,INDEX($B$10:$B$59,RANDBETWEEN(1,$E$3)),"")</x:f>
      </x:c>
      <x:c r="AY139" s="68" t="str">
        <x:f>IF(COLUMN()-2&lt;=$E$3,INDEX($B$10:$B$59,RANDBETWEEN(1,$E$3)),"")</x:f>
      </x:c>
      <x:c r="AZ139" s="68" t="str">
        <x:f>IF(COLUMN()-2&lt;=$E$3,INDEX($B$10:$B$59,RANDBETWEEN(1,$E$3)),"")</x:f>
      </x:c>
      <x:c r="BA139" s="68" t="str">
        <x:f>IF($E$3=0,"",AVERAGE(C139:AZ139))</x:f>
      </x:c>
    </x:row>
    <x:row r="140">
      <x:c r="A140" t="n">
        <x:v>76</x:v>
      </x:c>
      <x:c r="C140" s="68" t="str">
        <x:f>IF(COLUMN()-2&lt;=$E$3,INDEX($B$10:$B$59,RANDBETWEEN(1,$E$3)),"")</x:f>
      </x:c>
      <x:c r="D140" s="68" t="str">
        <x:f>IF(COLUMN()-2&lt;=$E$3,INDEX($B$10:$B$59,RANDBETWEEN(1,$E$3)),"")</x:f>
      </x:c>
      <x:c r="E140" s="68" t="str">
        <x:f>IF(COLUMN()-2&lt;=$E$3,INDEX($B$10:$B$59,RANDBETWEEN(1,$E$3)),"")</x:f>
      </x:c>
      <x:c r="F140" s="68" t="str">
        <x:f>IF(COLUMN()-2&lt;=$E$3,INDEX($B$10:$B$59,RANDBETWEEN(1,$E$3)),"")</x:f>
      </x:c>
      <x:c r="G140" s="68" t="str">
        <x:f>IF(COLUMN()-2&lt;=$E$3,INDEX($B$10:$B$59,RANDBETWEEN(1,$E$3)),"")</x:f>
      </x:c>
      <x:c r="H140" s="68" t="str">
        <x:f>IF(COLUMN()-2&lt;=$E$3,INDEX($B$10:$B$59,RANDBETWEEN(1,$E$3)),"")</x:f>
      </x:c>
      <x:c r="I140" s="68" t="str">
        <x:f>IF(COLUMN()-2&lt;=$E$3,INDEX($B$10:$B$59,RANDBETWEEN(1,$E$3)),"")</x:f>
      </x:c>
      <x:c r="J140" s="68" t="str">
        <x:f>IF(COLUMN()-2&lt;=$E$3,INDEX($B$10:$B$59,RANDBETWEEN(1,$E$3)),"")</x:f>
      </x:c>
      <x:c r="K140" s="68" t="str">
        <x:f>IF(COLUMN()-2&lt;=$E$3,INDEX($B$10:$B$59,RANDBETWEEN(1,$E$3)),"")</x:f>
      </x:c>
      <x:c r="L140" s="68" t="str">
        <x:f>IF(COLUMN()-2&lt;=$E$3,INDEX($B$10:$B$59,RANDBETWEEN(1,$E$3)),"")</x:f>
      </x:c>
      <x:c r="M140" s="68" t="str">
        <x:f>IF(COLUMN()-2&lt;=$E$3,INDEX($B$10:$B$59,RANDBETWEEN(1,$E$3)),"")</x:f>
      </x:c>
      <x:c r="N140" s="68" t="str">
        <x:f>IF(COLUMN()-2&lt;=$E$3,INDEX($B$10:$B$59,RANDBETWEEN(1,$E$3)),"")</x:f>
      </x:c>
      <x:c r="O140" s="68" t="str">
        <x:f>IF(COLUMN()-2&lt;=$E$3,INDEX($B$10:$B$59,RANDBETWEEN(1,$E$3)),"")</x:f>
      </x:c>
      <x:c r="P140" s="68" t="str">
        <x:f>IF(COLUMN()-2&lt;=$E$3,INDEX($B$10:$B$59,RANDBETWEEN(1,$E$3)),"")</x:f>
      </x:c>
      <x:c r="Q140" s="68" t="str">
        <x:f>IF(COLUMN()-2&lt;=$E$3,INDEX($B$10:$B$59,RANDBETWEEN(1,$E$3)),"")</x:f>
      </x:c>
      <x:c r="R140" s="68" t="str">
        <x:f>IF(COLUMN()-2&lt;=$E$3,INDEX($B$10:$B$59,RANDBETWEEN(1,$E$3)),"")</x:f>
      </x:c>
      <x:c r="S140" s="68" t="str">
        <x:f>IF(COLUMN()-2&lt;=$E$3,INDEX($B$10:$B$59,RANDBETWEEN(1,$E$3)),"")</x:f>
      </x:c>
      <x:c r="T140" s="68" t="str">
        <x:f>IF(COLUMN()-2&lt;=$E$3,INDEX($B$10:$B$59,RANDBETWEEN(1,$E$3)),"")</x:f>
      </x:c>
      <x:c r="U140" s="68" t="str">
        <x:f>IF(COLUMN()-2&lt;=$E$3,INDEX($B$10:$B$59,RANDBETWEEN(1,$E$3)),"")</x:f>
      </x:c>
      <x:c r="V140" s="68" t="str">
        <x:f>IF(COLUMN()-2&lt;=$E$3,INDEX($B$10:$B$59,RANDBETWEEN(1,$E$3)),"")</x:f>
      </x:c>
      <x:c r="W140" s="68" t="str">
        <x:f>IF(COLUMN()-2&lt;=$E$3,INDEX($B$10:$B$59,RANDBETWEEN(1,$E$3)),"")</x:f>
      </x:c>
      <x:c r="X140" s="68" t="str">
        <x:f>IF(COLUMN()-2&lt;=$E$3,INDEX($B$10:$B$59,RANDBETWEEN(1,$E$3)),"")</x:f>
      </x:c>
      <x:c r="Y140" s="68" t="str">
        <x:f>IF(COLUMN()-2&lt;=$E$3,INDEX($B$10:$B$59,RANDBETWEEN(1,$E$3)),"")</x:f>
      </x:c>
      <x:c r="Z140" s="68" t="str">
        <x:f>IF(COLUMN()-2&lt;=$E$3,INDEX($B$10:$B$59,RANDBETWEEN(1,$E$3)),"")</x:f>
      </x:c>
      <x:c r="AA140" s="68" t="str">
        <x:f>IF(COLUMN()-2&lt;=$E$3,INDEX($B$10:$B$59,RANDBETWEEN(1,$E$3)),"")</x:f>
      </x:c>
      <x:c r="AB140" s="68" t="str">
        <x:f>IF(COLUMN()-2&lt;=$E$3,INDEX($B$10:$B$59,RANDBETWEEN(1,$E$3)),"")</x:f>
      </x:c>
      <x:c r="AC140" s="68" t="str">
        <x:f>IF(COLUMN()-2&lt;=$E$3,INDEX($B$10:$B$59,RANDBETWEEN(1,$E$3)),"")</x:f>
      </x:c>
      <x:c r="AD140" s="68" t="str">
        <x:f>IF(COLUMN()-2&lt;=$E$3,INDEX($B$10:$B$59,RANDBETWEEN(1,$E$3)),"")</x:f>
      </x:c>
      <x:c r="AE140" s="68" t="str">
        <x:f>IF(COLUMN()-2&lt;=$E$3,INDEX($B$10:$B$59,RANDBETWEEN(1,$E$3)),"")</x:f>
      </x:c>
      <x:c r="AF140" s="68" t="str">
        <x:f>IF(COLUMN()-2&lt;=$E$3,INDEX($B$10:$B$59,RANDBETWEEN(1,$E$3)),"")</x:f>
      </x:c>
      <x:c r="AG140" s="68" t="str">
        <x:f>IF(COLUMN()-2&lt;=$E$3,INDEX($B$10:$B$59,RANDBETWEEN(1,$E$3)),"")</x:f>
      </x:c>
      <x:c r="AH140" s="68" t="str">
        <x:f>IF(COLUMN()-2&lt;=$E$3,INDEX($B$10:$B$59,RANDBETWEEN(1,$E$3)),"")</x:f>
      </x:c>
      <x:c r="AI140" s="68" t="str">
        <x:f>IF(COLUMN()-2&lt;=$E$3,INDEX($B$10:$B$59,RANDBETWEEN(1,$E$3)),"")</x:f>
      </x:c>
      <x:c r="AJ140" s="68" t="str">
        <x:f>IF(COLUMN()-2&lt;=$E$3,INDEX($B$10:$B$59,RANDBETWEEN(1,$E$3)),"")</x:f>
      </x:c>
      <x:c r="AK140" s="68" t="str">
        <x:f>IF(COLUMN()-2&lt;=$E$3,INDEX($B$10:$B$59,RANDBETWEEN(1,$E$3)),"")</x:f>
      </x:c>
      <x:c r="AL140" s="68" t="str">
        <x:f>IF(COLUMN()-2&lt;=$E$3,INDEX($B$10:$B$59,RANDBETWEEN(1,$E$3)),"")</x:f>
      </x:c>
      <x:c r="AM140" s="68" t="str">
        <x:f>IF(COLUMN()-2&lt;=$E$3,INDEX($B$10:$B$59,RANDBETWEEN(1,$E$3)),"")</x:f>
      </x:c>
      <x:c r="AN140" s="68" t="str">
        <x:f>IF(COLUMN()-2&lt;=$E$3,INDEX($B$10:$B$59,RANDBETWEEN(1,$E$3)),"")</x:f>
      </x:c>
      <x:c r="AO140" s="68" t="str">
        <x:f>IF(COLUMN()-2&lt;=$E$3,INDEX($B$10:$B$59,RANDBETWEEN(1,$E$3)),"")</x:f>
      </x:c>
      <x:c r="AP140" s="68" t="str">
        <x:f>IF(COLUMN()-2&lt;=$E$3,INDEX($B$10:$B$59,RANDBETWEEN(1,$E$3)),"")</x:f>
      </x:c>
      <x:c r="AQ140" s="68" t="str">
        <x:f>IF(COLUMN()-2&lt;=$E$3,INDEX($B$10:$B$59,RANDBETWEEN(1,$E$3)),"")</x:f>
      </x:c>
      <x:c r="AR140" s="68" t="str">
        <x:f>IF(COLUMN()-2&lt;=$E$3,INDEX($B$10:$B$59,RANDBETWEEN(1,$E$3)),"")</x:f>
      </x:c>
      <x:c r="AS140" s="68" t="str">
        <x:f>IF(COLUMN()-2&lt;=$E$3,INDEX($B$10:$B$59,RANDBETWEEN(1,$E$3)),"")</x:f>
      </x:c>
      <x:c r="AT140" s="68" t="str">
        <x:f>IF(COLUMN()-2&lt;=$E$3,INDEX($B$10:$B$59,RANDBETWEEN(1,$E$3)),"")</x:f>
      </x:c>
      <x:c r="AU140" s="68" t="str">
        <x:f>IF(COLUMN()-2&lt;=$E$3,INDEX($B$10:$B$59,RANDBETWEEN(1,$E$3)),"")</x:f>
      </x:c>
      <x:c r="AV140" s="68" t="str">
        <x:f>IF(COLUMN()-2&lt;=$E$3,INDEX($B$10:$B$59,RANDBETWEEN(1,$E$3)),"")</x:f>
      </x:c>
      <x:c r="AW140" s="68" t="str">
        <x:f>IF(COLUMN()-2&lt;=$E$3,INDEX($B$10:$B$59,RANDBETWEEN(1,$E$3)),"")</x:f>
      </x:c>
      <x:c r="AX140" s="68" t="str">
        <x:f>IF(COLUMN()-2&lt;=$E$3,INDEX($B$10:$B$59,RANDBETWEEN(1,$E$3)),"")</x:f>
      </x:c>
      <x:c r="AY140" s="68" t="str">
        <x:f>IF(COLUMN()-2&lt;=$E$3,INDEX($B$10:$B$59,RANDBETWEEN(1,$E$3)),"")</x:f>
      </x:c>
      <x:c r="AZ140" s="68" t="str">
        <x:f>IF(COLUMN()-2&lt;=$E$3,INDEX($B$10:$B$59,RANDBETWEEN(1,$E$3)),"")</x:f>
      </x:c>
      <x:c r="BA140" s="68" t="str">
        <x:f>IF($E$3=0,"",AVERAGE(C140:AZ140))</x:f>
      </x:c>
    </x:row>
    <x:row r="141">
      <x:c r="A141" t="n">
        <x:v>77</x:v>
      </x:c>
      <x:c r="C141" s="68" t="str">
        <x:f>IF(COLUMN()-2&lt;=$E$3,INDEX($B$10:$B$59,RANDBETWEEN(1,$E$3)),"")</x:f>
      </x:c>
      <x:c r="D141" s="68" t="str">
        <x:f>IF(COLUMN()-2&lt;=$E$3,INDEX($B$10:$B$59,RANDBETWEEN(1,$E$3)),"")</x:f>
      </x:c>
      <x:c r="E141" s="68" t="str">
        <x:f>IF(COLUMN()-2&lt;=$E$3,INDEX($B$10:$B$59,RANDBETWEEN(1,$E$3)),"")</x:f>
      </x:c>
      <x:c r="F141" s="68" t="str">
        <x:f>IF(COLUMN()-2&lt;=$E$3,INDEX($B$10:$B$59,RANDBETWEEN(1,$E$3)),"")</x:f>
      </x:c>
      <x:c r="G141" s="68" t="str">
        <x:f>IF(COLUMN()-2&lt;=$E$3,INDEX($B$10:$B$59,RANDBETWEEN(1,$E$3)),"")</x:f>
      </x:c>
      <x:c r="H141" s="68" t="str">
        <x:f>IF(COLUMN()-2&lt;=$E$3,INDEX($B$10:$B$59,RANDBETWEEN(1,$E$3)),"")</x:f>
      </x:c>
      <x:c r="I141" s="68" t="str">
        <x:f>IF(COLUMN()-2&lt;=$E$3,INDEX($B$10:$B$59,RANDBETWEEN(1,$E$3)),"")</x:f>
      </x:c>
      <x:c r="J141" s="68" t="str">
        <x:f>IF(COLUMN()-2&lt;=$E$3,INDEX($B$10:$B$59,RANDBETWEEN(1,$E$3)),"")</x:f>
      </x:c>
      <x:c r="K141" s="68" t="str">
        <x:f>IF(COLUMN()-2&lt;=$E$3,INDEX($B$10:$B$59,RANDBETWEEN(1,$E$3)),"")</x:f>
      </x:c>
      <x:c r="L141" s="68" t="str">
        <x:f>IF(COLUMN()-2&lt;=$E$3,INDEX($B$10:$B$59,RANDBETWEEN(1,$E$3)),"")</x:f>
      </x:c>
      <x:c r="M141" s="68" t="str">
        <x:f>IF(COLUMN()-2&lt;=$E$3,INDEX($B$10:$B$59,RANDBETWEEN(1,$E$3)),"")</x:f>
      </x:c>
      <x:c r="N141" s="68" t="str">
        <x:f>IF(COLUMN()-2&lt;=$E$3,INDEX($B$10:$B$59,RANDBETWEEN(1,$E$3)),"")</x:f>
      </x:c>
      <x:c r="O141" s="68" t="str">
        <x:f>IF(COLUMN()-2&lt;=$E$3,INDEX($B$10:$B$59,RANDBETWEEN(1,$E$3)),"")</x:f>
      </x:c>
      <x:c r="P141" s="68" t="str">
        <x:f>IF(COLUMN()-2&lt;=$E$3,INDEX($B$10:$B$59,RANDBETWEEN(1,$E$3)),"")</x:f>
      </x:c>
      <x:c r="Q141" s="68" t="str">
        <x:f>IF(COLUMN()-2&lt;=$E$3,INDEX($B$10:$B$59,RANDBETWEEN(1,$E$3)),"")</x:f>
      </x:c>
      <x:c r="R141" s="68" t="str">
        <x:f>IF(COLUMN()-2&lt;=$E$3,INDEX($B$10:$B$59,RANDBETWEEN(1,$E$3)),"")</x:f>
      </x:c>
      <x:c r="S141" s="68" t="str">
        <x:f>IF(COLUMN()-2&lt;=$E$3,INDEX($B$10:$B$59,RANDBETWEEN(1,$E$3)),"")</x:f>
      </x:c>
      <x:c r="T141" s="68" t="str">
        <x:f>IF(COLUMN()-2&lt;=$E$3,INDEX($B$10:$B$59,RANDBETWEEN(1,$E$3)),"")</x:f>
      </x:c>
      <x:c r="U141" s="68" t="str">
        <x:f>IF(COLUMN()-2&lt;=$E$3,INDEX($B$10:$B$59,RANDBETWEEN(1,$E$3)),"")</x:f>
      </x:c>
      <x:c r="V141" s="68" t="str">
        <x:f>IF(COLUMN()-2&lt;=$E$3,INDEX($B$10:$B$59,RANDBETWEEN(1,$E$3)),"")</x:f>
      </x:c>
      <x:c r="W141" s="68" t="str">
        <x:f>IF(COLUMN()-2&lt;=$E$3,INDEX($B$10:$B$59,RANDBETWEEN(1,$E$3)),"")</x:f>
      </x:c>
      <x:c r="X141" s="68" t="str">
        <x:f>IF(COLUMN()-2&lt;=$E$3,INDEX($B$10:$B$59,RANDBETWEEN(1,$E$3)),"")</x:f>
      </x:c>
      <x:c r="Y141" s="68" t="str">
        <x:f>IF(COLUMN()-2&lt;=$E$3,INDEX($B$10:$B$59,RANDBETWEEN(1,$E$3)),"")</x:f>
      </x:c>
      <x:c r="Z141" s="68" t="str">
        <x:f>IF(COLUMN()-2&lt;=$E$3,INDEX($B$10:$B$59,RANDBETWEEN(1,$E$3)),"")</x:f>
      </x:c>
      <x:c r="AA141" s="68" t="str">
        <x:f>IF(COLUMN()-2&lt;=$E$3,INDEX($B$10:$B$59,RANDBETWEEN(1,$E$3)),"")</x:f>
      </x:c>
      <x:c r="AB141" s="68" t="str">
        <x:f>IF(COLUMN()-2&lt;=$E$3,INDEX($B$10:$B$59,RANDBETWEEN(1,$E$3)),"")</x:f>
      </x:c>
      <x:c r="AC141" s="68" t="str">
        <x:f>IF(COLUMN()-2&lt;=$E$3,INDEX($B$10:$B$59,RANDBETWEEN(1,$E$3)),"")</x:f>
      </x:c>
      <x:c r="AD141" s="68" t="str">
        <x:f>IF(COLUMN()-2&lt;=$E$3,INDEX($B$10:$B$59,RANDBETWEEN(1,$E$3)),"")</x:f>
      </x:c>
      <x:c r="AE141" s="68" t="str">
        <x:f>IF(COLUMN()-2&lt;=$E$3,INDEX($B$10:$B$59,RANDBETWEEN(1,$E$3)),"")</x:f>
      </x:c>
      <x:c r="AF141" s="68" t="str">
        <x:f>IF(COLUMN()-2&lt;=$E$3,INDEX($B$10:$B$59,RANDBETWEEN(1,$E$3)),"")</x:f>
      </x:c>
      <x:c r="AG141" s="68" t="str">
        <x:f>IF(COLUMN()-2&lt;=$E$3,INDEX($B$10:$B$59,RANDBETWEEN(1,$E$3)),"")</x:f>
      </x:c>
      <x:c r="AH141" s="68" t="str">
        <x:f>IF(COLUMN()-2&lt;=$E$3,INDEX($B$10:$B$59,RANDBETWEEN(1,$E$3)),"")</x:f>
      </x:c>
      <x:c r="AI141" s="68" t="str">
        <x:f>IF(COLUMN()-2&lt;=$E$3,INDEX($B$10:$B$59,RANDBETWEEN(1,$E$3)),"")</x:f>
      </x:c>
      <x:c r="AJ141" s="68" t="str">
        <x:f>IF(COLUMN()-2&lt;=$E$3,INDEX($B$10:$B$59,RANDBETWEEN(1,$E$3)),"")</x:f>
      </x:c>
      <x:c r="AK141" s="68" t="str">
        <x:f>IF(COLUMN()-2&lt;=$E$3,INDEX($B$10:$B$59,RANDBETWEEN(1,$E$3)),"")</x:f>
      </x:c>
      <x:c r="AL141" s="68" t="str">
        <x:f>IF(COLUMN()-2&lt;=$E$3,INDEX($B$10:$B$59,RANDBETWEEN(1,$E$3)),"")</x:f>
      </x:c>
      <x:c r="AM141" s="68" t="str">
        <x:f>IF(COLUMN()-2&lt;=$E$3,INDEX($B$10:$B$59,RANDBETWEEN(1,$E$3)),"")</x:f>
      </x:c>
      <x:c r="AN141" s="68" t="str">
        <x:f>IF(COLUMN()-2&lt;=$E$3,INDEX($B$10:$B$59,RANDBETWEEN(1,$E$3)),"")</x:f>
      </x:c>
      <x:c r="AO141" s="68" t="str">
        <x:f>IF(COLUMN()-2&lt;=$E$3,INDEX($B$10:$B$59,RANDBETWEEN(1,$E$3)),"")</x:f>
      </x:c>
      <x:c r="AP141" s="68" t="str">
        <x:f>IF(COLUMN()-2&lt;=$E$3,INDEX($B$10:$B$59,RANDBETWEEN(1,$E$3)),"")</x:f>
      </x:c>
      <x:c r="AQ141" s="68" t="str">
        <x:f>IF(COLUMN()-2&lt;=$E$3,INDEX($B$10:$B$59,RANDBETWEEN(1,$E$3)),"")</x:f>
      </x:c>
      <x:c r="AR141" s="68" t="str">
        <x:f>IF(COLUMN()-2&lt;=$E$3,INDEX($B$10:$B$59,RANDBETWEEN(1,$E$3)),"")</x:f>
      </x:c>
      <x:c r="AS141" s="68" t="str">
        <x:f>IF(COLUMN()-2&lt;=$E$3,INDEX($B$10:$B$59,RANDBETWEEN(1,$E$3)),"")</x:f>
      </x:c>
      <x:c r="AT141" s="68" t="str">
        <x:f>IF(COLUMN()-2&lt;=$E$3,INDEX($B$10:$B$59,RANDBETWEEN(1,$E$3)),"")</x:f>
      </x:c>
      <x:c r="AU141" s="68" t="str">
        <x:f>IF(COLUMN()-2&lt;=$E$3,INDEX($B$10:$B$59,RANDBETWEEN(1,$E$3)),"")</x:f>
      </x:c>
      <x:c r="AV141" s="68" t="str">
        <x:f>IF(COLUMN()-2&lt;=$E$3,INDEX($B$10:$B$59,RANDBETWEEN(1,$E$3)),"")</x:f>
      </x:c>
      <x:c r="AW141" s="68" t="str">
        <x:f>IF(COLUMN()-2&lt;=$E$3,INDEX($B$10:$B$59,RANDBETWEEN(1,$E$3)),"")</x:f>
      </x:c>
      <x:c r="AX141" s="68" t="str">
        <x:f>IF(COLUMN()-2&lt;=$E$3,INDEX($B$10:$B$59,RANDBETWEEN(1,$E$3)),"")</x:f>
      </x:c>
      <x:c r="AY141" s="68" t="str">
        <x:f>IF(COLUMN()-2&lt;=$E$3,INDEX($B$10:$B$59,RANDBETWEEN(1,$E$3)),"")</x:f>
      </x:c>
      <x:c r="AZ141" s="68" t="str">
        <x:f>IF(COLUMN()-2&lt;=$E$3,INDEX($B$10:$B$59,RANDBETWEEN(1,$E$3)),"")</x:f>
      </x:c>
      <x:c r="BA141" s="68" t="str">
        <x:f>IF($E$3=0,"",AVERAGE(C141:AZ141))</x:f>
      </x:c>
    </x:row>
    <x:row r="142">
      <x:c r="A142" t="n">
        <x:v>78</x:v>
      </x:c>
      <x:c r="C142" s="68" t="str">
        <x:f>IF(COLUMN()-2&lt;=$E$3,INDEX($B$10:$B$59,RANDBETWEEN(1,$E$3)),"")</x:f>
      </x:c>
      <x:c r="D142" s="68" t="str">
        <x:f>IF(COLUMN()-2&lt;=$E$3,INDEX($B$10:$B$59,RANDBETWEEN(1,$E$3)),"")</x:f>
      </x:c>
      <x:c r="E142" s="68" t="str">
        <x:f>IF(COLUMN()-2&lt;=$E$3,INDEX($B$10:$B$59,RANDBETWEEN(1,$E$3)),"")</x:f>
      </x:c>
      <x:c r="F142" s="68" t="str">
        <x:f>IF(COLUMN()-2&lt;=$E$3,INDEX($B$10:$B$59,RANDBETWEEN(1,$E$3)),"")</x:f>
      </x:c>
      <x:c r="G142" s="68" t="str">
        <x:f>IF(COLUMN()-2&lt;=$E$3,INDEX($B$10:$B$59,RANDBETWEEN(1,$E$3)),"")</x:f>
      </x:c>
      <x:c r="H142" s="68" t="str">
        <x:f>IF(COLUMN()-2&lt;=$E$3,INDEX($B$10:$B$59,RANDBETWEEN(1,$E$3)),"")</x:f>
      </x:c>
      <x:c r="I142" s="68" t="str">
        <x:f>IF(COLUMN()-2&lt;=$E$3,INDEX($B$10:$B$59,RANDBETWEEN(1,$E$3)),"")</x:f>
      </x:c>
      <x:c r="J142" s="68" t="str">
        <x:f>IF(COLUMN()-2&lt;=$E$3,INDEX($B$10:$B$59,RANDBETWEEN(1,$E$3)),"")</x:f>
      </x:c>
      <x:c r="K142" s="68" t="str">
        <x:f>IF(COLUMN()-2&lt;=$E$3,INDEX($B$10:$B$59,RANDBETWEEN(1,$E$3)),"")</x:f>
      </x:c>
      <x:c r="L142" s="68" t="str">
        <x:f>IF(COLUMN()-2&lt;=$E$3,INDEX($B$10:$B$59,RANDBETWEEN(1,$E$3)),"")</x:f>
      </x:c>
      <x:c r="M142" s="68" t="str">
        <x:f>IF(COLUMN()-2&lt;=$E$3,INDEX($B$10:$B$59,RANDBETWEEN(1,$E$3)),"")</x:f>
      </x:c>
      <x:c r="N142" s="68" t="str">
        <x:f>IF(COLUMN()-2&lt;=$E$3,INDEX($B$10:$B$59,RANDBETWEEN(1,$E$3)),"")</x:f>
      </x:c>
      <x:c r="O142" s="68" t="str">
        <x:f>IF(COLUMN()-2&lt;=$E$3,INDEX($B$10:$B$59,RANDBETWEEN(1,$E$3)),"")</x:f>
      </x:c>
      <x:c r="P142" s="68" t="str">
        <x:f>IF(COLUMN()-2&lt;=$E$3,INDEX($B$10:$B$59,RANDBETWEEN(1,$E$3)),"")</x:f>
      </x:c>
      <x:c r="Q142" s="68" t="str">
        <x:f>IF(COLUMN()-2&lt;=$E$3,INDEX($B$10:$B$59,RANDBETWEEN(1,$E$3)),"")</x:f>
      </x:c>
      <x:c r="R142" s="68" t="str">
        <x:f>IF(COLUMN()-2&lt;=$E$3,INDEX($B$10:$B$59,RANDBETWEEN(1,$E$3)),"")</x:f>
      </x:c>
      <x:c r="S142" s="68" t="str">
        <x:f>IF(COLUMN()-2&lt;=$E$3,INDEX($B$10:$B$59,RANDBETWEEN(1,$E$3)),"")</x:f>
      </x:c>
      <x:c r="T142" s="68" t="str">
        <x:f>IF(COLUMN()-2&lt;=$E$3,INDEX($B$10:$B$59,RANDBETWEEN(1,$E$3)),"")</x:f>
      </x:c>
      <x:c r="U142" s="68" t="str">
        <x:f>IF(COLUMN()-2&lt;=$E$3,INDEX($B$10:$B$59,RANDBETWEEN(1,$E$3)),"")</x:f>
      </x:c>
      <x:c r="V142" s="68" t="str">
        <x:f>IF(COLUMN()-2&lt;=$E$3,INDEX($B$10:$B$59,RANDBETWEEN(1,$E$3)),"")</x:f>
      </x:c>
      <x:c r="W142" s="68" t="str">
        <x:f>IF(COLUMN()-2&lt;=$E$3,INDEX($B$10:$B$59,RANDBETWEEN(1,$E$3)),"")</x:f>
      </x:c>
      <x:c r="X142" s="68" t="str">
        <x:f>IF(COLUMN()-2&lt;=$E$3,INDEX($B$10:$B$59,RANDBETWEEN(1,$E$3)),"")</x:f>
      </x:c>
      <x:c r="Y142" s="68" t="str">
        <x:f>IF(COLUMN()-2&lt;=$E$3,INDEX($B$10:$B$59,RANDBETWEEN(1,$E$3)),"")</x:f>
      </x:c>
      <x:c r="Z142" s="68" t="str">
        <x:f>IF(COLUMN()-2&lt;=$E$3,INDEX($B$10:$B$59,RANDBETWEEN(1,$E$3)),"")</x:f>
      </x:c>
      <x:c r="AA142" s="68" t="str">
        <x:f>IF(COLUMN()-2&lt;=$E$3,INDEX($B$10:$B$59,RANDBETWEEN(1,$E$3)),"")</x:f>
      </x:c>
      <x:c r="AB142" s="68" t="str">
        <x:f>IF(COLUMN()-2&lt;=$E$3,INDEX($B$10:$B$59,RANDBETWEEN(1,$E$3)),"")</x:f>
      </x:c>
      <x:c r="AC142" s="68" t="str">
        <x:f>IF(COLUMN()-2&lt;=$E$3,INDEX($B$10:$B$59,RANDBETWEEN(1,$E$3)),"")</x:f>
      </x:c>
      <x:c r="AD142" s="68" t="str">
        <x:f>IF(COLUMN()-2&lt;=$E$3,INDEX($B$10:$B$59,RANDBETWEEN(1,$E$3)),"")</x:f>
      </x:c>
      <x:c r="AE142" s="68" t="str">
        <x:f>IF(COLUMN()-2&lt;=$E$3,INDEX($B$10:$B$59,RANDBETWEEN(1,$E$3)),"")</x:f>
      </x:c>
      <x:c r="AF142" s="68" t="str">
        <x:f>IF(COLUMN()-2&lt;=$E$3,INDEX($B$10:$B$59,RANDBETWEEN(1,$E$3)),"")</x:f>
      </x:c>
      <x:c r="AG142" s="68" t="str">
        <x:f>IF(COLUMN()-2&lt;=$E$3,INDEX($B$10:$B$59,RANDBETWEEN(1,$E$3)),"")</x:f>
      </x:c>
      <x:c r="AH142" s="68" t="str">
        <x:f>IF(COLUMN()-2&lt;=$E$3,INDEX($B$10:$B$59,RANDBETWEEN(1,$E$3)),"")</x:f>
      </x:c>
      <x:c r="AI142" s="68" t="str">
        <x:f>IF(COLUMN()-2&lt;=$E$3,INDEX($B$10:$B$59,RANDBETWEEN(1,$E$3)),"")</x:f>
      </x:c>
      <x:c r="AJ142" s="68" t="str">
        <x:f>IF(COLUMN()-2&lt;=$E$3,INDEX($B$10:$B$59,RANDBETWEEN(1,$E$3)),"")</x:f>
      </x:c>
      <x:c r="AK142" s="68" t="str">
        <x:f>IF(COLUMN()-2&lt;=$E$3,INDEX($B$10:$B$59,RANDBETWEEN(1,$E$3)),"")</x:f>
      </x:c>
      <x:c r="AL142" s="68" t="str">
        <x:f>IF(COLUMN()-2&lt;=$E$3,INDEX($B$10:$B$59,RANDBETWEEN(1,$E$3)),"")</x:f>
      </x:c>
      <x:c r="AM142" s="68" t="str">
        <x:f>IF(COLUMN()-2&lt;=$E$3,INDEX($B$10:$B$59,RANDBETWEEN(1,$E$3)),"")</x:f>
      </x:c>
      <x:c r="AN142" s="68" t="str">
        <x:f>IF(COLUMN()-2&lt;=$E$3,INDEX($B$10:$B$59,RANDBETWEEN(1,$E$3)),"")</x:f>
      </x:c>
      <x:c r="AO142" s="68" t="str">
        <x:f>IF(COLUMN()-2&lt;=$E$3,INDEX($B$10:$B$59,RANDBETWEEN(1,$E$3)),"")</x:f>
      </x:c>
      <x:c r="AP142" s="68" t="str">
        <x:f>IF(COLUMN()-2&lt;=$E$3,INDEX($B$10:$B$59,RANDBETWEEN(1,$E$3)),"")</x:f>
      </x:c>
      <x:c r="AQ142" s="68" t="str">
        <x:f>IF(COLUMN()-2&lt;=$E$3,INDEX($B$10:$B$59,RANDBETWEEN(1,$E$3)),"")</x:f>
      </x:c>
      <x:c r="AR142" s="68" t="str">
        <x:f>IF(COLUMN()-2&lt;=$E$3,INDEX($B$10:$B$59,RANDBETWEEN(1,$E$3)),"")</x:f>
      </x:c>
      <x:c r="AS142" s="68" t="str">
        <x:f>IF(COLUMN()-2&lt;=$E$3,INDEX($B$10:$B$59,RANDBETWEEN(1,$E$3)),"")</x:f>
      </x:c>
      <x:c r="AT142" s="68" t="str">
        <x:f>IF(COLUMN()-2&lt;=$E$3,INDEX($B$10:$B$59,RANDBETWEEN(1,$E$3)),"")</x:f>
      </x:c>
      <x:c r="AU142" s="68" t="str">
        <x:f>IF(COLUMN()-2&lt;=$E$3,INDEX($B$10:$B$59,RANDBETWEEN(1,$E$3)),"")</x:f>
      </x:c>
      <x:c r="AV142" s="68" t="str">
        <x:f>IF(COLUMN()-2&lt;=$E$3,INDEX($B$10:$B$59,RANDBETWEEN(1,$E$3)),"")</x:f>
      </x:c>
      <x:c r="AW142" s="68" t="str">
        <x:f>IF(COLUMN()-2&lt;=$E$3,INDEX($B$10:$B$59,RANDBETWEEN(1,$E$3)),"")</x:f>
      </x:c>
      <x:c r="AX142" s="68" t="str">
        <x:f>IF(COLUMN()-2&lt;=$E$3,INDEX($B$10:$B$59,RANDBETWEEN(1,$E$3)),"")</x:f>
      </x:c>
      <x:c r="AY142" s="68" t="str">
        <x:f>IF(COLUMN()-2&lt;=$E$3,INDEX($B$10:$B$59,RANDBETWEEN(1,$E$3)),"")</x:f>
      </x:c>
      <x:c r="AZ142" s="68" t="str">
        <x:f>IF(COLUMN()-2&lt;=$E$3,INDEX($B$10:$B$59,RANDBETWEEN(1,$E$3)),"")</x:f>
      </x:c>
      <x:c r="BA142" s="68" t="str">
        <x:f>IF($E$3=0,"",AVERAGE(C142:AZ142))</x:f>
      </x:c>
    </x:row>
    <x:row r="143">
      <x:c r="A143" t="n">
        <x:v>79</x:v>
      </x:c>
      <x:c r="C143" s="68" t="str">
        <x:f>IF(COLUMN()-2&lt;=$E$3,INDEX($B$10:$B$59,RANDBETWEEN(1,$E$3)),"")</x:f>
      </x:c>
      <x:c r="D143" s="68" t="str">
        <x:f>IF(COLUMN()-2&lt;=$E$3,INDEX($B$10:$B$59,RANDBETWEEN(1,$E$3)),"")</x:f>
      </x:c>
      <x:c r="E143" s="68" t="str">
        <x:f>IF(COLUMN()-2&lt;=$E$3,INDEX($B$10:$B$59,RANDBETWEEN(1,$E$3)),"")</x:f>
      </x:c>
      <x:c r="F143" s="68" t="str">
        <x:f>IF(COLUMN()-2&lt;=$E$3,INDEX($B$10:$B$59,RANDBETWEEN(1,$E$3)),"")</x:f>
      </x:c>
      <x:c r="G143" s="68" t="str">
        <x:f>IF(COLUMN()-2&lt;=$E$3,INDEX($B$10:$B$59,RANDBETWEEN(1,$E$3)),"")</x:f>
      </x:c>
      <x:c r="H143" s="68" t="str">
        <x:f>IF(COLUMN()-2&lt;=$E$3,INDEX($B$10:$B$59,RANDBETWEEN(1,$E$3)),"")</x:f>
      </x:c>
      <x:c r="I143" s="68" t="str">
        <x:f>IF(COLUMN()-2&lt;=$E$3,INDEX($B$10:$B$59,RANDBETWEEN(1,$E$3)),"")</x:f>
      </x:c>
      <x:c r="J143" s="68" t="str">
        <x:f>IF(COLUMN()-2&lt;=$E$3,INDEX($B$10:$B$59,RANDBETWEEN(1,$E$3)),"")</x:f>
      </x:c>
      <x:c r="K143" s="68" t="str">
        <x:f>IF(COLUMN()-2&lt;=$E$3,INDEX($B$10:$B$59,RANDBETWEEN(1,$E$3)),"")</x:f>
      </x:c>
      <x:c r="L143" s="68" t="str">
        <x:f>IF(COLUMN()-2&lt;=$E$3,INDEX($B$10:$B$59,RANDBETWEEN(1,$E$3)),"")</x:f>
      </x:c>
      <x:c r="M143" s="68" t="str">
        <x:f>IF(COLUMN()-2&lt;=$E$3,INDEX($B$10:$B$59,RANDBETWEEN(1,$E$3)),"")</x:f>
      </x:c>
      <x:c r="N143" s="68" t="str">
        <x:f>IF(COLUMN()-2&lt;=$E$3,INDEX($B$10:$B$59,RANDBETWEEN(1,$E$3)),"")</x:f>
      </x:c>
      <x:c r="O143" s="68" t="str">
        <x:f>IF(COLUMN()-2&lt;=$E$3,INDEX($B$10:$B$59,RANDBETWEEN(1,$E$3)),"")</x:f>
      </x:c>
      <x:c r="P143" s="68" t="str">
        <x:f>IF(COLUMN()-2&lt;=$E$3,INDEX($B$10:$B$59,RANDBETWEEN(1,$E$3)),"")</x:f>
      </x:c>
      <x:c r="Q143" s="68" t="str">
        <x:f>IF(COLUMN()-2&lt;=$E$3,INDEX($B$10:$B$59,RANDBETWEEN(1,$E$3)),"")</x:f>
      </x:c>
      <x:c r="R143" s="68" t="str">
        <x:f>IF(COLUMN()-2&lt;=$E$3,INDEX($B$10:$B$59,RANDBETWEEN(1,$E$3)),"")</x:f>
      </x:c>
      <x:c r="S143" s="68" t="str">
        <x:f>IF(COLUMN()-2&lt;=$E$3,INDEX($B$10:$B$59,RANDBETWEEN(1,$E$3)),"")</x:f>
      </x:c>
      <x:c r="T143" s="68" t="str">
        <x:f>IF(COLUMN()-2&lt;=$E$3,INDEX($B$10:$B$59,RANDBETWEEN(1,$E$3)),"")</x:f>
      </x:c>
      <x:c r="U143" s="68" t="str">
        <x:f>IF(COLUMN()-2&lt;=$E$3,INDEX($B$10:$B$59,RANDBETWEEN(1,$E$3)),"")</x:f>
      </x:c>
      <x:c r="V143" s="68" t="str">
        <x:f>IF(COLUMN()-2&lt;=$E$3,INDEX($B$10:$B$59,RANDBETWEEN(1,$E$3)),"")</x:f>
      </x:c>
      <x:c r="W143" s="68" t="str">
        <x:f>IF(COLUMN()-2&lt;=$E$3,INDEX($B$10:$B$59,RANDBETWEEN(1,$E$3)),"")</x:f>
      </x:c>
      <x:c r="X143" s="68" t="str">
        <x:f>IF(COLUMN()-2&lt;=$E$3,INDEX($B$10:$B$59,RANDBETWEEN(1,$E$3)),"")</x:f>
      </x:c>
      <x:c r="Y143" s="68" t="str">
        <x:f>IF(COLUMN()-2&lt;=$E$3,INDEX($B$10:$B$59,RANDBETWEEN(1,$E$3)),"")</x:f>
      </x:c>
      <x:c r="Z143" s="68" t="str">
        <x:f>IF(COLUMN()-2&lt;=$E$3,INDEX($B$10:$B$59,RANDBETWEEN(1,$E$3)),"")</x:f>
      </x:c>
      <x:c r="AA143" s="68" t="str">
        <x:f>IF(COLUMN()-2&lt;=$E$3,INDEX($B$10:$B$59,RANDBETWEEN(1,$E$3)),"")</x:f>
      </x:c>
      <x:c r="AB143" s="68" t="str">
        <x:f>IF(COLUMN()-2&lt;=$E$3,INDEX($B$10:$B$59,RANDBETWEEN(1,$E$3)),"")</x:f>
      </x:c>
      <x:c r="AC143" s="68" t="str">
        <x:f>IF(COLUMN()-2&lt;=$E$3,INDEX($B$10:$B$59,RANDBETWEEN(1,$E$3)),"")</x:f>
      </x:c>
      <x:c r="AD143" s="68" t="str">
        <x:f>IF(COLUMN()-2&lt;=$E$3,INDEX($B$10:$B$59,RANDBETWEEN(1,$E$3)),"")</x:f>
      </x:c>
      <x:c r="AE143" s="68" t="str">
        <x:f>IF(COLUMN()-2&lt;=$E$3,INDEX($B$10:$B$59,RANDBETWEEN(1,$E$3)),"")</x:f>
      </x:c>
      <x:c r="AF143" s="68" t="str">
        <x:f>IF(COLUMN()-2&lt;=$E$3,INDEX($B$10:$B$59,RANDBETWEEN(1,$E$3)),"")</x:f>
      </x:c>
      <x:c r="AG143" s="68" t="str">
        <x:f>IF(COLUMN()-2&lt;=$E$3,INDEX($B$10:$B$59,RANDBETWEEN(1,$E$3)),"")</x:f>
      </x:c>
      <x:c r="AH143" s="68" t="str">
        <x:f>IF(COLUMN()-2&lt;=$E$3,INDEX($B$10:$B$59,RANDBETWEEN(1,$E$3)),"")</x:f>
      </x:c>
      <x:c r="AI143" s="68" t="str">
        <x:f>IF(COLUMN()-2&lt;=$E$3,INDEX($B$10:$B$59,RANDBETWEEN(1,$E$3)),"")</x:f>
      </x:c>
      <x:c r="AJ143" s="68" t="str">
        <x:f>IF(COLUMN()-2&lt;=$E$3,INDEX($B$10:$B$59,RANDBETWEEN(1,$E$3)),"")</x:f>
      </x:c>
      <x:c r="AK143" s="68" t="str">
        <x:f>IF(COLUMN()-2&lt;=$E$3,INDEX($B$10:$B$59,RANDBETWEEN(1,$E$3)),"")</x:f>
      </x:c>
      <x:c r="AL143" s="68" t="str">
        <x:f>IF(COLUMN()-2&lt;=$E$3,INDEX($B$10:$B$59,RANDBETWEEN(1,$E$3)),"")</x:f>
      </x:c>
      <x:c r="AM143" s="68" t="str">
        <x:f>IF(COLUMN()-2&lt;=$E$3,INDEX($B$10:$B$59,RANDBETWEEN(1,$E$3)),"")</x:f>
      </x:c>
      <x:c r="AN143" s="68" t="str">
        <x:f>IF(COLUMN()-2&lt;=$E$3,INDEX($B$10:$B$59,RANDBETWEEN(1,$E$3)),"")</x:f>
      </x:c>
      <x:c r="AO143" s="68" t="str">
        <x:f>IF(COLUMN()-2&lt;=$E$3,INDEX($B$10:$B$59,RANDBETWEEN(1,$E$3)),"")</x:f>
      </x:c>
      <x:c r="AP143" s="68" t="str">
        <x:f>IF(COLUMN()-2&lt;=$E$3,INDEX($B$10:$B$59,RANDBETWEEN(1,$E$3)),"")</x:f>
      </x:c>
      <x:c r="AQ143" s="68" t="str">
        <x:f>IF(COLUMN()-2&lt;=$E$3,INDEX($B$10:$B$59,RANDBETWEEN(1,$E$3)),"")</x:f>
      </x:c>
      <x:c r="AR143" s="68" t="str">
        <x:f>IF(COLUMN()-2&lt;=$E$3,INDEX($B$10:$B$59,RANDBETWEEN(1,$E$3)),"")</x:f>
      </x:c>
      <x:c r="AS143" s="68" t="str">
        <x:f>IF(COLUMN()-2&lt;=$E$3,INDEX($B$10:$B$59,RANDBETWEEN(1,$E$3)),"")</x:f>
      </x:c>
      <x:c r="AT143" s="68" t="str">
        <x:f>IF(COLUMN()-2&lt;=$E$3,INDEX($B$10:$B$59,RANDBETWEEN(1,$E$3)),"")</x:f>
      </x:c>
      <x:c r="AU143" s="68" t="str">
        <x:f>IF(COLUMN()-2&lt;=$E$3,INDEX($B$10:$B$59,RANDBETWEEN(1,$E$3)),"")</x:f>
      </x:c>
      <x:c r="AV143" s="68" t="str">
        <x:f>IF(COLUMN()-2&lt;=$E$3,INDEX($B$10:$B$59,RANDBETWEEN(1,$E$3)),"")</x:f>
      </x:c>
      <x:c r="AW143" s="68" t="str">
        <x:f>IF(COLUMN()-2&lt;=$E$3,INDEX($B$10:$B$59,RANDBETWEEN(1,$E$3)),"")</x:f>
      </x:c>
      <x:c r="AX143" s="68" t="str">
        <x:f>IF(COLUMN()-2&lt;=$E$3,INDEX($B$10:$B$59,RANDBETWEEN(1,$E$3)),"")</x:f>
      </x:c>
      <x:c r="AY143" s="68" t="str">
        <x:f>IF(COLUMN()-2&lt;=$E$3,INDEX($B$10:$B$59,RANDBETWEEN(1,$E$3)),"")</x:f>
      </x:c>
      <x:c r="AZ143" s="68" t="str">
        <x:f>IF(COLUMN()-2&lt;=$E$3,INDEX($B$10:$B$59,RANDBETWEEN(1,$E$3)),"")</x:f>
      </x:c>
      <x:c r="BA143" s="68" t="str">
        <x:f>IF($E$3=0,"",AVERAGE(C143:AZ143))</x:f>
      </x:c>
    </x:row>
    <x:row r="144">
      <x:c r="A144" t="n">
        <x:v>80</x:v>
      </x:c>
      <x:c r="C144" s="68" t="str">
        <x:f>IF(COLUMN()-2&lt;=$E$3,INDEX($B$10:$B$59,RANDBETWEEN(1,$E$3)),"")</x:f>
      </x:c>
      <x:c r="D144" s="68" t="str">
        <x:f>IF(COLUMN()-2&lt;=$E$3,INDEX($B$10:$B$59,RANDBETWEEN(1,$E$3)),"")</x:f>
      </x:c>
      <x:c r="E144" s="68" t="str">
        <x:f>IF(COLUMN()-2&lt;=$E$3,INDEX($B$10:$B$59,RANDBETWEEN(1,$E$3)),"")</x:f>
      </x:c>
      <x:c r="F144" s="68" t="str">
        <x:f>IF(COLUMN()-2&lt;=$E$3,INDEX($B$10:$B$59,RANDBETWEEN(1,$E$3)),"")</x:f>
      </x:c>
      <x:c r="G144" s="68" t="str">
        <x:f>IF(COLUMN()-2&lt;=$E$3,INDEX($B$10:$B$59,RANDBETWEEN(1,$E$3)),"")</x:f>
      </x:c>
      <x:c r="H144" s="68" t="str">
        <x:f>IF(COLUMN()-2&lt;=$E$3,INDEX($B$10:$B$59,RANDBETWEEN(1,$E$3)),"")</x:f>
      </x:c>
      <x:c r="I144" s="68" t="str">
        <x:f>IF(COLUMN()-2&lt;=$E$3,INDEX($B$10:$B$59,RANDBETWEEN(1,$E$3)),"")</x:f>
      </x:c>
      <x:c r="J144" s="68" t="str">
        <x:f>IF(COLUMN()-2&lt;=$E$3,INDEX($B$10:$B$59,RANDBETWEEN(1,$E$3)),"")</x:f>
      </x:c>
      <x:c r="K144" s="68" t="str">
        <x:f>IF(COLUMN()-2&lt;=$E$3,INDEX($B$10:$B$59,RANDBETWEEN(1,$E$3)),"")</x:f>
      </x:c>
      <x:c r="L144" s="68" t="str">
        <x:f>IF(COLUMN()-2&lt;=$E$3,INDEX($B$10:$B$59,RANDBETWEEN(1,$E$3)),"")</x:f>
      </x:c>
      <x:c r="M144" s="68" t="str">
        <x:f>IF(COLUMN()-2&lt;=$E$3,INDEX($B$10:$B$59,RANDBETWEEN(1,$E$3)),"")</x:f>
      </x:c>
      <x:c r="N144" s="68" t="str">
        <x:f>IF(COLUMN()-2&lt;=$E$3,INDEX($B$10:$B$59,RANDBETWEEN(1,$E$3)),"")</x:f>
      </x:c>
      <x:c r="O144" s="68" t="str">
        <x:f>IF(COLUMN()-2&lt;=$E$3,INDEX($B$10:$B$59,RANDBETWEEN(1,$E$3)),"")</x:f>
      </x:c>
      <x:c r="P144" s="68" t="str">
        <x:f>IF(COLUMN()-2&lt;=$E$3,INDEX($B$10:$B$59,RANDBETWEEN(1,$E$3)),"")</x:f>
      </x:c>
      <x:c r="Q144" s="68" t="str">
        <x:f>IF(COLUMN()-2&lt;=$E$3,INDEX($B$10:$B$59,RANDBETWEEN(1,$E$3)),"")</x:f>
      </x:c>
      <x:c r="R144" s="68" t="str">
        <x:f>IF(COLUMN()-2&lt;=$E$3,INDEX($B$10:$B$59,RANDBETWEEN(1,$E$3)),"")</x:f>
      </x:c>
      <x:c r="S144" s="68" t="str">
        <x:f>IF(COLUMN()-2&lt;=$E$3,INDEX($B$10:$B$59,RANDBETWEEN(1,$E$3)),"")</x:f>
      </x:c>
      <x:c r="T144" s="68" t="str">
        <x:f>IF(COLUMN()-2&lt;=$E$3,INDEX($B$10:$B$59,RANDBETWEEN(1,$E$3)),"")</x:f>
      </x:c>
      <x:c r="U144" s="68" t="str">
        <x:f>IF(COLUMN()-2&lt;=$E$3,INDEX($B$10:$B$59,RANDBETWEEN(1,$E$3)),"")</x:f>
      </x:c>
      <x:c r="V144" s="68" t="str">
        <x:f>IF(COLUMN()-2&lt;=$E$3,INDEX($B$10:$B$59,RANDBETWEEN(1,$E$3)),"")</x:f>
      </x:c>
      <x:c r="W144" s="68" t="str">
        <x:f>IF(COLUMN()-2&lt;=$E$3,INDEX($B$10:$B$59,RANDBETWEEN(1,$E$3)),"")</x:f>
      </x:c>
      <x:c r="X144" s="68" t="str">
        <x:f>IF(COLUMN()-2&lt;=$E$3,INDEX($B$10:$B$59,RANDBETWEEN(1,$E$3)),"")</x:f>
      </x:c>
      <x:c r="Y144" s="68" t="str">
        <x:f>IF(COLUMN()-2&lt;=$E$3,INDEX($B$10:$B$59,RANDBETWEEN(1,$E$3)),"")</x:f>
      </x:c>
      <x:c r="Z144" s="68" t="str">
        <x:f>IF(COLUMN()-2&lt;=$E$3,INDEX($B$10:$B$59,RANDBETWEEN(1,$E$3)),"")</x:f>
      </x:c>
      <x:c r="AA144" s="68" t="str">
        <x:f>IF(COLUMN()-2&lt;=$E$3,INDEX($B$10:$B$59,RANDBETWEEN(1,$E$3)),"")</x:f>
      </x:c>
      <x:c r="AB144" s="68" t="str">
        <x:f>IF(COLUMN()-2&lt;=$E$3,INDEX($B$10:$B$59,RANDBETWEEN(1,$E$3)),"")</x:f>
      </x:c>
      <x:c r="AC144" s="68" t="str">
        <x:f>IF(COLUMN()-2&lt;=$E$3,INDEX($B$10:$B$59,RANDBETWEEN(1,$E$3)),"")</x:f>
      </x:c>
      <x:c r="AD144" s="68" t="str">
        <x:f>IF(COLUMN()-2&lt;=$E$3,INDEX($B$10:$B$59,RANDBETWEEN(1,$E$3)),"")</x:f>
      </x:c>
      <x:c r="AE144" s="68" t="str">
        <x:f>IF(COLUMN()-2&lt;=$E$3,INDEX($B$10:$B$59,RANDBETWEEN(1,$E$3)),"")</x:f>
      </x:c>
      <x:c r="AF144" s="68" t="str">
        <x:f>IF(COLUMN()-2&lt;=$E$3,INDEX($B$10:$B$59,RANDBETWEEN(1,$E$3)),"")</x:f>
      </x:c>
      <x:c r="AG144" s="68" t="str">
        <x:f>IF(COLUMN()-2&lt;=$E$3,INDEX($B$10:$B$59,RANDBETWEEN(1,$E$3)),"")</x:f>
      </x:c>
      <x:c r="AH144" s="68" t="str">
        <x:f>IF(COLUMN()-2&lt;=$E$3,INDEX($B$10:$B$59,RANDBETWEEN(1,$E$3)),"")</x:f>
      </x:c>
      <x:c r="AI144" s="68" t="str">
        <x:f>IF(COLUMN()-2&lt;=$E$3,INDEX($B$10:$B$59,RANDBETWEEN(1,$E$3)),"")</x:f>
      </x:c>
      <x:c r="AJ144" s="68" t="str">
        <x:f>IF(COLUMN()-2&lt;=$E$3,INDEX($B$10:$B$59,RANDBETWEEN(1,$E$3)),"")</x:f>
      </x:c>
      <x:c r="AK144" s="68" t="str">
        <x:f>IF(COLUMN()-2&lt;=$E$3,INDEX($B$10:$B$59,RANDBETWEEN(1,$E$3)),"")</x:f>
      </x:c>
      <x:c r="AL144" s="68" t="str">
        <x:f>IF(COLUMN()-2&lt;=$E$3,INDEX($B$10:$B$59,RANDBETWEEN(1,$E$3)),"")</x:f>
      </x:c>
      <x:c r="AM144" s="68" t="str">
        <x:f>IF(COLUMN()-2&lt;=$E$3,INDEX($B$10:$B$59,RANDBETWEEN(1,$E$3)),"")</x:f>
      </x:c>
      <x:c r="AN144" s="68" t="str">
        <x:f>IF(COLUMN()-2&lt;=$E$3,INDEX($B$10:$B$59,RANDBETWEEN(1,$E$3)),"")</x:f>
      </x:c>
      <x:c r="AO144" s="68" t="str">
        <x:f>IF(COLUMN()-2&lt;=$E$3,INDEX($B$10:$B$59,RANDBETWEEN(1,$E$3)),"")</x:f>
      </x:c>
      <x:c r="AP144" s="68" t="str">
        <x:f>IF(COLUMN()-2&lt;=$E$3,INDEX($B$10:$B$59,RANDBETWEEN(1,$E$3)),"")</x:f>
      </x:c>
      <x:c r="AQ144" s="68" t="str">
        <x:f>IF(COLUMN()-2&lt;=$E$3,INDEX($B$10:$B$59,RANDBETWEEN(1,$E$3)),"")</x:f>
      </x:c>
      <x:c r="AR144" s="68" t="str">
        <x:f>IF(COLUMN()-2&lt;=$E$3,INDEX($B$10:$B$59,RANDBETWEEN(1,$E$3)),"")</x:f>
      </x:c>
      <x:c r="AS144" s="68" t="str">
        <x:f>IF(COLUMN()-2&lt;=$E$3,INDEX($B$10:$B$59,RANDBETWEEN(1,$E$3)),"")</x:f>
      </x:c>
      <x:c r="AT144" s="68" t="str">
        <x:f>IF(COLUMN()-2&lt;=$E$3,INDEX($B$10:$B$59,RANDBETWEEN(1,$E$3)),"")</x:f>
      </x:c>
      <x:c r="AU144" s="68" t="str">
        <x:f>IF(COLUMN()-2&lt;=$E$3,INDEX($B$10:$B$59,RANDBETWEEN(1,$E$3)),"")</x:f>
      </x:c>
      <x:c r="AV144" s="68" t="str">
        <x:f>IF(COLUMN()-2&lt;=$E$3,INDEX($B$10:$B$59,RANDBETWEEN(1,$E$3)),"")</x:f>
      </x:c>
      <x:c r="AW144" s="68" t="str">
        <x:f>IF(COLUMN()-2&lt;=$E$3,INDEX($B$10:$B$59,RANDBETWEEN(1,$E$3)),"")</x:f>
      </x:c>
      <x:c r="AX144" s="68" t="str">
        <x:f>IF(COLUMN()-2&lt;=$E$3,INDEX($B$10:$B$59,RANDBETWEEN(1,$E$3)),"")</x:f>
      </x:c>
      <x:c r="AY144" s="68" t="str">
        <x:f>IF(COLUMN()-2&lt;=$E$3,INDEX($B$10:$B$59,RANDBETWEEN(1,$E$3)),"")</x:f>
      </x:c>
      <x:c r="AZ144" s="68" t="str">
        <x:f>IF(COLUMN()-2&lt;=$E$3,INDEX($B$10:$B$59,RANDBETWEEN(1,$E$3)),"")</x:f>
      </x:c>
      <x:c r="BA144" s="68" t="str">
        <x:f>IF($E$3=0,"",AVERAGE(C144:AZ144))</x:f>
      </x:c>
    </x:row>
    <x:row r="145">
      <x:c r="A145" t="n">
        <x:v>81</x:v>
      </x:c>
      <x:c r="C145" s="68" t="str">
        <x:f>IF(COLUMN()-2&lt;=$E$3,INDEX($B$10:$B$59,RANDBETWEEN(1,$E$3)),"")</x:f>
      </x:c>
      <x:c r="D145" s="68" t="str">
        <x:f>IF(COLUMN()-2&lt;=$E$3,INDEX($B$10:$B$59,RANDBETWEEN(1,$E$3)),"")</x:f>
      </x:c>
      <x:c r="E145" s="68" t="str">
        <x:f>IF(COLUMN()-2&lt;=$E$3,INDEX($B$10:$B$59,RANDBETWEEN(1,$E$3)),"")</x:f>
      </x:c>
      <x:c r="F145" s="68" t="str">
        <x:f>IF(COLUMN()-2&lt;=$E$3,INDEX($B$10:$B$59,RANDBETWEEN(1,$E$3)),"")</x:f>
      </x:c>
      <x:c r="G145" s="68" t="str">
        <x:f>IF(COLUMN()-2&lt;=$E$3,INDEX($B$10:$B$59,RANDBETWEEN(1,$E$3)),"")</x:f>
      </x:c>
      <x:c r="H145" s="68" t="str">
        <x:f>IF(COLUMN()-2&lt;=$E$3,INDEX($B$10:$B$59,RANDBETWEEN(1,$E$3)),"")</x:f>
      </x:c>
      <x:c r="I145" s="68" t="str">
        <x:f>IF(COLUMN()-2&lt;=$E$3,INDEX($B$10:$B$59,RANDBETWEEN(1,$E$3)),"")</x:f>
      </x:c>
      <x:c r="J145" s="68" t="str">
        <x:f>IF(COLUMN()-2&lt;=$E$3,INDEX($B$10:$B$59,RANDBETWEEN(1,$E$3)),"")</x:f>
      </x:c>
      <x:c r="K145" s="68" t="str">
        <x:f>IF(COLUMN()-2&lt;=$E$3,INDEX($B$10:$B$59,RANDBETWEEN(1,$E$3)),"")</x:f>
      </x:c>
      <x:c r="L145" s="68" t="str">
        <x:f>IF(COLUMN()-2&lt;=$E$3,INDEX($B$10:$B$59,RANDBETWEEN(1,$E$3)),"")</x:f>
      </x:c>
      <x:c r="M145" s="68" t="str">
        <x:f>IF(COLUMN()-2&lt;=$E$3,INDEX($B$10:$B$59,RANDBETWEEN(1,$E$3)),"")</x:f>
      </x:c>
      <x:c r="N145" s="68" t="str">
        <x:f>IF(COLUMN()-2&lt;=$E$3,INDEX($B$10:$B$59,RANDBETWEEN(1,$E$3)),"")</x:f>
      </x:c>
      <x:c r="O145" s="68" t="str">
        <x:f>IF(COLUMN()-2&lt;=$E$3,INDEX($B$10:$B$59,RANDBETWEEN(1,$E$3)),"")</x:f>
      </x:c>
      <x:c r="P145" s="68" t="str">
        <x:f>IF(COLUMN()-2&lt;=$E$3,INDEX($B$10:$B$59,RANDBETWEEN(1,$E$3)),"")</x:f>
      </x:c>
      <x:c r="Q145" s="68" t="str">
        <x:f>IF(COLUMN()-2&lt;=$E$3,INDEX($B$10:$B$59,RANDBETWEEN(1,$E$3)),"")</x:f>
      </x:c>
      <x:c r="R145" s="68" t="str">
        <x:f>IF(COLUMN()-2&lt;=$E$3,INDEX($B$10:$B$59,RANDBETWEEN(1,$E$3)),"")</x:f>
      </x:c>
      <x:c r="S145" s="68" t="str">
        <x:f>IF(COLUMN()-2&lt;=$E$3,INDEX($B$10:$B$59,RANDBETWEEN(1,$E$3)),"")</x:f>
      </x:c>
      <x:c r="T145" s="68" t="str">
        <x:f>IF(COLUMN()-2&lt;=$E$3,INDEX($B$10:$B$59,RANDBETWEEN(1,$E$3)),"")</x:f>
      </x:c>
      <x:c r="U145" s="68" t="str">
        <x:f>IF(COLUMN()-2&lt;=$E$3,INDEX($B$10:$B$59,RANDBETWEEN(1,$E$3)),"")</x:f>
      </x:c>
      <x:c r="V145" s="68" t="str">
        <x:f>IF(COLUMN()-2&lt;=$E$3,INDEX($B$10:$B$59,RANDBETWEEN(1,$E$3)),"")</x:f>
      </x:c>
      <x:c r="W145" s="68" t="str">
        <x:f>IF(COLUMN()-2&lt;=$E$3,INDEX($B$10:$B$59,RANDBETWEEN(1,$E$3)),"")</x:f>
      </x:c>
      <x:c r="X145" s="68" t="str">
        <x:f>IF(COLUMN()-2&lt;=$E$3,INDEX($B$10:$B$59,RANDBETWEEN(1,$E$3)),"")</x:f>
      </x:c>
      <x:c r="Y145" s="68" t="str">
        <x:f>IF(COLUMN()-2&lt;=$E$3,INDEX($B$10:$B$59,RANDBETWEEN(1,$E$3)),"")</x:f>
      </x:c>
      <x:c r="Z145" s="68" t="str">
        <x:f>IF(COLUMN()-2&lt;=$E$3,INDEX($B$10:$B$59,RANDBETWEEN(1,$E$3)),"")</x:f>
      </x:c>
      <x:c r="AA145" s="68" t="str">
        <x:f>IF(COLUMN()-2&lt;=$E$3,INDEX($B$10:$B$59,RANDBETWEEN(1,$E$3)),"")</x:f>
      </x:c>
      <x:c r="AB145" s="68" t="str">
        <x:f>IF(COLUMN()-2&lt;=$E$3,INDEX($B$10:$B$59,RANDBETWEEN(1,$E$3)),"")</x:f>
      </x:c>
      <x:c r="AC145" s="68" t="str">
        <x:f>IF(COLUMN()-2&lt;=$E$3,INDEX($B$10:$B$59,RANDBETWEEN(1,$E$3)),"")</x:f>
      </x:c>
      <x:c r="AD145" s="68" t="str">
        <x:f>IF(COLUMN()-2&lt;=$E$3,INDEX($B$10:$B$59,RANDBETWEEN(1,$E$3)),"")</x:f>
      </x:c>
      <x:c r="AE145" s="68" t="str">
        <x:f>IF(COLUMN()-2&lt;=$E$3,INDEX($B$10:$B$59,RANDBETWEEN(1,$E$3)),"")</x:f>
      </x:c>
      <x:c r="AF145" s="68" t="str">
        <x:f>IF(COLUMN()-2&lt;=$E$3,INDEX($B$10:$B$59,RANDBETWEEN(1,$E$3)),"")</x:f>
      </x:c>
      <x:c r="AG145" s="68" t="str">
        <x:f>IF(COLUMN()-2&lt;=$E$3,INDEX($B$10:$B$59,RANDBETWEEN(1,$E$3)),"")</x:f>
      </x:c>
      <x:c r="AH145" s="68" t="str">
        <x:f>IF(COLUMN()-2&lt;=$E$3,INDEX($B$10:$B$59,RANDBETWEEN(1,$E$3)),"")</x:f>
      </x:c>
      <x:c r="AI145" s="68" t="str">
        <x:f>IF(COLUMN()-2&lt;=$E$3,INDEX($B$10:$B$59,RANDBETWEEN(1,$E$3)),"")</x:f>
      </x:c>
      <x:c r="AJ145" s="68" t="str">
        <x:f>IF(COLUMN()-2&lt;=$E$3,INDEX($B$10:$B$59,RANDBETWEEN(1,$E$3)),"")</x:f>
      </x:c>
      <x:c r="AK145" s="68" t="str">
        <x:f>IF(COLUMN()-2&lt;=$E$3,INDEX($B$10:$B$59,RANDBETWEEN(1,$E$3)),"")</x:f>
      </x:c>
      <x:c r="AL145" s="68" t="str">
        <x:f>IF(COLUMN()-2&lt;=$E$3,INDEX($B$10:$B$59,RANDBETWEEN(1,$E$3)),"")</x:f>
      </x:c>
      <x:c r="AM145" s="68" t="str">
        <x:f>IF(COLUMN()-2&lt;=$E$3,INDEX($B$10:$B$59,RANDBETWEEN(1,$E$3)),"")</x:f>
      </x:c>
      <x:c r="AN145" s="68" t="str">
        <x:f>IF(COLUMN()-2&lt;=$E$3,INDEX($B$10:$B$59,RANDBETWEEN(1,$E$3)),"")</x:f>
      </x:c>
      <x:c r="AO145" s="68" t="str">
        <x:f>IF(COLUMN()-2&lt;=$E$3,INDEX($B$10:$B$59,RANDBETWEEN(1,$E$3)),"")</x:f>
      </x:c>
      <x:c r="AP145" s="68" t="str">
        <x:f>IF(COLUMN()-2&lt;=$E$3,INDEX($B$10:$B$59,RANDBETWEEN(1,$E$3)),"")</x:f>
      </x:c>
      <x:c r="AQ145" s="68" t="str">
        <x:f>IF(COLUMN()-2&lt;=$E$3,INDEX($B$10:$B$59,RANDBETWEEN(1,$E$3)),"")</x:f>
      </x:c>
      <x:c r="AR145" s="68" t="str">
        <x:f>IF(COLUMN()-2&lt;=$E$3,INDEX($B$10:$B$59,RANDBETWEEN(1,$E$3)),"")</x:f>
      </x:c>
      <x:c r="AS145" s="68" t="str">
        <x:f>IF(COLUMN()-2&lt;=$E$3,INDEX($B$10:$B$59,RANDBETWEEN(1,$E$3)),"")</x:f>
      </x:c>
      <x:c r="AT145" s="68" t="str">
        <x:f>IF(COLUMN()-2&lt;=$E$3,INDEX($B$10:$B$59,RANDBETWEEN(1,$E$3)),"")</x:f>
      </x:c>
      <x:c r="AU145" s="68" t="str">
        <x:f>IF(COLUMN()-2&lt;=$E$3,INDEX($B$10:$B$59,RANDBETWEEN(1,$E$3)),"")</x:f>
      </x:c>
      <x:c r="AV145" s="68" t="str">
        <x:f>IF(COLUMN()-2&lt;=$E$3,INDEX($B$10:$B$59,RANDBETWEEN(1,$E$3)),"")</x:f>
      </x:c>
      <x:c r="AW145" s="68" t="str">
        <x:f>IF(COLUMN()-2&lt;=$E$3,INDEX($B$10:$B$59,RANDBETWEEN(1,$E$3)),"")</x:f>
      </x:c>
      <x:c r="AX145" s="68" t="str">
        <x:f>IF(COLUMN()-2&lt;=$E$3,INDEX($B$10:$B$59,RANDBETWEEN(1,$E$3)),"")</x:f>
      </x:c>
      <x:c r="AY145" s="68" t="str">
        <x:f>IF(COLUMN()-2&lt;=$E$3,INDEX($B$10:$B$59,RANDBETWEEN(1,$E$3)),"")</x:f>
      </x:c>
      <x:c r="AZ145" s="68" t="str">
        <x:f>IF(COLUMN()-2&lt;=$E$3,INDEX($B$10:$B$59,RANDBETWEEN(1,$E$3)),"")</x:f>
      </x:c>
      <x:c r="BA145" s="68" t="str">
        <x:f>IF($E$3=0,"",AVERAGE(C145:AZ145))</x:f>
      </x:c>
    </x:row>
    <x:row r="146">
      <x:c r="A146" t="n">
        <x:v>82</x:v>
      </x:c>
      <x:c r="C146" s="68" t="str">
        <x:f>IF(COLUMN()-2&lt;=$E$3,INDEX($B$10:$B$59,RANDBETWEEN(1,$E$3)),"")</x:f>
      </x:c>
      <x:c r="D146" s="68" t="str">
        <x:f>IF(COLUMN()-2&lt;=$E$3,INDEX($B$10:$B$59,RANDBETWEEN(1,$E$3)),"")</x:f>
      </x:c>
      <x:c r="E146" s="68" t="str">
        <x:f>IF(COLUMN()-2&lt;=$E$3,INDEX($B$10:$B$59,RANDBETWEEN(1,$E$3)),"")</x:f>
      </x:c>
      <x:c r="F146" s="68" t="str">
        <x:f>IF(COLUMN()-2&lt;=$E$3,INDEX($B$10:$B$59,RANDBETWEEN(1,$E$3)),"")</x:f>
      </x:c>
      <x:c r="G146" s="68" t="str">
        <x:f>IF(COLUMN()-2&lt;=$E$3,INDEX($B$10:$B$59,RANDBETWEEN(1,$E$3)),"")</x:f>
      </x:c>
      <x:c r="H146" s="68" t="str">
        <x:f>IF(COLUMN()-2&lt;=$E$3,INDEX($B$10:$B$59,RANDBETWEEN(1,$E$3)),"")</x:f>
      </x:c>
      <x:c r="I146" s="68" t="str">
        <x:f>IF(COLUMN()-2&lt;=$E$3,INDEX($B$10:$B$59,RANDBETWEEN(1,$E$3)),"")</x:f>
      </x:c>
      <x:c r="J146" s="68" t="str">
        <x:f>IF(COLUMN()-2&lt;=$E$3,INDEX($B$10:$B$59,RANDBETWEEN(1,$E$3)),"")</x:f>
      </x:c>
      <x:c r="K146" s="68" t="str">
        <x:f>IF(COLUMN()-2&lt;=$E$3,INDEX($B$10:$B$59,RANDBETWEEN(1,$E$3)),"")</x:f>
      </x:c>
      <x:c r="L146" s="68" t="str">
        <x:f>IF(COLUMN()-2&lt;=$E$3,INDEX($B$10:$B$59,RANDBETWEEN(1,$E$3)),"")</x:f>
      </x:c>
      <x:c r="M146" s="68" t="str">
        <x:f>IF(COLUMN()-2&lt;=$E$3,INDEX($B$10:$B$59,RANDBETWEEN(1,$E$3)),"")</x:f>
      </x:c>
      <x:c r="N146" s="68" t="str">
        <x:f>IF(COLUMN()-2&lt;=$E$3,INDEX($B$10:$B$59,RANDBETWEEN(1,$E$3)),"")</x:f>
      </x:c>
      <x:c r="O146" s="68" t="str">
        <x:f>IF(COLUMN()-2&lt;=$E$3,INDEX($B$10:$B$59,RANDBETWEEN(1,$E$3)),"")</x:f>
      </x:c>
      <x:c r="P146" s="68" t="str">
        <x:f>IF(COLUMN()-2&lt;=$E$3,INDEX($B$10:$B$59,RANDBETWEEN(1,$E$3)),"")</x:f>
      </x:c>
      <x:c r="Q146" s="68" t="str">
        <x:f>IF(COLUMN()-2&lt;=$E$3,INDEX($B$10:$B$59,RANDBETWEEN(1,$E$3)),"")</x:f>
      </x:c>
      <x:c r="R146" s="68" t="str">
        <x:f>IF(COLUMN()-2&lt;=$E$3,INDEX($B$10:$B$59,RANDBETWEEN(1,$E$3)),"")</x:f>
      </x:c>
      <x:c r="S146" s="68" t="str">
        <x:f>IF(COLUMN()-2&lt;=$E$3,INDEX($B$10:$B$59,RANDBETWEEN(1,$E$3)),"")</x:f>
      </x:c>
      <x:c r="T146" s="68" t="str">
        <x:f>IF(COLUMN()-2&lt;=$E$3,INDEX($B$10:$B$59,RANDBETWEEN(1,$E$3)),"")</x:f>
      </x:c>
      <x:c r="U146" s="68" t="str">
        <x:f>IF(COLUMN()-2&lt;=$E$3,INDEX($B$10:$B$59,RANDBETWEEN(1,$E$3)),"")</x:f>
      </x:c>
      <x:c r="V146" s="68" t="str">
        <x:f>IF(COLUMN()-2&lt;=$E$3,INDEX($B$10:$B$59,RANDBETWEEN(1,$E$3)),"")</x:f>
      </x:c>
      <x:c r="W146" s="68" t="str">
        <x:f>IF(COLUMN()-2&lt;=$E$3,INDEX($B$10:$B$59,RANDBETWEEN(1,$E$3)),"")</x:f>
      </x:c>
      <x:c r="X146" s="68" t="str">
        <x:f>IF(COLUMN()-2&lt;=$E$3,INDEX($B$10:$B$59,RANDBETWEEN(1,$E$3)),"")</x:f>
      </x:c>
      <x:c r="Y146" s="68" t="str">
        <x:f>IF(COLUMN()-2&lt;=$E$3,INDEX($B$10:$B$59,RANDBETWEEN(1,$E$3)),"")</x:f>
      </x:c>
      <x:c r="Z146" s="68" t="str">
        <x:f>IF(COLUMN()-2&lt;=$E$3,INDEX($B$10:$B$59,RANDBETWEEN(1,$E$3)),"")</x:f>
      </x:c>
      <x:c r="AA146" s="68" t="str">
        <x:f>IF(COLUMN()-2&lt;=$E$3,INDEX($B$10:$B$59,RANDBETWEEN(1,$E$3)),"")</x:f>
      </x:c>
      <x:c r="AB146" s="68" t="str">
        <x:f>IF(COLUMN()-2&lt;=$E$3,INDEX($B$10:$B$59,RANDBETWEEN(1,$E$3)),"")</x:f>
      </x:c>
      <x:c r="AC146" s="68" t="str">
        <x:f>IF(COLUMN()-2&lt;=$E$3,INDEX($B$10:$B$59,RANDBETWEEN(1,$E$3)),"")</x:f>
      </x:c>
      <x:c r="AD146" s="68" t="str">
        <x:f>IF(COLUMN()-2&lt;=$E$3,INDEX($B$10:$B$59,RANDBETWEEN(1,$E$3)),"")</x:f>
      </x:c>
      <x:c r="AE146" s="68" t="str">
        <x:f>IF(COLUMN()-2&lt;=$E$3,INDEX($B$10:$B$59,RANDBETWEEN(1,$E$3)),"")</x:f>
      </x:c>
      <x:c r="AF146" s="68" t="str">
        <x:f>IF(COLUMN()-2&lt;=$E$3,INDEX($B$10:$B$59,RANDBETWEEN(1,$E$3)),"")</x:f>
      </x:c>
      <x:c r="AG146" s="68" t="str">
        <x:f>IF(COLUMN()-2&lt;=$E$3,INDEX($B$10:$B$59,RANDBETWEEN(1,$E$3)),"")</x:f>
      </x:c>
      <x:c r="AH146" s="68" t="str">
        <x:f>IF(COLUMN()-2&lt;=$E$3,INDEX($B$10:$B$59,RANDBETWEEN(1,$E$3)),"")</x:f>
      </x:c>
      <x:c r="AI146" s="68" t="str">
        <x:f>IF(COLUMN()-2&lt;=$E$3,INDEX($B$10:$B$59,RANDBETWEEN(1,$E$3)),"")</x:f>
      </x:c>
      <x:c r="AJ146" s="68" t="str">
        <x:f>IF(COLUMN()-2&lt;=$E$3,INDEX($B$10:$B$59,RANDBETWEEN(1,$E$3)),"")</x:f>
      </x:c>
      <x:c r="AK146" s="68" t="str">
        <x:f>IF(COLUMN()-2&lt;=$E$3,INDEX($B$10:$B$59,RANDBETWEEN(1,$E$3)),"")</x:f>
      </x:c>
      <x:c r="AL146" s="68" t="str">
        <x:f>IF(COLUMN()-2&lt;=$E$3,INDEX($B$10:$B$59,RANDBETWEEN(1,$E$3)),"")</x:f>
      </x:c>
      <x:c r="AM146" s="68" t="str">
        <x:f>IF(COLUMN()-2&lt;=$E$3,INDEX($B$10:$B$59,RANDBETWEEN(1,$E$3)),"")</x:f>
      </x:c>
      <x:c r="AN146" s="68" t="str">
        <x:f>IF(COLUMN()-2&lt;=$E$3,INDEX($B$10:$B$59,RANDBETWEEN(1,$E$3)),"")</x:f>
      </x:c>
      <x:c r="AO146" s="68" t="str">
        <x:f>IF(COLUMN()-2&lt;=$E$3,INDEX($B$10:$B$59,RANDBETWEEN(1,$E$3)),"")</x:f>
      </x:c>
      <x:c r="AP146" s="68" t="str">
        <x:f>IF(COLUMN()-2&lt;=$E$3,INDEX($B$10:$B$59,RANDBETWEEN(1,$E$3)),"")</x:f>
      </x:c>
      <x:c r="AQ146" s="68" t="str">
        <x:f>IF(COLUMN()-2&lt;=$E$3,INDEX($B$10:$B$59,RANDBETWEEN(1,$E$3)),"")</x:f>
      </x:c>
      <x:c r="AR146" s="68" t="str">
        <x:f>IF(COLUMN()-2&lt;=$E$3,INDEX($B$10:$B$59,RANDBETWEEN(1,$E$3)),"")</x:f>
      </x:c>
      <x:c r="AS146" s="68" t="str">
        <x:f>IF(COLUMN()-2&lt;=$E$3,INDEX($B$10:$B$59,RANDBETWEEN(1,$E$3)),"")</x:f>
      </x:c>
      <x:c r="AT146" s="68" t="str">
        <x:f>IF(COLUMN()-2&lt;=$E$3,INDEX($B$10:$B$59,RANDBETWEEN(1,$E$3)),"")</x:f>
      </x:c>
      <x:c r="AU146" s="68" t="str">
        <x:f>IF(COLUMN()-2&lt;=$E$3,INDEX($B$10:$B$59,RANDBETWEEN(1,$E$3)),"")</x:f>
      </x:c>
      <x:c r="AV146" s="68" t="str">
        <x:f>IF(COLUMN()-2&lt;=$E$3,INDEX($B$10:$B$59,RANDBETWEEN(1,$E$3)),"")</x:f>
      </x:c>
      <x:c r="AW146" s="68" t="str">
        <x:f>IF(COLUMN()-2&lt;=$E$3,INDEX($B$10:$B$59,RANDBETWEEN(1,$E$3)),"")</x:f>
      </x:c>
      <x:c r="AX146" s="68" t="str">
        <x:f>IF(COLUMN()-2&lt;=$E$3,INDEX($B$10:$B$59,RANDBETWEEN(1,$E$3)),"")</x:f>
      </x:c>
      <x:c r="AY146" s="68" t="str">
        <x:f>IF(COLUMN()-2&lt;=$E$3,INDEX($B$10:$B$59,RANDBETWEEN(1,$E$3)),"")</x:f>
      </x:c>
      <x:c r="AZ146" s="68" t="str">
        <x:f>IF(COLUMN()-2&lt;=$E$3,INDEX($B$10:$B$59,RANDBETWEEN(1,$E$3)),"")</x:f>
      </x:c>
      <x:c r="BA146" s="68" t="str">
        <x:f>IF($E$3=0,"",AVERAGE(C146:AZ146))</x:f>
      </x:c>
    </x:row>
    <x:row r="147">
      <x:c r="A147" t="n">
        <x:v>83</x:v>
      </x:c>
      <x:c r="C147" s="68" t="str">
        <x:f>IF(COLUMN()-2&lt;=$E$3,INDEX($B$10:$B$59,RANDBETWEEN(1,$E$3)),"")</x:f>
      </x:c>
      <x:c r="D147" s="68" t="str">
        <x:f>IF(COLUMN()-2&lt;=$E$3,INDEX($B$10:$B$59,RANDBETWEEN(1,$E$3)),"")</x:f>
      </x:c>
      <x:c r="E147" s="68" t="str">
        <x:f>IF(COLUMN()-2&lt;=$E$3,INDEX($B$10:$B$59,RANDBETWEEN(1,$E$3)),"")</x:f>
      </x:c>
      <x:c r="F147" s="68" t="str">
        <x:f>IF(COLUMN()-2&lt;=$E$3,INDEX($B$10:$B$59,RANDBETWEEN(1,$E$3)),"")</x:f>
      </x:c>
      <x:c r="G147" s="68" t="str">
        <x:f>IF(COLUMN()-2&lt;=$E$3,INDEX($B$10:$B$59,RANDBETWEEN(1,$E$3)),"")</x:f>
      </x:c>
      <x:c r="H147" s="68" t="str">
        <x:f>IF(COLUMN()-2&lt;=$E$3,INDEX($B$10:$B$59,RANDBETWEEN(1,$E$3)),"")</x:f>
      </x:c>
      <x:c r="I147" s="68" t="str">
        <x:f>IF(COLUMN()-2&lt;=$E$3,INDEX($B$10:$B$59,RANDBETWEEN(1,$E$3)),"")</x:f>
      </x:c>
      <x:c r="J147" s="68" t="str">
        <x:f>IF(COLUMN()-2&lt;=$E$3,INDEX($B$10:$B$59,RANDBETWEEN(1,$E$3)),"")</x:f>
      </x:c>
      <x:c r="K147" s="68" t="str">
        <x:f>IF(COLUMN()-2&lt;=$E$3,INDEX($B$10:$B$59,RANDBETWEEN(1,$E$3)),"")</x:f>
      </x:c>
      <x:c r="L147" s="68" t="str">
        <x:f>IF(COLUMN()-2&lt;=$E$3,INDEX($B$10:$B$59,RANDBETWEEN(1,$E$3)),"")</x:f>
      </x:c>
      <x:c r="M147" s="68" t="str">
        <x:f>IF(COLUMN()-2&lt;=$E$3,INDEX($B$10:$B$59,RANDBETWEEN(1,$E$3)),"")</x:f>
      </x:c>
      <x:c r="N147" s="68" t="str">
        <x:f>IF(COLUMN()-2&lt;=$E$3,INDEX($B$10:$B$59,RANDBETWEEN(1,$E$3)),"")</x:f>
      </x:c>
      <x:c r="O147" s="68" t="str">
        <x:f>IF(COLUMN()-2&lt;=$E$3,INDEX($B$10:$B$59,RANDBETWEEN(1,$E$3)),"")</x:f>
      </x:c>
      <x:c r="P147" s="68" t="str">
        <x:f>IF(COLUMN()-2&lt;=$E$3,INDEX($B$10:$B$59,RANDBETWEEN(1,$E$3)),"")</x:f>
      </x:c>
      <x:c r="Q147" s="68" t="str">
        <x:f>IF(COLUMN()-2&lt;=$E$3,INDEX($B$10:$B$59,RANDBETWEEN(1,$E$3)),"")</x:f>
      </x:c>
      <x:c r="R147" s="68" t="str">
        <x:f>IF(COLUMN()-2&lt;=$E$3,INDEX($B$10:$B$59,RANDBETWEEN(1,$E$3)),"")</x:f>
      </x:c>
      <x:c r="S147" s="68" t="str">
        <x:f>IF(COLUMN()-2&lt;=$E$3,INDEX($B$10:$B$59,RANDBETWEEN(1,$E$3)),"")</x:f>
      </x:c>
      <x:c r="T147" s="68" t="str">
        <x:f>IF(COLUMN()-2&lt;=$E$3,INDEX($B$10:$B$59,RANDBETWEEN(1,$E$3)),"")</x:f>
      </x:c>
      <x:c r="U147" s="68" t="str">
        <x:f>IF(COLUMN()-2&lt;=$E$3,INDEX($B$10:$B$59,RANDBETWEEN(1,$E$3)),"")</x:f>
      </x:c>
      <x:c r="V147" s="68" t="str">
        <x:f>IF(COLUMN()-2&lt;=$E$3,INDEX($B$10:$B$59,RANDBETWEEN(1,$E$3)),"")</x:f>
      </x:c>
      <x:c r="W147" s="68" t="str">
        <x:f>IF(COLUMN()-2&lt;=$E$3,INDEX($B$10:$B$59,RANDBETWEEN(1,$E$3)),"")</x:f>
      </x:c>
      <x:c r="X147" s="68" t="str">
        <x:f>IF(COLUMN()-2&lt;=$E$3,INDEX($B$10:$B$59,RANDBETWEEN(1,$E$3)),"")</x:f>
      </x:c>
      <x:c r="Y147" s="68" t="str">
        <x:f>IF(COLUMN()-2&lt;=$E$3,INDEX($B$10:$B$59,RANDBETWEEN(1,$E$3)),"")</x:f>
      </x:c>
      <x:c r="Z147" s="68" t="str">
        <x:f>IF(COLUMN()-2&lt;=$E$3,INDEX($B$10:$B$59,RANDBETWEEN(1,$E$3)),"")</x:f>
      </x:c>
      <x:c r="AA147" s="68" t="str">
        <x:f>IF(COLUMN()-2&lt;=$E$3,INDEX($B$10:$B$59,RANDBETWEEN(1,$E$3)),"")</x:f>
      </x:c>
      <x:c r="AB147" s="68" t="str">
        <x:f>IF(COLUMN()-2&lt;=$E$3,INDEX($B$10:$B$59,RANDBETWEEN(1,$E$3)),"")</x:f>
      </x:c>
      <x:c r="AC147" s="68" t="str">
        <x:f>IF(COLUMN()-2&lt;=$E$3,INDEX($B$10:$B$59,RANDBETWEEN(1,$E$3)),"")</x:f>
      </x:c>
      <x:c r="AD147" s="68" t="str">
        <x:f>IF(COLUMN()-2&lt;=$E$3,INDEX($B$10:$B$59,RANDBETWEEN(1,$E$3)),"")</x:f>
      </x:c>
      <x:c r="AE147" s="68" t="str">
        <x:f>IF(COLUMN()-2&lt;=$E$3,INDEX($B$10:$B$59,RANDBETWEEN(1,$E$3)),"")</x:f>
      </x:c>
      <x:c r="AF147" s="68" t="str">
        <x:f>IF(COLUMN()-2&lt;=$E$3,INDEX($B$10:$B$59,RANDBETWEEN(1,$E$3)),"")</x:f>
      </x:c>
      <x:c r="AG147" s="68" t="str">
        <x:f>IF(COLUMN()-2&lt;=$E$3,INDEX($B$10:$B$59,RANDBETWEEN(1,$E$3)),"")</x:f>
      </x:c>
      <x:c r="AH147" s="68" t="str">
        <x:f>IF(COLUMN()-2&lt;=$E$3,INDEX($B$10:$B$59,RANDBETWEEN(1,$E$3)),"")</x:f>
      </x:c>
      <x:c r="AI147" s="68" t="str">
        <x:f>IF(COLUMN()-2&lt;=$E$3,INDEX($B$10:$B$59,RANDBETWEEN(1,$E$3)),"")</x:f>
      </x:c>
      <x:c r="AJ147" s="68" t="str">
        <x:f>IF(COLUMN()-2&lt;=$E$3,INDEX($B$10:$B$59,RANDBETWEEN(1,$E$3)),"")</x:f>
      </x:c>
      <x:c r="AK147" s="68" t="str">
        <x:f>IF(COLUMN()-2&lt;=$E$3,INDEX($B$10:$B$59,RANDBETWEEN(1,$E$3)),"")</x:f>
      </x:c>
      <x:c r="AL147" s="68" t="str">
        <x:f>IF(COLUMN()-2&lt;=$E$3,INDEX($B$10:$B$59,RANDBETWEEN(1,$E$3)),"")</x:f>
      </x:c>
      <x:c r="AM147" s="68" t="str">
        <x:f>IF(COLUMN()-2&lt;=$E$3,INDEX($B$10:$B$59,RANDBETWEEN(1,$E$3)),"")</x:f>
      </x:c>
      <x:c r="AN147" s="68" t="str">
        <x:f>IF(COLUMN()-2&lt;=$E$3,INDEX($B$10:$B$59,RANDBETWEEN(1,$E$3)),"")</x:f>
      </x:c>
      <x:c r="AO147" s="68" t="str">
        <x:f>IF(COLUMN()-2&lt;=$E$3,INDEX($B$10:$B$59,RANDBETWEEN(1,$E$3)),"")</x:f>
      </x:c>
      <x:c r="AP147" s="68" t="str">
        <x:f>IF(COLUMN()-2&lt;=$E$3,INDEX($B$10:$B$59,RANDBETWEEN(1,$E$3)),"")</x:f>
      </x:c>
      <x:c r="AQ147" s="68" t="str">
        <x:f>IF(COLUMN()-2&lt;=$E$3,INDEX($B$10:$B$59,RANDBETWEEN(1,$E$3)),"")</x:f>
      </x:c>
      <x:c r="AR147" s="68" t="str">
        <x:f>IF(COLUMN()-2&lt;=$E$3,INDEX($B$10:$B$59,RANDBETWEEN(1,$E$3)),"")</x:f>
      </x:c>
      <x:c r="AS147" s="68" t="str">
        <x:f>IF(COLUMN()-2&lt;=$E$3,INDEX($B$10:$B$59,RANDBETWEEN(1,$E$3)),"")</x:f>
      </x:c>
      <x:c r="AT147" s="68" t="str">
        <x:f>IF(COLUMN()-2&lt;=$E$3,INDEX($B$10:$B$59,RANDBETWEEN(1,$E$3)),"")</x:f>
      </x:c>
      <x:c r="AU147" s="68" t="str">
        <x:f>IF(COLUMN()-2&lt;=$E$3,INDEX($B$10:$B$59,RANDBETWEEN(1,$E$3)),"")</x:f>
      </x:c>
      <x:c r="AV147" s="68" t="str">
        <x:f>IF(COLUMN()-2&lt;=$E$3,INDEX($B$10:$B$59,RANDBETWEEN(1,$E$3)),"")</x:f>
      </x:c>
      <x:c r="AW147" s="68" t="str">
        <x:f>IF(COLUMN()-2&lt;=$E$3,INDEX($B$10:$B$59,RANDBETWEEN(1,$E$3)),"")</x:f>
      </x:c>
      <x:c r="AX147" s="68" t="str">
        <x:f>IF(COLUMN()-2&lt;=$E$3,INDEX($B$10:$B$59,RANDBETWEEN(1,$E$3)),"")</x:f>
      </x:c>
      <x:c r="AY147" s="68" t="str">
        <x:f>IF(COLUMN()-2&lt;=$E$3,INDEX($B$10:$B$59,RANDBETWEEN(1,$E$3)),"")</x:f>
      </x:c>
      <x:c r="AZ147" s="68" t="str">
        <x:f>IF(COLUMN()-2&lt;=$E$3,INDEX($B$10:$B$59,RANDBETWEEN(1,$E$3)),"")</x:f>
      </x:c>
      <x:c r="BA147" s="68" t="str">
        <x:f>IF($E$3=0,"",AVERAGE(C147:AZ147))</x:f>
      </x:c>
    </x:row>
    <x:row r="148">
      <x:c r="A148" t="n">
        <x:v>84</x:v>
      </x:c>
      <x:c r="C148" s="68" t="str">
        <x:f>IF(COLUMN()-2&lt;=$E$3,INDEX($B$10:$B$59,RANDBETWEEN(1,$E$3)),"")</x:f>
      </x:c>
      <x:c r="D148" s="68" t="str">
        <x:f>IF(COLUMN()-2&lt;=$E$3,INDEX($B$10:$B$59,RANDBETWEEN(1,$E$3)),"")</x:f>
      </x:c>
      <x:c r="E148" s="68" t="str">
        <x:f>IF(COLUMN()-2&lt;=$E$3,INDEX($B$10:$B$59,RANDBETWEEN(1,$E$3)),"")</x:f>
      </x:c>
      <x:c r="F148" s="68" t="str">
        <x:f>IF(COLUMN()-2&lt;=$E$3,INDEX($B$10:$B$59,RANDBETWEEN(1,$E$3)),"")</x:f>
      </x:c>
      <x:c r="G148" s="68" t="str">
        <x:f>IF(COLUMN()-2&lt;=$E$3,INDEX($B$10:$B$59,RANDBETWEEN(1,$E$3)),"")</x:f>
      </x:c>
      <x:c r="H148" s="68" t="str">
        <x:f>IF(COLUMN()-2&lt;=$E$3,INDEX($B$10:$B$59,RANDBETWEEN(1,$E$3)),"")</x:f>
      </x:c>
      <x:c r="I148" s="68" t="str">
        <x:f>IF(COLUMN()-2&lt;=$E$3,INDEX($B$10:$B$59,RANDBETWEEN(1,$E$3)),"")</x:f>
      </x:c>
      <x:c r="J148" s="68" t="str">
        <x:f>IF(COLUMN()-2&lt;=$E$3,INDEX($B$10:$B$59,RANDBETWEEN(1,$E$3)),"")</x:f>
      </x:c>
      <x:c r="K148" s="68" t="str">
        <x:f>IF(COLUMN()-2&lt;=$E$3,INDEX($B$10:$B$59,RANDBETWEEN(1,$E$3)),"")</x:f>
      </x:c>
      <x:c r="L148" s="68" t="str">
        <x:f>IF(COLUMN()-2&lt;=$E$3,INDEX($B$10:$B$59,RANDBETWEEN(1,$E$3)),"")</x:f>
      </x:c>
      <x:c r="M148" s="68" t="str">
        <x:f>IF(COLUMN()-2&lt;=$E$3,INDEX($B$10:$B$59,RANDBETWEEN(1,$E$3)),"")</x:f>
      </x:c>
      <x:c r="N148" s="68" t="str">
        <x:f>IF(COLUMN()-2&lt;=$E$3,INDEX($B$10:$B$59,RANDBETWEEN(1,$E$3)),"")</x:f>
      </x:c>
      <x:c r="O148" s="68" t="str">
        <x:f>IF(COLUMN()-2&lt;=$E$3,INDEX($B$10:$B$59,RANDBETWEEN(1,$E$3)),"")</x:f>
      </x:c>
      <x:c r="P148" s="68" t="str">
        <x:f>IF(COLUMN()-2&lt;=$E$3,INDEX($B$10:$B$59,RANDBETWEEN(1,$E$3)),"")</x:f>
      </x:c>
      <x:c r="Q148" s="68" t="str">
        <x:f>IF(COLUMN()-2&lt;=$E$3,INDEX($B$10:$B$59,RANDBETWEEN(1,$E$3)),"")</x:f>
      </x:c>
      <x:c r="R148" s="68" t="str">
        <x:f>IF(COLUMN()-2&lt;=$E$3,INDEX($B$10:$B$59,RANDBETWEEN(1,$E$3)),"")</x:f>
      </x:c>
      <x:c r="S148" s="68" t="str">
        <x:f>IF(COLUMN()-2&lt;=$E$3,INDEX($B$10:$B$59,RANDBETWEEN(1,$E$3)),"")</x:f>
      </x:c>
      <x:c r="T148" s="68" t="str">
        <x:f>IF(COLUMN()-2&lt;=$E$3,INDEX($B$10:$B$59,RANDBETWEEN(1,$E$3)),"")</x:f>
      </x:c>
      <x:c r="U148" s="68" t="str">
        <x:f>IF(COLUMN()-2&lt;=$E$3,INDEX($B$10:$B$59,RANDBETWEEN(1,$E$3)),"")</x:f>
      </x:c>
      <x:c r="V148" s="68" t="str">
        <x:f>IF(COLUMN()-2&lt;=$E$3,INDEX($B$10:$B$59,RANDBETWEEN(1,$E$3)),"")</x:f>
      </x:c>
      <x:c r="W148" s="68" t="str">
        <x:f>IF(COLUMN()-2&lt;=$E$3,INDEX($B$10:$B$59,RANDBETWEEN(1,$E$3)),"")</x:f>
      </x:c>
      <x:c r="X148" s="68" t="str">
        <x:f>IF(COLUMN()-2&lt;=$E$3,INDEX($B$10:$B$59,RANDBETWEEN(1,$E$3)),"")</x:f>
      </x:c>
      <x:c r="Y148" s="68" t="str">
        <x:f>IF(COLUMN()-2&lt;=$E$3,INDEX($B$10:$B$59,RANDBETWEEN(1,$E$3)),"")</x:f>
      </x:c>
      <x:c r="Z148" s="68" t="str">
        <x:f>IF(COLUMN()-2&lt;=$E$3,INDEX($B$10:$B$59,RANDBETWEEN(1,$E$3)),"")</x:f>
      </x:c>
      <x:c r="AA148" s="68" t="str">
        <x:f>IF(COLUMN()-2&lt;=$E$3,INDEX($B$10:$B$59,RANDBETWEEN(1,$E$3)),"")</x:f>
      </x:c>
      <x:c r="AB148" s="68" t="str">
        <x:f>IF(COLUMN()-2&lt;=$E$3,INDEX($B$10:$B$59,RANDBETWEEN(1,$E$3)),"")</x:f>
      </x:c>
      <x:c r="AC148" s="68" t="str">
        <x:f>IF(COLUMN()-2&lt;=$E$3,INDEX($B$10:$B$59,RANDBETWEEN(1,$E$3)),"")</x:f>
      </x:c>
      <x:c r="AD148" s="68" t="str">
        <x:f>IF(COLUMN()-2&lt;=$E$3,INDEX($B$10:$B$59,RANDBETWEEN(1,$E$3)),"")</x:f>
      </x:c>
      <x:c r="AE148" s="68" t="str">
        <x:f>IF(COLUMN()-2&lt;=$E$3,INDEX($B$10:$B$59,RANDBETWEEN(1,$E$3)),"")</x:f>
      </x:c>
      <x:c r="AF148" s="68" t="str">
        <x:f>IF(COLUMN()-2&lt;=$E$3,INDEX($B$10:$B$59,RANDBETWEEN(1,$E$3)),"")</x:f>
      </x:c>
      <x:c r="AG148" s="68" t="str">
        <x:f>IF(COLUMN()-2&lt;=$E$3,INDEX($B$10:$B$59,RANDBETWEEN(1,$E$3)),"")</x:f>
      </x:c>
      <x:c r="AH148" s="68" t="str">
        <x:f>IF(COLUMN()-2&lt;=$E$3,INDEX($B$10:$B$59,RANDBETWEEN(1,$E$3)),"")</x:f>
      </x:c>
      <x:c r="AI148" s="68" t="str">
        <x:f>IF(COLUMN()-2&lt;=$E$3,INDEX($B$10:$B$59,RANDBETWEEN(1,$E$3)),"")</x:f>
      </x:c>
      <x:c r="AJ148" s="68" t="str">
        <x:f>IF(COLUMN()-2&lt;=$E$3,INDEX($B$10:$B$59,RANDBETWEEN(1,$E$3)),"")</x:f>
      </x:c>
      <x:c r="AK148" s="68" t="str">
        <x:f>IF(COLUMN()-2&lt;=$E$3,INDEX($B$10:$B$59,RANDBETWEEN(1,$E$3)),"")</x:f>
      </x:c>
      <x:c r="AL148" s="68" t="str">
        <x:f>IF(COLUMN()-2&lt;=$E$3,INDEX($B$10:$B$59,RANDBETWEEN(1,$E$3)),"")</x:f>
      </x:c>
      <x:c r="AM148" s="68" t="str">
        <x:f>IF(COLUMN()-2&lt;=$E$3,INDEX($B$10:$B$59,RANDBETWEEN(1,$E$3)),"")</x:f>
      </x:c>
      <x:c r="AN148" s="68" t="str">
        <x:f>IF(COLUMN()-2&lt;=$E$3,INDEX($B$10:$B$59,RANDBETWEEN(1,$E$3)),"")</x:f>
      </x:c>
      <x:c r="AO148" s="68" t="str">
        <x:f>IF(COLUMN()-2&lt;=$E$3,INDEX($B$10:$B$59,RANDBETWEEN(1,$E$3)),"")</x:f>
      </x:c>
      <x:c r="AP148" s="68" t="str">
        <x:f>IF(COLUMN()-2&lt;=$E$3,INDEX($B$10:$B$59,RANDBETWEEN(1,$E$3)),"")</x:f>
      </x:c>
      <x:c r="AQ148" s="68" t="str">
        <x:f>IF(COLUMN()-2&lt;=$E$3,INDEX($B$10:$B$59,RANDBETWEEN(1,$E$3)),"")</x:f>
      </x:c>
      <x:c r="AR148" s="68" t="str">
        <x:f>IF(COLUMN()-2&lt;=$E$3,INDEX($B$10:$B$59,RANDBETWEEN(1,$E$3)),"")</x:f>
      </x:c>
      <x:c r="AS148" s="68" t="str">
        <x:f>IF(COLUMN()-2&lt;=$E$3,INDEX($B$10:$B$59,RANDBETWEEN(1,$E$3)),"")</x:f>
      </x:c>
      <x:c r="AT148" s="68" t="str">
        <x:f>IF(COLUMN()-2&lt;=$E$3,INDEX($B$10:$B$59,RANDBETWEEN(1,$E$3)),"")</x:f>
      </x:c>
      <x:c r="AU148" s="68" t="str">
        <x:f>IF(COLUMN()-2&lt;=$E$3,INDEX($B$10:$B$59,RANDBETWEEN(1,$E$3)),"")</x:f>
      </x:c>
      <x:c r="AV148" s="68" t="str">
        <x:f>IF(COLUMN()-2&lt;=$E$3,INDEX($B$10:$B$59,RANDBETWEEN(1,$E$3)),"")</x:f>
      </x:c>
      <x:c r="AW148" s="68" t="str">
        <x:f>IF(COLUMN()-2&lt;=$E$3,INDEX($B$10:$B$59,RANDBETWEEN(1,$E$3)),"")</x:f>
      </x:c>
      <x:c r="AX148" s="68" t="str">
        <x:f>IF(COLUMN()-2&lt;=$E$3,INDEX($B$10:$B$59,RANDBETWEEN(1,$E$3)),"")</x:f>
      </x:c>
      <x:c r="AY148" s="68" t="str">
        <x:f>IF(COLUMN()-2&lt;=$E$3,INDEX($B$10:$B$59,RANDBETWEEN(1,$E$3)),"")</x:f>
      </x:c>
      <x:c r="AZ148" s="68" t="str">
        <x:f>IF(COLUMN()-2&lt;=$E$3,INDEX($B$10:$B$59,RANDBETWEEN(1,$E$3)),"")</x:f>
      </x:c>
      <x:c r="BA148" s="68" t="str">
        <x:f>IF($E$3=0,"",AVERAGE(C148:AZ148))</x:f>
      </x:c>
    </x:row>
    <x:row r="149">
      <x:c r="A149" t="n">
        <x:v>85</x:v>
      </x:c>
      <x:c r="C149" s="68" t="str">
        <x:f>IF(COLUMN()-2&lt;=$E$3,INDEX($B$10:$B$59,RANDBETWEEN(1,$E$3)),"")</x:f>
      </x:c>
      <x:c r="D149" s="68" t="str">
        <x:f>IF(COLUMN()-2&lt;=$E$3,INDEX($B$10:$B$59,RANDBETWEEN(1,$E$3)),"")</x:f>
      </x:c>
      <x:c r="E149" s="68" t="str">
        <x:f>IF(COLUMN()-2&lt;=$E$3,INDEX($B$10:$B$59,RANDBETWEEN(1,$E$3)),"")</x:f>
      </x:c>
      <x:c r="F149" s="68" t="str">
        <x:f>IF(COLUMN()-2&lt;=$E$3,INDEX($B$10:$B$59,RANDBETWEEN(1,$E$3)),"")</x:f>
      </x:c>
      <x:c r="G149" s="68" t="str">
        <x:f>IF(COLUMN()-2&lt;=$E$3,INDEX($B$10:$B$59,RANDBETWEEN(1,$E$3)),"")</x:f>
      </x:c>
      <x:c r="H149" s="68" t="str">
        <x:f>IF(COLUMN()-2&lt;=$E$3,INDEX($B$10:$B$59,RANDBETWEEN(1,$E$3)),"")</x:f>
      </x:c>
      <x:c r="I149" s="68" t="str">
        <x:f>IF(COLUMN()-2&lt;=$E$3,INDEX($B$10:$B$59,RANDBETWEEN(1,$E$3)),"")</x:f>
      </x:c>
      <x:c r="J149" s="68" t="str">
        <x:f>IF(COLUMN()-2&lt;=$E$3,INDEX($B$10:$B$59,RANDBETWEEN(1,$E$3)),"")</x:f>
      </x:c>
      <x:c r="K149" s="68" t="str">
        <x:f>IF(COLUMN()-2&lt;=$E$3,INDEX($B$10:$B$59,RANDBETWEEN(1,$E$3)),"")</x:f>
      </x:c>
      <x:c r="L149" s="68" t="str">
        <x:f>IF(COLUMN()-2&lt;=$E$3,INDEX($B$10:$B$59,RANDBETWEEN(1,$E$3)),"")</x:f>
      </x:c>
      <x:c r="M149" s="68" t="str">
        <x:f>IF(COLUMN()-2&lt;=$E$3,INDEX($B$10:$B$59,RANDBETWEEN(1,$E$3)),"")</x:f>
      </x:c>
      <x:c r="N149" s="68" t="str">
        <x:f>IF(COLUMN()-2&lt;=$E$3,INDEX($B$10:$B$59,RANDBETWEEN(1,$E$3)),"")</x:f>
      </x:c>
      <x:c r="O149" s="68" t="str">
        <x:f>IF(COLUMN()-2&lt;=$E$3,INDEX($B$10:$B$59,RANDBETWEEN(1,$E$3)),"")</x:f>
      </x:c>
      <x:c r="P149" s="68" t="str">
        <x:f>IF(COLUMN()-2&lt;=$E$3,INDEX($B$10:$B$59,RANDBETWEEN(1,$E$3)),"")</x:f>
      </x:c>
      <x:c r="Q149" s="68" t="str">
        <x:f>IF(COLUMN()-2&lt;=$E$3,INDEX($B$10:$B$59,RANDBETWEEN(1,$E$3)),"")</x:f>
      </x:c>
      <x:c r="R149" s="68" t="str">
        <x:f>IF(COLUMN()-2&lt;=$E$3,INDEX($B$10:$B$59,RANDBETWEEN(1,$E$3)),"")</x:f>
      </x:c>
      <x:c r="S149" s="68" t="str">
        <x:f>IF(COLUMN()-2&lt;=$E$3,INDEX($B$10:$B$59,RANDBETWEEN(1,$E$3)),"")</x:f>
      </x:c>
      <x:c r="T149" s="68" t="str">
        <x:f>IF(COLUMN()-2&lt;=$E$3,INDEX($B$10:$B$59,RANDBETWEEN(1,$E$3)),"")</x:f>
      </x:c>
      <x:c r="U149" s="68" t="str">
        <x:f>IF(COLUMN()-2&lt;=$E$3,INDEX($B$10:$B$59,RANDBETWEEN(1,$E$3)),"")</x:f>
      </x:c>
      <x:c r="V149" s="68" t="str">
        <x:f>IF(COLUMN()-2&lt;=$E$3,INDEX($B$10:$B$59,RANDBETWEEN(1,$E$3)),"")</x:f>
      </x:c>
      <x:c r="W149" s="68" t="str">
        <x:f>IF(COLUMN()-2&lt;=$E$3,INDEX($B$10:$B$59,RANDBETWEEN(1,$E$3)),"")</x:f>
      </x:c>
      <x:c r="X149" s="68" t="str">
        <x:f>IF(COLUMN()-2&lt;=$E$3,INDEX($B$10:$B$59,RANDBETWEEN(1,$E$3)),"")</x:f>
      </x:c>
      <x:c r="Y149" s="68" t="str">
        <x:f>IF(COLUMN()-2&lt;=$E$3,INDEX($B$10:$B$59,RANDBETWEEN(1,$E$3)),"")</x:f>
      </x:c>
      <x:c r="Z149" s="68" t="str">
        <x:f>IF(COLUMN()-2&lt;=$E$3,INDEX($B$10:$B$59,RANDBETWEEN(1,$E$3)),"")</x:f>
      </x:c>
      <x:c r="AA149" s="68" t="str">
        <x:f>IF(COLUMN()-2&lt;=$E$3,INDEX($B$10:$B$59,RANDBETWEEN(1,$E$3)),"")</x:f>
      </x:c>
      <x:c r="AB149" s="68" t="str">
        <x:f>IF(COLUMN()-2&lt;=$E$3,INDEX($B$10:$B$59,RANDBETWEEN(1,$E$3)),"")</x:f>
      </x:c>
      <x:c r="AC149" s="68" t="str">
        <x:f>IF(COLUMN()-2&lt;=$E$3,INDEX($B$10:$B$59,RANDBETWEEN(1,$E$3)),"")</x:f>
      </x:c>
      <x:c r="AD149" s="68" t="str">
        <x:f>IF(COLUMN()-2&lt;=$E$3,INDEX($B$10:$B$59,RANDBETWEEN(1,$E$3)),"")</x:f>
      </x:c>
      <x:c r="AE149" s="68" t="str">
        <x:f>IF(COLUMN()-2&lt;=$E$3,INDEX($B$10:$B$59,RANDBETWEEN(1,$E$3)),"")</x:f>
      </x:c>
      <x:c r="AF149" s="68" t="str">
        <x:f>IF(COLUMN()-2&lt;=$E$3,INDEX($B$10:$B$59,RANDBETWEEN(1,$E$3)),"")</x:f>
      </x:c>
      <x:c r="AG149" s="68" t="str">
        <x:f>IF(COLUMN()-2&lt;=$E$3,INDEX($B$10:$B$59,RANDBETWEEN(1,$E$3)),"")</x:f>
      </x:c>
      <x:c r="AH149" s="68" t="str">
        <x:f>IF(COLUMN()-2&lt;=$E$3,INDEX($B$10:$B$59,RANDBETWEEN(1,$E$3)),"")</x:f>
      </x:c>
      <x:c r="AI149" s="68" t="str">
        <x:f>IF(COLUMN()-2&lt;=$E$3,INDEX($B$10:$B$59,RANDBETWEEN(1,$E$3)),"")</x:f>
      </x:c>
      <x:c r="AJ149" s="68" t="str">
        <x:f>IF(COLUMN()-2&lt;=$E$3,INDEX($B$10:$B$59,RANDBETWEEN(1,$E$3)),"")</x:f>
      </x:c>
      <x:c r="AK149" s="68" t="str">
        <x:f>IF(COLUMN()-2&lt;=$E$3,INDEX($B$10:$B$59,RANDBETWEEN(1,$E$3)),"")</x:f>
      </x:c>
      <x:c r="AL149" s="68" t="str">
        <x:f>IF(COLUMN()-2&lt;=$E$3,INDEX($B$10:$B$59,RANDBETWEEN(1,$E$3)),"")</x:f>
      </x:c>
      <x:c r="AM149" s="68" t="str">
        <x:f>IF(COLUMN()-2&lt;=$E$3,INDEX($B$10:$B$59,RANDBETWEEN(1,$E$3)),"")</x:f>
      </x:c>
      <x:c r="AN149" s="68" t="str">
        <x:f>IF(COLUMN()-2&lt;=$E$3,INDEX($B$10:$B$59,RANDBETWEEN(1,$E$3)),"")</x:f>
      </x:c>
      <x:c r="AO149" s="68" t="str">
        <x:f>IF(COLUMN()-2&lt;=$E$3,INDEX($B$10:$B$59,RANDBETWEEN(1,$E$3)),"")</x:f>
      </x:c>
      <x:c r="AP149" s="68" t="str">
        <x:f>IF(COLUMN()-2&lt;=$E$3,INDEX($B$10:$B$59,RANDBETWEEN(1,$E$3)),"")</x:f>
      </x:c>
      <x:c r="AQ149" s="68" t="str">
        <x:f>IF(COLUMN()-2&lt;=$E$3,INDEX($B$10:$B$59,RANDBETWEEN(1,$E$3)),"")</x:f>
      </x:c>
      <x:c r="AR149" s="68" t="str">
        <x:f>IF(COLUMN()-2&lt;=$E$3,INDEX($B$10:$B$59,RANDBETWEEN(1,$E$3)),"")</x:f>
      </x:c>
      <x:c r="AS149" s="68" t="str">
        <x:f>IF(COLUMN()-2&lt;=$E$3,INDEX($B$10:$B$59,RANDBETWEEN(1,$E$3)),"")</x:f>
      </x:c>
      <x:c r="AT149" s="68" t="str">
        <x:f>IF(COLUMN()-2&lt;=$E$3,INDEX($B$10:$B$59,RANDBETWEEN(1,$E$3)),"")</x:f>
      </x:c>
      <x:c r="AU149" s="68" t="str">
        <x:f>IF(COLUMN()-2&lt;=$E$3,INDEX($B$10:$B$59,RANDBETWEEN(1,$E$3)),"")</x:f>
      </x:c>
      <x:c r="AV149" s="68" t="str">
        <x:f>IF(COLUMN()-2&lt;=$E$3,INDEX($B$10:$B$59,RANDBETWEEN(1,$E$3)),"")</x:f>
      </x:c>
      <x:c r="AW149" s="68" t="str">
        <x:f>IF(COLUMN()-2&lt;=$E$3,INDEX($B$10:$B$59,RANDBETWEEN(1,$E$3)),"")</x:f>
      </x:c>
      <x:c r="AX149" s="68" t="str">
        <x:f>IF(COLUMN()-2&lt;=$E$3,INDEX($B$10:$B$59,RANDBETWEEN(1,$E$3)),"")</x:f>
      </x:c>
      <x:c r="AY149" s="68" t="str">
        <x:f>IF(COLUMN()-2&lt;=$E$3,INDEX($B$10:$B$59,RANDBETWEEN(1,$E$3)),"")</x:f>
      </x:c>
      <x:c r="AZ149" s="68" t="str">
        <x:f>IF(COLUMN()-2&lt;=$E$3,INDEX($B$10:$B$59,RANDBETWEEN(1,$E$3)),"")</x:f>
      </x:c>
      <x:c r="BA149" s="68" t="str">
        <x:f>IF($E$3=0,"",AVERAGE(C149:AZ149))</x:f>
      </x:c>
    </x:row>
    <x:row r="150">
      <x:c r="A150" t="n">
        <x:v>86</x:v>
      </x:c>
      <x:c r="C150" s="68" t="str">
        <x:f>IF(COLUMN()-2&lt;=$E$3,INDEX($B$10:$B$59,RANDBETWEEN(1,$E$3)),"")</x:f>
      </x:c>
      <x:c r="D150" s="68" t="str">
        <x:f>IF(COLUMN()-2&lt;=$E$3,INDEX($B$10:$B$59,RANDBETWEEN(1,$E$3)),"")</x:f>
      </x:c>
      <x:c r="E150" s="68" t="str">
        <x:f>IF(COLUMN()-2&lt;=$E$3,INDEX($B$10:$B$59,RANDBETWEEN(1,$E$3)),"")</x:f>
      </x:c>
      <x:c r="F150" s="68" t="str">
        <x:f>IF(COLUMN()-2&lt;=$E$3,INDEX($B$10:$B$59,RANDBETWEEN(1,$E$3)),"")</x:f>
      </x:c>
      <x:c r="G150" s="68" t="str">
        <x:f>IF(COLUMN()-2&lt;=$E$3,INDEX($B$10:$B$59,RANDBETWEEN(1,$E$3)),"")</x:f>
      </x:c>
      <x:c r="H150" s="68" t="str">
        <x:f>IF(COLUMN()-2&lt;=$E$3,INDEX($B$10:$B$59,RANDBETWEEN(1,$E$3)),"")</x:f>
      </x:c>
      <x:c r="I150" s="68" t="str">
        <x:f>IF(COLUMN()-2&lt;=$E$3,INDEX($B$10:$B$59,RANDBETWEEN(1,$E$3)),"")</x:f>
      </x:c>
      <x:c r="J150" s="68" t="str">
        <x:f>IF(COLUMN()-2&lt;=$E$3,INDEX($B$10:$B$59,RANDBETWEEN(1,$E$3)),"")</x:f>
      </x:c>
      <x:c r="K150" s="68" t="str">
        <x:f>IF(COLUMN()-2&lt;=$E$3,INDEX($B$10:$B$59,RANDBETWEEN(1,$E$3)),"")</x:f>
      </x:c>
      <x:c r="L150" s="68" t="str">
        <x:f>IF(COLUMN()-2&lt;=$E$3,INDEX($B$10:$B$59,RANDBETWEEN(1,$E$3)),"")</x:f>
      </x:c>
      <x:c r="M150" s="68" t="str">
        <x:f>IF(COLUMN()-2&lt;=$E$3,INDEX($B$10:$B$59,RANDBETWEEN(1,$E$3)),"")</x:f>
      </x:c>
      <x:c r="N150" s="68" t="str">
        <x:f>IF(COLUMN()-2&lt;=$E$3,INDEX($B$10:$B$59,RANDBETWEEN(1,$E$3)),"")</x:f>
      </x:c>
      <x:c r="O150" s="68" t="str">
        <x:f>IF(COLUMN()-2&lt;=$E$3,INDEX($B$10:$B$59,RANDBETWEEN(1,$E$3)),"")</x:f>
      </x:c>
      <x:c r="P150" s="68" t="str">
        <x:f>IF(COLUMN()-2&lt;=$E$3,INDEX($B$10:$B$59,RANDBETWEEN(1,$E$3)),"")</x:f>
      </x:c>
      <x:c r="Q150" s="68" t="str">
        <x:f>IF(COLUMN()-2&lt;=$E$3,INDEX($B$10:$B$59,RANDBETWEEN(1,$E$3)),"")</x:f>
      </x:c>
      <x:c r="R150" s="68" t="str">
        <x:f>IF(COLUMN()-2&lt;=$E$3,INDEX($B$10:$B$59,RANDBETWEEN(1,$E$3)),"")</x:f>
      </x:c>
      <x:c r="S150" s="68" t="str">
        <x:f>IF(COLUMN()-2&lt;=$E$3,INDEX($B$10:$B$59,RANDBETWEEN(1,$E$3)),"")</x:f>
      </x:c>
      <x:c r="T150" s="68" t="str">
        <x:f>IF(COLUMN()-2&lt;=$E$3,INDEX($B$10:$B$59,RANDBETWEEN(1,$E$3)),"")</x:f>
      </x:c>
      <x:c r="U150" s="68" t="str">
        <x:f>IF(COLUMN()-2&lt;=$E$3,INDEX($B$10:$B$59,RANDBETWEEN(1,$E$3)),"")</x:f>
      </x:c>
      <x:c r="V150" s="68" t="str">
        <x:f>IF(COLUMN()-2&lt;=$E$3,INDEX($B$10:$B$59,RANDBETWEEN(1,$E$3)),"")</x:f>
      </x:c>
      <x:c r="W150" s="68" t="str">
        <x:f>IF(COLUMN()-2&lt;=$E$3,INDEX($B$10:$B$59,RANDBETWEEN(1,$E$3)),"")</x:f>
      </x:c>
      <x:c r="X150" s="68" t="str">
        <x:f>IF(COLUMN()-2&lt;=$E$3,INDEX($B$10:$B$59,RANDBETWEEN(1,$E$3)),"")</x:f>
      </x:c>
      <x:c r="Y150" s="68" t="str">
        <x:f>IF(COLUMN()-2&lt;=$E$3,INDEX($B$10:$B$59,RANDBETWEEN(1,$E$3)),"")</x:f>
      </x:c>
      <x:c r="Z150" s="68" t="str">
        <x:f>IF(COLUMN()-2&lt;=$E$3,INDEX($B$10:$B$59,RANDBETWEEN(1,$E$3)),"")</x:f>
      </x:c>
      <x:c r="AA150" s="68" t="str">
        <x:f>IF(COLUMN()-2&lt;=$E$3,INDEX($B$10:$B$59,RANDBETWEEN(1,$E$3)),"")</x:f>
      </x:c>
      <x:c r="AB150" s="68" t="str">
        <x:f>IF(COLUMN()-2&lt;=$E$3,INDEX($B$10:$B$59,RANDBETWEEN(1,$E$3)),"")</x:f>
      </x:c>
      <x:c r="AC150" s="68" t="str">
        <x:f>IF(COLUMN()-2&lt;=$E$3,INDEX($B$10:$B$59,RANDBETWEEN(1,$E$3)),"")</x:f>
      </x:c>
      <x:c r="AD150" s="68" t="str">
        <x:f>IF(COLUMN()-2&lt;=$E$3,INDEX($B$10:$B$59,RANDBETWEEN(1,$E$3)),"")</x:f>
      </x:c>
      <x:c r="AE150" s="68" t="str">
        <x:f>IF(COLUMN()-2&lt;=$E$3,INDEX($B$10:$B$59,RANDBETWEEN(1,$E$3)),"")</x:f>
      </x:c>
      <x:c r="AF150" s="68" t="str">
        <x:f>IF(COLUMN()-2&lt;=$E$3,INDEX($B$10:$B$59,RANDBETWEEN(1,$E$3)),"")</x:f>
      </x:c>
      <x:c r="AG150" s="68" t="str">
        <x:f>IF(COLUMN()-2&lt;=$E$3,INDEX($B$10:$B$59,RANDBETWEEN(1,$E$3)),"")</x:f>
      </x:c>
      <x:c r="AH150" s="68" t="str">
        <x:f>IF(COLUMN()-2&lt;=$E$3,INDEX($B$10:$B$59,RANDBETWEEN(1,$E$3)),"")</x:f>
      </x:c>
      <x:c r="AI150" s="68" t="str">
        <x:f>IF(COLUMN()-2&lt;=$E$3,INDEX($B$10:$B$59,RANDBETWEEN(1,$E$3)),"")</x:f>
      </x:c>
      <x:c r="AJ150" s="68" t="str">
        <x:f>IF(COLUMN()-2&lt;=$E$3,INDEX($B$10:$B$59,RANDBETWEEN(1,$E$3)),"")</x:f>
      </x:c>
      <x:c r="AK150" s="68" t="str">
        <x:f>IF(COLUMN()-2&lt;=$E$3,INDEX($B$10:$B$59,RANDBETWEEN(1,$E$3)),"")</x:f>
      </x:c>
      <x:c r="AL150" s="68" t="str">
        <x:f>IF(COLUMN()-2&lt;=$E$3,INDEX($B$10:$B$59,RANDBETWEEN(1,$E$3)),"")</x:f>
      </x:c>
      <x:c r="AM150" s="68" t="str">
        <x:f>IF(COLUMN()-2&lt;=$E$3,INDEX($B$10:$B$59,RANDBETWEEN(1,$E$3)),"")</x:f>
      </x:c>
      <x:c r="AN150" s="68" t="str">
        <x:f>IF(COLUMN()-2&lt;=$E$3,INDEX($B$10:$B$59,RANDBETWEEN(1,$E$3)),"")</x:f>
      </x:c>
      <x:c r="AO150" s="68" t="str">
        <x:f>IF(COLUMN()-2&lt;=$E$3,INDEX($B$10:$B$59,RANDBETWEEN(1,$E$3)),"")</x:f>
      </x:c>
      <x:c r="AP150" s="68" t="str">
        <x:f>IF(COLUMN()-2&lt;=$E$3,INDEX($B$10:$B$59,RANDBETWEEN(1,$E$3)),"")</x:f>
      </x:c>
      <x:c r="AQ150" s="68" t="str">
        <x:f>IF(COLUMN()-2&lt;=$E$3,INDEX($B$10:$B$59,RANDBETWEEN(1,$E$3)),"")</x:f>
      </x:c>
      <x:c r="AR150" s="68" t="str">
        <x:f>IF(COLUMN()-2&lt;=$E$3,INDEX($B$10:$B$59,RANDBETWEEN(1,$E$3)),"")</x:f>
      </x:c>
      <x:c r="AS150" s="68" t="str">
        <x:f>IF(COLUMN()-2&lt;=$E$3,INDEX($B$10:$B$59,RANDBETWEEN(1,$E$3)),"")</x:f>
      </x:c>
      <x:c r="AT150" s="68" t="str">
        <x:f>IF(COLUMN()-2&lt;=$E$3,INDEX($B$10:$B$59,RANDBETWEEN(1,$E$3)),"")</x:f>
      </x:c>
      <x:c r="AU150" s="68" t="str">
        <x:f>IF(COLUMN()-2&lt;=$E$3,INDEX($B$10:$B$59,RANDBETWEEN(1,$E$3)),"")</x:f>
      </x:c>
      <x:c r="AV150" s="68" t="str">
        <x:f>IF(COLUMN()-2&lt;=$E$3,INDEX($B$10:$B$59,RANDBETWEEN(1,$E$3)),"")</x:f>
      </x:c>
      <x:c r="AW150" s="68" t="str">
        <x:f>IF(COLUMN()-2&lt;=$E$3,INDEX($B$10:$B$59,RANDBETWEEN(1,$E$3)),"")</x:f>
      </x:c>
      <x:c r="AX150" s="68" t="str">
        <x:f>IF(COLUMN()-2&lt;=$E$3,INDEX($B$10:$B$59,RANDBETWEEN(1,$E$3)),"")</x:f>
      </x:c>
      <x:c r="AY150" s="68" t="str">
        <x:f>IF(COLUMN()-2&lt;=$E$3,INDEX($B$10:$B$59,RANDBETWEEN(1,$E$3)),"")</x:f>
      </x:c>
      <x:c r="AZ150" s="68" t="str">
        <x:f>IF(COLUMN()-2&lt;=$E$3,INDEX($B$10:$B$59,RANDBETWEEN(1,$E$3)),"")</x:f>
      </x:c>
      <x:c r="BA150" s="68" t="str">
        <x:f>IF($E$3=0,"",AVERAGE(C150:AZ150))</x:f>
      </x:c>
    </x:row>
    <x:row r="151">
      <x:c r="A151" t="n">
        <x:v>87</x:v>
      </x:c>
      <x:c r="C151" s="68" t="str">
        <x:f>IF(COLUMN()-2&lt;=$E$3,INDEX($B$10:$B$59,RANDBETWEEN(1,$E$3)),"")</x:f>
      </x:c>
      <x:c r="D151" s="68" t="str">
        <x:f>IF(COLUMN()-2&lt;=$E$3,INDEX($B$10:$B$59,RANDBETWEEN(1,$E$3)),"")</x:f>
      </x:c>
      <x:c r="E151" s="68" t="str">
        <x:f>IF(COLUMN()-2&lt;=$E$3,INDEX($B$10:$B$59,RANDBETWEEN(1,$E$3)),"")</x:f>
      </x:c>
      <x:c r="F151" s="68" t="str">
        <x:f>IF(COLUMN()-2&lt;=$E$3,INDEX($B$10:$B$59,RANDBETWEEN(1,$E$3)),"")</x:f>
      </x:c>
      <x:c r="G151" s="68" t="str">
        <x:f>IF(COLUMN()-2&lt;=$E$3,INDEX($B$10:$B$59,RANDBETWEEN(1,$E$3)),"")</x:f>
      </x:c>
      <x:c r="H151" s="68" t="str">
        <x:f>IF(COLUMN()-2&lt;=$E$3,INDEX($B$10:$B$59,RANDBETWEEN(1,$E$3)),"")</x:f>
      </x:c>
      <x:c r="I151" s="68" t="str">
        <x:f>IF(COLUMN()-2&lt;=$E$3,INDEX($B$10:$B$59,RANDBETWEEN(1,$E$3)),"")</x:f>
      </x:c>
      <x:c r="J151" s="68" t="str">
        <x:f>IF(COLUMN()-2&lt;=$E$3,INDEX($B$10:$B$59,RANDBETWEEN(1,$E$3)),"")</x:f>
      </x:c>
      <x:c r="K151" s="68" t="str">
        <x:f>IF(COLUMN()-2&lt;=$E$3,INDEX($B$10:$B$59,RANDBETWEEN(1,$E$3)),"")</x:f>
      </x:c>
      <x:c r="L151" s="68" t="str">
        <x:f>IF(COLUMN()-2&lt;=$E$3,INDEX($B$10:$B$59,RANDBETWEEN(1,$E$3)),"")</x:f>
      </x:c>
      <x:c r="M151" s="68" t="str">
        <x:f>IF(COLUMN()-2&lt;=$E$3,INDEX($B$10:$B$59,RANDBETWEEN(1,$E$3)),"")</x:f>
      </x:c>
      <x:c r="N151" s="68" t="str">
        <x:f>IF(COLUMN()-2&lt;=$E$3,INDEX($B$10:$B$59,RANDBETWEEN(1,$E$3)),"")</x:f>
      </x:c>
      <x:c r="O151" s="68" t="str">
        <x:f>IF(COLUMN()-2&lt;=$E$3,INDEX($B$10:$B$59,RANDBETWEEN(1,$E$3)),"")</x:f>
      </x:c>
      <x:c r="P151" s="68" t="str">
        <x:f>IF(COLUMN()-2&lt;=$E$3,INDEX($B$10:$B$59,RANDBETWEEN(1,$E$3)),"")</x:f>
      </x:c>
      <x:c r="Q151" s="68" t="str">
        <x:f>IF(COLUMN()-2&lt;=$E$3,INDEX($B$10:$B$59,RANDBETWEEN(1,$E$3)),"")</x:f>
      </x:c>
      <x:c r="R151" s="68" t="str">
        <x:f>IF(COLUMN()-2&lt;=$E$3,INDEX($B$10:$B$59,RANDBETWEEN(1,$E$3)),"")</x:f>
      </x:c>
      <x:c r="S151" s="68" t="str">
        <x:f>IF(COLUMN()-2&lt;=$E$3,INDEX($B$10:$B$59,RANDBETWEEN(1,$E$3)),"")</x:f>
      </x:c>
      <x:c r="T151" s="68" t="str">
        <x:f>IF(COLUMN()-2&lt;=$E$3,INDEX($B$10:$B$59,RANDBETWEEN(1,$E$3)),"")</x:f>
      </x:c>
      <x:c r="U151" s="68" t="str">
        <x:f>IF(COLUMN()-2&lt;=$E$3,INDEX($B$10:$B$59,RANDBETWEEN(1,$E$3)),"")</x:f>
      </x:c>
      <x:c r="V151" s="68" t="str">
        <x:f>IF(COLUMN()-2&lt;=$E$3,INDEX($B$10:$B$59,RANDBETWEEN(1,$E$3)),"")</x:f>
      </x:c>
      <x:c r="W151" s="68" t="str">
        <x:f>IF(COLUMN()-2&lt;=$E$3,INDEX($B$10:$B$59,RANDBETWEEN(1,$E$3)),"")</x:f>
      </x:c>
      <x:c r="X151" s="68" t="str">
        <x:f>IF(COLUMN()-2&lt;=$E$3,INDEX($B$10:$B$59,RANDBETWEEN(1,$E$3)),"")</x:f>
      </x:c>
      <x:c r="Y151" s="68" t="str">
        <x:f>IF(COLUMN()-2&lt;=$E$3,INDEX($B$10:$B$59,RANDBETWEEN(1,$E$3)),"")</x:f>
      </x:c>
      <x:c r="Z151" s="68" t="str">
        <x:f>IF(COLUMN()-2&lt;=$E$3,INDEX($B$10:$B$59,RANDBETWEEN(1,$E$3)),"")</x:f>
      </x:c>
      <x:c r="AA151" s="68" t="str">
        <x:f>IF(COLUMN()-2&lt;=$E$3,INDEX($B$10:$B$59,RANDBETWEEN(1,$E$3)),"")</x:f>
      </x:c>
      <x:c r="AB151" s="68" t="str">
        <x:f>IF(COLUMN()-2&lt;=$E$3,INDEX($B$10:$B$59,RANDBETWEEN(1,$E$3)),"")</x:f>
      </x:c>
      <x:c r="AC151" s="68" t="str">
        <x:f>IF(COLUMN()-2&lt;=$E$3,INDEX($B$10:$B$59,RANDBETWEEN(1,$E$3)),"")</x:f>
      </x:c>
      <x:c r="AD151" s="68" t="str">
        <x:f>IF(COLUMN()-2&lt;=$E$3,INDEX($B$10:$B$59,RANDBETWEEN(1,$E$3)),"")</x:f>
      </x:c>
      <x:c r="AE151" s="68" t="str">
        <x:f>IF(COLUMN()-2&lt;=$E$3,INDEX($B$10:$B$59,RANDBETWEEN(1,$E$3)),"")</x:f>
      </x:c>
      <x:c r="AF151" s="68" t="str">
        <x:f>IF(COLUMN()-2&lt;=$E$3,INDEX($B$10:$B$59,RANDBETWEEN(1,$E$3)),"")</x:f>
      </x:c>
      <x:c r="AG151" s="68" t="str">
        <x:f>IF(COLUMN()-2&lt;=$E$3,INDEX($B$10:$B$59,RANDBETWEEN(1,$E$3)),"")</x:f>
      </x:c>
      <x:c r="AH151" s="68" t="str">
        <x:f>IF(COLUMN()-2&lt;=$E$3,INDEX($B$10:$B$59,RANDBETWEEN(1,$E$3)),"")</x:f>
      </x:c>
      <x:c r="AI151" s="68" t="str">
        <x:f>IF(COLUMN()-2&lt;=$E$3,INDEX($B$10:$B$59,RANDBETWEEN(1,$E$3)),"")</x:f>
      </x:c>
      <x:c r="AJ151" s="68" t="str">
        <x:f>IF(COLUMN()-2&lt;=$E$3,INDEX($B$10:$B$59,RANDBETWEEN(1,$E$3)),"")</x:f>
      </x:c>
      <x:c r="AK151" s="68" t="str">
        <x:f>IF(COLUMN()-2&lt;=$E$3,INDEX($B$10:$B$59,RANDBETWEEN(1,$E$3)),"")</x:f>
      </x:c>
      <x:c r="AL151" s="68" t="str">
        <x:f>IF(COLUMN()-2&lt;=$E$3,INDEX($B$10:$B$59,RANDBETWEEN(1,$E$3)),"")</x:f>
      </x:c>
      <x:c r="AM151" s="68" t="str">
        <x:f>IF(COLUMN()-2&lt;=$E$3,INDEX($B$10:$B$59,RANDBETWEEN(1,$E$3)),"")</x:f>
      </x:c>
      <x:c r="AN151" s="68" t="str">
        <x:f>IF(COLUMN()-2&lt;=$E$3,INDEX($B$10:$B$59,RANDBETWEEN(1,$E$3)),"")</x:f>
      </x:c>
      <x:c r="AO151" s="68" t="str">
        <x:f>IF(COLUMN()-2&lt;=$E$3,INDEX($B$10:$B$59,RANDBETWEEN(1,$E$3)),"")</x:f>
      </x:c>
      <x:c r="AP151" s="68" t="str">
        <x:f>IF(COLUMN()-2&lt;=$E$3,INDEX($B$10:$B$59,RANDBETWEEN(1,$E$3)),"")</x:f>
      </x:c>
      <x:c r="AQ151" s="68" t="str">
        <x:f>IF(COLUMN()-2&lt;=$E$3,INDEX($B$10:$B$59,RANDBETWEEN(1,$E$3)),"")</x:f>
      </x:c>
      <x:c r="AR151" s="68" t="str">
        <x:f>IF(COLUMN()-2&lt;=$E$3,INDEX($B$10:$B$59,RANDBETWEEN(1,$E$3)),"")</x:f>
      </x:c>
      <x:c r="AS151" s="68" t="str">
        <x:f>IF(COLUMN()-2&lt;=$E$3,INDEX($B$10:$B$59,RANDBETWEEN(1,$E$3)),"")</x:f>
      </x:c>
      <x:c r="AT151" s="68" t="str">
        <x:f>IF(COLUMN()-2&lt;=$E$3,INDEX($B$10:$B$59,RANDBETWEEN(1,$E$3)),"")</x:f>
      </x:c>
      <x:c r="AU151" s="68" t="str">
        <x:f>IF(COLUMN()-2&lt;=$E$3,INDEX($B$10:$B$59,RANDBETWEEN(1,$E$3)),"")</x:f>
      </x:c>
      <x:c r="AV151" s="68" t="str">
        <x:f>IF(COLUMN()-2&lt;=$E$3,INDEX($B$10:$B$59,RANDBETWEEN(1,$E$3)),"")</x:f>
      </x:c>
      <x:c r="AW151" s="68" t="str">
        <x:f>IF(COLUMN()-2&lt;=$E$3,INDEX($B$10:$B$59,RANDBETWEEN(1,$E$3)),"")</x:f>
      </x:c>
      <x:c r="AX151" s="68" t="str">
        <x:f>IF(COLUMN()-2&lt;=$E$3,INDEX($B$10:$B$59,RANDBETWEEN(1,$E$3)),"")</x:f>
      </x:c>
      <x:c r="AY151" s="68" t="str">
        <x:f>IF(COLUMN()-2&lt;=$E$3,INDEX($B$10:$B$59,RANDBETWEEN(1,$E$3)),"")</x:f>
      </x:c>
      <x:c r="AZ151" s="68" t="str">
        <x:f>IF(COLUMN()-2&lt;=$E$3,INDEX($B$10:$B$59,RANDBETWEEN(1,$E$3)),"")</x:f>
      </x:c>
      <x:c r="BA151" s="68" t="str">
        <x:f>IF($E$3=0,"",AVERAGE(C151:AZ151))</x:f>
      </x:c>
    </x:row>
    <x:row r="152">
      <x:c r="A152" t="n">
        <x:v>88</x:v>
      </x:c>
      <x:c r="C152" s="68" t="str">
        <x:f>IF(COLUMN()-2&lt;=$E$3,INDEX($B$10:$B$59,RANDBETWEEN(1,$E$3)),"")</x:f>
      </x:c>
      <x:c r="D152" s="68" t="str">
        <x:f>IF(COLUMN()-2&lt;=$E$3,INDEX($B$10:$B$59,RANDBETWEEN(1,$E$3)),"")</x:f>
      </x:c>
      <x:c r="E152" s="68" t="str">
        <x:f>IF(COLUMN()-2&lt;=$E$3,INDEX($B$10:$B$59,RANDBETWEEN(1,$E$3)),"")</x:f>
      </x:c>
      <x:c r="F152" s="68" t="str">
        <x:f>IF(COLUMN()-2&lt;=$E$3,INDEX($B$10:$B$59,RANDBETWEEN(1,$E$3)),"")</x:f>
      </x:c>
      <x:c r="G152" s="68" t="str">
        <x:f>IF(COLUMN()-2&lt;=$E$3,INDEX($B$10:$B$59,RANDBETWEEN(1,$E$3)),"")</x:f>
      </x:c>
      <x:c r="H152" s="68" t="str">
        <x:f>IF(COLUMN()-2&lt;=$E$3,INDEX($B$10:$B$59,RANDBETWEEN(1,$E$3)),"")</x:f>
      </x:c>
      <x:c r="I152" s="68" t="str">
        <x:f>IF(COLUMN()-2&lt;=$E$3,INDEX($B$10:$B$59,RANDBETWEEN(1,$E$3)),"")</x:f>
      </x:c>
      <x:c r="J152" s="68" t="str">
        <x:f>IF(COLUMN()-2&lt;=$E$3,INDEX($B$10:$B$59,RANDBETWEEN(1,$E$3)),"")</x:f>
      </x:c>
      <x:c r="K152" s="68" t="str">
        <x:f>IF(COLUMN()-2&lt;=$E$3,INDEX($B$10:$B$59,RANDBETWEEN(1,$E$3)),"")</x:f>
      </x:c>
      <x:c r="L152" s="68" t="str">
        <x:f>IF(COLUMN()-2&lt;=$E$3,INDEX($B$10:$B$59,RANDBETWEEN(1,$E$3)),"")</x:f>
      </x:c>
      <x:c r="M152" s="68" t="str">
        <x:f>IF(COLUMN()-2&lt;=$E$3,INDEX($B$10:$B$59,RANDBETWEEN(1,$E$3)),"")</x:f>
      </x:c>
      <x:c r="N152" s="68" t="str">
        <x:f>IF(COLUMN()-2&lt;=$E$3,INDEX($B$10:$B$59,RANDBETWEEN(1,$E$3)),"")</x:f>
      </x:c>
      <x:c r="O152" s="68" t="str">
        <x:f>IF(COLUMN()-2&lt;=$E$3,INDEX($B$10:$B$59,RANDBETWEEN(1,$E$3)),"")</x:f>
      </x:c>
      <x:c r="P152" s="68" t="str">
        <x:f>IF(COLUMN()-2&lt;=$E$3,INDEX($B$10:$B$59,RANDBETWEEN(1,$E$3)),"")</x:f>
      </x:c>
      <x:c r="Q152" s="68" t="str">
        <x:f>IF(COLUMN()-2&lt;=$E$3,INDEX($B$10:$B$59,RANDBETWEEN(1,$E$3)),"")</x:f>
      </x:c>
      <x:c r="R152" s="68" t="str">
        <x:f>IF(COLUMN()-2&lt;=$E$3,INDEX($B$10:$B$59,RANDBETWEEN(1,$E$3)),"")</x:f>
      </x:c>
      <x:c r="S152" s="68" t="str">
        <x:f>IF(COLUMN()-2&lt;=$E$3,INDEX($B$10:$B$59,RANDBETWEEN(1,$E$3)),"")</x:f>
      </x:c>
      <x:c r="T152" s="68" t="str">
        <x:f>IF(COLUMN()-2&lt;=$E$3,INDEX($B$10:$B$59,RANDBETWEEN(1,$E$3)),"")</x:f>
      </x:c>
      <x:c r="U152" s="68" t="str">
        <x:f>IF(COLUMN()-2&lt;=$E$3,INDEX($B$10:$B$59,RANDBETWEEN(1,$E$3)),"")</x:f>
      </x:c>
      <x:c r="V152" s="68" t="str">
        <x:f>IF(COLUMN()-2&lt;=$E$3,INDEX($B$10:$B$59,RANDBETWEEN(1,$E$3)),"")</x:f>
      </x:c>
      <x:c r="W152" s="68" t="str">
        <x:f>IF(COLUMN()-2&lt;=$E$3,INDEX($B$10:$B$59,RANDBETWEEN(1,$E$3)),"")</x:f>
      </x:c>
      <x:c r="X152" s="68" t="str">
        <x:f>IF(COLUMN()-2&lt;=$E$3,INDEX($B$10:$B$59,RANDBETWEEN(1,$E$3)),"")</x:f>
      </x:c>
      <x:c r="Y152" s="68" t="str">
        <x:f>IF(COLUMN()-2&lt;=$E$3,INDEX($B$10:$B$59,RANDBETWEEN(1,$E$3)),"")</x:f>
      </x:c>
      <x:c r="Z152" s="68" t="str">
        <x:f>IF(COLUMN()-2&lt;=$E$3,INDEX($B$10:$B$59,RANDBETWEEN(1,$E$3)),"")</x:f>
      </x:c>
      <x:c r="AA152" s="68" t="str">
        <x:f>IF(COLUMN()-2&lt;=$E$3,INDEX($B$10:$B$59,RANDBETWEEN(1,$E$3)),"")</x:f>
      </x:c>
      <x:c r="AB152" s="68" t="str">
        <x:f>IF(COLUMN()-2&lt;=$E$3,INDEX($B$10:$B$59,RANDBETWEEN(1,$E$3)),"")</x:f>
      </x:c>
      <x:c r="AC152" s="68" t="str">
        <x:f>IF(COLUMN()-2&lt;=$E$3,INDEX($B$10:$B$59,RANDBETWEEN(1,$E$3)),"")</x:f>
      </x:c>
      <x:c r="AD152" s="68" t="str">
        <x:f>IF(COLUMN()-2&lt;=$E$3,INDEX($B$10:$B$59,RANDBETWEEN(1,$E$3)),"")</x:f>
      </x:c>
      <x:c r="AE152" s="68" t="str">
        <x:f>IF(COLUMN()-2&lt;=$E$3,INDEX($B$10:$B$59,RANDBETWEEN(1,$E$3)),"")</x:f>
      </x:c>
      <x:c r="AF152" s="68" t="str">
        <x:f>IF(COLUMN()-2&lt;=$E$3,INDEX($B$10:$B$59,RANDBETWEEN(1,$E$3)),"")</x:f>
      </x:c>
      <x:c r="AG152" s="68" t="str">
        <x:f>IF(COLUMN()-2&lt;=$E$3,INDEX($B$10:$B$59,RANDBETWEEN(1,$E$3)),"")</x:f>
      </x:c>
      <x:c r="AH152" s="68" t="str">
        <x:f>IF(COLUMN()-2&lt;=$E$3,INDEX($B$10:$B$59,RANDBETWEEN(1,$E$3)),"")</x:f>
      </x:c>
      <x:c r="AI152" s="68" t="str">
        <x:f>IF(COLUMN()-2&lt;=$E$3,INDEX($B$10:$B$59,RANDBETWEEN(1,$E$3)),"")</x:f>
      </x:c>
      <x:c r="AJ152" s="68" t="str">
        <x:f>IF(COLUMN()-2&lt;=$E$3,INDEX($B$10:$B$59,RANDBETWEEN(1,$E$3)),"")</x:f>
      </x:c>
      <x:c r="AK152" s="68" t="str">
        <x:f>IF(COLUMN()-2&lt;=$E$3,INDEX($B$10:$B$59,RANDBETWEEN(1,$E$3)),"")</x:f>
      </x:c>
      <x:c r="AL152" s="68" t="str">
        <x:f>IF(COLUMN()-2&lt;=$E$3,INDEX($B$10:$B$59,RANDBETWEEN(1,$E$3)),"")</x:f>
      </x:c>
      <x:c r="AM152" s="68" t="str">
        <x:f>IF(COLUMN()-2&lt;=$E$3,INDEX($B$10:$B$59,RANDBETWEEN(1,$E$3)),"")</x:f>
      </x:c>
      <x:c r="AN152" s="68" t="str">
        <x:f>IF(COLUMN()-2&lt;=$E$3,INDEX($B$10:$B$59,RANDBETWEEN(1,$E$3)),"")</x:f>
      </x:c>
      <x:c r="AO152" s="68" t="str">
        <x:f>IF(COLUMN()-2&lt;=$E$3,INDEX($B$10:$B$59,RANDBETWEEN(1,$E$3)),"")</x:f>
      </x:c>
      <x:c r="AP152" s="68" t="str">
        <x:f>IF(COLUMN()-2&lt;=$E$3,INDEX($B$10:$B$59,RANDBETWEEN(1,$E$3)),"")</x:f>
      </x:c>
      <x:c r="AQ152" s="68" t="str">
        <x:f>IF(COLUMN()-2&lt;=$E$3,INDEX($B$10:$B$59,RANDBETWEEN(1,$E$3)),"")</x:f>
      </x:c>
      <x:c r="AR152" s="68" t="str">
        <x:f>IF(COLUMN()-2&lt;=$E$3,INDEX($B$10:$B$59,RANDBETWEEN(1,$E$3)),"")</x:f>
      </x:c>
      <x:c r="AS152" s="68" t="str">
        <x:f>IF(COLUMN()-2&lt;=$E$3,INDEX($B$10:$B$59,RANDBETWEEN(1,$E$3)),"")</x:f>
      </x:c>
      <x:c r="AT152" s="68" t="str">
        <x:f>IF(COLUMN()-2&lt;=$E$3,INDEX($B$10:$B$59,RANDBETWEEN(1,$E$3)),"")</x:f>
      </x:c>
      <x:c r="AU152" s="68" t="str">
        <x:f>IF(COLUMN()-2&lt;=$E$3,INDEX($B$10:$B$59,RANDBETWEEN(1,$E$3)),"")</x:f>
      </x:c>
      <x:c r="AV152" s="68" t="str">
        <x:f>IF(COLUMN()-2&lt;=$E$3,INDEX($B$10:$B$59,RANDBETWEEN(1,$E$3)),"")</x:f>
      </x:c>
      <x:c r="AW152" s="68" t="str">
        <x:f>IF(COLUMN()-2&lt;=$E$3,INDEX($B$10:$B$59,RANDBETWEEN(1,$E$3)),"")</x:f>
      </x:c>
      <x:c r="AX152" s="68" t="str">
        <x:f>IF(COLUMN()-2&lt;=$E$3,INDEX($B$10:$B$59,RANDBETWEEN(1,$E$3)),"")</x:f>
      </x:c>
      <x:c r="AY152" s="68" t="str">
        <x:f>IF(COLUMN()-2&lt;=$E$3,INDEX($B$10:$B$59,RANDBETWEEN(1,$E$3)),"")</x:f>
      </x:c>
      <x:c r="AZ152" s="68" t="str">
        <x:f>IF(COLUMN()-2&lt;=$E$3,INDEX($B$10:$B$59,RANDBETWEEN(1,$E$3)),"")</x:f>
      </x:c>
      <x:c r="BA152" s="68" t="str">
        <x:f>IF($E$3=0,"",AVERAGE(C152:AZ152))</x:f>
      </x:c>
    </x:row>
    <x:row r="153">
      <x:c r="A153" t="n">
        <x:v>89</x:v>
      </x:c>
      <x:c r="C153" s="68" t="str">
        <x:f>IF(COLUMN()-2&lt;=$E$3,INDEX($B$10:$B$59,RANDBETWEEN(1,$E$3)),"")</x:f>
      </x:c>
      <x:c r="D153" s="68" t="str">
        <x:f>IF(COLUMN()-2&lt;=$E$3,INDEX($B$10:$B$59,RANDBETWEEN(1,$E$3)),"")</x:f>
      </x:c>
      <x:c r="E153" s="68" t="str">
        <x:f>IF(COLUMN()-2&lt;=$E$3,INDEX($B$10:$B$59,RANDBETWEEN(1,$E$3)),"")</x:f>
      </x:c>
      <x:c r="F153" s="68" t="str">
        <x:f>IF(COLUMN()-2&lt;=$E$3,INDEX($B$10:$B$59,RANDBETWEEN(1,$E$3)),"")</x:f>
      </x:c>
      <x:c r="G153" s="68" t="str">
        <x:f>IF(COLUMN()-2&lt;=$E$3,INDEX($B$10:$B$59,RANDBETWEEN(1,$E$3)),"")</x:f>
      </x:c>
      <x:c r="H153" s="68" t="str">
        <x:f>IF(COLUMN()-2&lt;=$E$3,INDEX($B$10:$B$59,RANDBETWEEN(1,$E$3)),"")</x:f>
      </x:c>
      <x:c r="I153" s="68" t="str">
        <x:f>IF(COLUMN()-2&lt;=$E$3,INDEX($B$10:$B$59,RANDBETWEEN(1,$E$3)),"")</x:f>
      </x:c>
      <x:c r="J153" s="68" t="str">
        <x:f>IF(COLUMN()-2&lt;=$E$3,INDEX($B$10:$B$59,RANDBETWEEN(1,$E$3)),"")</x:f>
      </x:c>
      <x:c r="K153" s="68" t="str">
        <x:f>IF(COLUMN()-2&lt;=$E$3,INDEX($B$10:$B$59,RANDBETWEEN(1,$E$3)),"")</x:f>
      </x:c>
      <x:c r="L153" s="68" t="str">
        <x:f>IF(COLUMN()-2&lt;=$E$3,INDEX($B$10:$B$59,RANDBETWEEN(1,$E$3)),"")</x:f>
      </x:c>
      <x:c r="M153" s="68" t="str">
        <x:f>IF(COLUMN()-2&lt;=$E$3,INDEX($B$10:$B$59,RANDBETWEEN(1,$E$3)),"")</x:f>
      </x:c>
      <x:c r="N153" s="68" t="str">
        <x:f>IF(COLUMN()-2&lt;=$E$3,INDEX($B$10:$B$59,RANDBETWEEN(1,$E$3)),"")</x:f>
      </x:c>
      <x:c r="O153" s="68" t="str">
        <x:f>IF(COLUMN()-2&lt;=$E$3,INDEX($B$10:$B$59,RANDBETWEEN(1,$E$3)),"")</x:f>
      </x:c>
      <x:c r="P153" s="68" t="str">
        <x:f>IF(COLUMN()-2&lt;=$E$3,INDEX($B$10:$B$59,RANDBETWEEN(1,$E$3)),"")</x:f>
      </x:c>
      <x:c r="Q153" s="68" t="str">
        <x:f>IF(COLUMN()-2&lt;=$E$3,INDEX($B$10:$B$59,RANDBETWEEN(1,$E$3)),"")</x:f>
      </x:c>
      <x:c r="R153" s="68" t="str">
        <x:f>IF(COLUMN()-2&lt;=$E$3,INDEX($B$10:$B$59,RANDBETWEEN(1,$E$3)),"")</x:f>
      </x:c>
      <x:c r="S153" s="68" t="str">
        <x:f>IF(COLUMN()-2&lt;=$E$3,INDEX($B$10:$B$59,RANDBETWEEN(1,$E$3)),"")</x:f>
      </x:c>
      <x:c r="T153" s="68" t="str">
        <x:f>IF(COLUMN()-2&lt;=$E$3,INDEX($B$10:$B$59,RANDBETWEEN(1,$E$3)),"")</x:f>
      </x:c>
      <x:c r="U153" s="68" t="str">
        <x:f>IF(COLUMN()-2&lt;=$E$3,INDEX($B$10:$B$59,RANDBETWEEN(1,$E$3)),"")</x:f>
      </x:c>
      <x:c r="V153" s="68" t="str">
        <x:f>IF(COLUMN()-2&lt;=$E$3,INDEX($B$10:$B$59,RANDBETWEEN(1,$E$3)),"")</x:f>
      </x:c>
      <x:c r="W153" s="68" t="str">
        <x:f>IF(COLUMN()-2&lt;=$E$3,INDEX($B$10:$B$59,RANDBETWEEN(1,$E$3)),"")</x:f>
      </x:c>
      <x:c r="X153" s="68" t="str">
        <x:f>IF(COLUMN()-2&lt;=$E$3,INDEX($B$10:$B$59,RANDBETWEEN(1,$E$3)),"")</x:f>
      </x:c>
      <x:c r="Y153" s="68" t="str">
        <x:f>IF(COLUMN()-2&lt;=$E$3,INDEX($B$10:$B$59,RANDBETWEEN(1,$E$3)),"")</x:f>
      </x:c>
      <x:c r="Z153" s="68" t="str">
        <x:f>IF(COLUMN()-2&lt;=$E$3,INDEX($B$10:$B$59,RANDBETWEEN(1,$E$3)),"")</x:f>
      </x:c>
      <x:c r="AA153" s="68" t="str">
        <x:f>IF(COLUMN()-2&lt;=$E$3,INDEX($B$10:$B$59,RANDBETWEEN(1,$E$3)),"")</x:f>
      </x:c>
      <x:c r="AB153" s="68" t="str">
        <x:f>IF(COLUMN()-2&lt;=$E$3,INDEX($B$10:$B$59,RANDBETWEEN(1,$E$3)),"")</x:f>
      </x:c>
      <x:c r="AC153" s="68" t="str">
        <x:f>IF(COLUMN()-2&lt;=$E$3,INDEX($B$10:$B$59,RANDBETWEEN(1,$E$3)),"")</x:f>
      </x:c>
      <x:c r="AD153" s="68" t="str">
        <x:f>IF(COLUMN()-2&lt;=$E$3,INDEX($B$10:$B$59,RANDBETWEEN(1,$E$3)),"")</x:f>
      </x:c>
      <x:c r="AE153" s="68" t="str">
        <x:f>IF(COLUMN()-2&lt;=$E$3,INDEX($B$10:$B$59,RANDBETWEEN(1,$E$3)),"")</x:f>
      </x:c>
      <x:c r="AF153" s="68" t="str">
        <x:f>IF(COLUMN()-2&lt;=$E$3,INDEX($B$10:$B$59,RANDBETWEEN(1,$E$3)),"")</x:f>
      </x:c>
      <x:c r="AG153" s="68" t="str">
        <x:f>IF(COLUMN()-2&lt;=$E$3,INDEX($B$10:$B$59,RANDBETWEEN(1,$E$3)),"")</x:f>
      </x:c>
      <x:c r="AH153" s="68" t="str">
        <x:f>IF(COLUMN()-2&lt;=$E$3,INDEX($B$10:$B$59,RANDBETWEEN(1,$E$3)),"")</x:f>
      </x:c>
      <x:c r="AI153" s="68" t="str">
        <x:f>IF(COLUMN()-2&lt;=$E$3,INDEX($B$10:$B$59,RANDBETWEEN(1,$E$3)),"")</x:f>
      </x:c>
      <x:c r="AJ153" s="68" t="str">
        <x:f>IF(COLUMN()-2&lt;=$E$3,INDEX($B$10:$B$59,RANDBETWEEN(1,$E$3)),"")</x:f>
      </x:c>
      <x:c r="AK153" s="68" t="str">
        <x:f>IF(COLUMN()-2&lt;=$E$3,INDEX($B$10:$B$59,RANDBETWEEN(1,$E$3)),"")</x:f>
      </x:c>
      <x:c r="AL153" s="68" t="str">
        <x:f>IF(COLUMN()-2&lt;=$E$3,INDEX($B$10:$B$59,RANDBETWEEN(1,$E$3)),"")</x:f>
      </x:c>
      <x:c r="AM153" s="68" t="str">
        <x:f>IF(COLUMN()-2&lt;=$E$3,INDEX($B$10:$B$59,RANDBETWEEN(1,$E$3)),"")</x:f>
      </x:c>
      <x:c r="AN153" s="68" t="str">
        <x:f>IF(COLUMN()-2&lt;=$E$3,INDEX($B$10:$B$59,RANDBETWEEN(1,$E$3)),"")</x:f>
      </x:c>
      <x:c r="AO153" s="68" t="str">
        <x:f>IF(COLUMN()-2&lt;=$E$3,INDEX($B$10:$B$59,RANDBETWEEN(1,$E$3)),"")</x:f>
      </x:c>
      <x:c r="AP153" s="68" t="str">
        <x:f>IF(COLUMN()-2&lt;=$E$3,INDEX($B$10:$B$59,RANDBETWEEN(1,$E$3)),"")</x:f>
      </x:c>
      <x:c r="AQ153" s="68" t="str">
        <x:f>IF(COLUMN()-2&lt;=$E$3,INDEX($B$10:$B$59,RANDBETWEEN(1,$E$3)),"")</x:f>
      </x:c>
      <x:c r="AR153" s="68" t="str">
        <x:f>IF(COLUMN()-2&lt;=$E$3,INDEX($B$10:$B$59,RANDBETWEEN(1,$E$3)),"")</x:f>
      </x:c>
      <x:c r="AS153" s="68" t="str">
        <x:f>IF(COLUMN()-2&lt;=$E$3,INDEX($B$10:$B$59,RANDBETWEEN(1,$E$3)),"")</x:f>
      </x:c>
      <x:c r="AT153" s="68" t="str">
        <x:f>IF(COLUMN()-2&lt;=$E$3,INDEX($B$10:$B$59,RANDBETWEEN(1,$E$3)),"")</x:f>
      </x:c>
      <x:c r="AU153" s="68" t="str">
        <x:f>IF(COLUMN()-2&lt;=$E$3,INDEX($B$10:$B$59,RANDBETWEEN(1,$E$3)),"")</x:f>
      </x:c>
      <x:c r="AV153" s="68" t="str">
        <x:f>IF(COLUMN()-2&lt;=$E$3,INDEX($B$10:$B$59,RANDBETWEEN(1,$E$3)),"")</x:f>
      </x:c>
      <x:c r="AW153" s="68" t="str">
        <x:f>IF(COLUMN()-2&lt;=$E$3,INDEX($B$10:$B$59,RANDBETWEEN(1,$E$3)),"")</x:f>
      </x:c>
      <x:c r="AX153" s="68" t="str">
        <x:f>IF(COLUMN()-2&lt;=$E$3,INDEX($B$10:$B$59,RANDBETWEEN(1,$E$3)),"")</x:f>
      </x:c>
      <x:c r="AY153" s="68" t="str">
        <x:f>IF(COLUMN()-2&lt;=$E$3,INDEX($B$10:$B$59,RANDBETWEEN(1,$E$3)),"")</x:f>
      </x:c>
      <x:c r="AZ153" s="68" t="str">
        <x:f>IF(COLUMN()-2&lt;=$E$3,INDEX($B$10:$B$59,RANDBETWEEN(1,$E$3)),"")</x:f>
      </x:c>
      <x:c r="BA153" s="68" t="str">
        <x:f>IF($E$3=0,"",AVERAGE(C153:AZ153))</x:f>
      </x:c>
    </x:row>
    <x:row r="154">
      <x:c r="A154" t="n">
        <x:v>90</x:v>
      </x:c>
      <x:c r="C154" s="68" t="str">
        <x:f>IF(COLUMN()-2&lt;=$E$3,INDEX($B$10:$B$59,RANDBETWEEN(1,$E$3)),"")</x:f>
      </x:c>
      <x:c r="D154" s="68" t="str">
        <x:f>IF(COLUMN()-2&lt;=$E$3,INDEX($B$10:$B$59,RANDBETWEEN(1,$E$3)),"")</x:f>
      </x:c>
      <x:c r="E154" s="68" t="str">
        <x:f>IF(COLUMN()-2&lt;=$E$3,INDEX($B$10:$B$59,RANDBETWEEN(1,$E$3)),"")</x:f>
      </x:c>
      <x:c r="F154" s="68" t="str">
        <x:f>IF(COLUMN()-2&lt;=$E$3,INDEX($B$10:$B$59,RANDBETWEEN(1,$E$3)),"")</x:f>
      </x:c>
      <x:c r="G154" s="68" t="str">
        <x:f>IF(COLUMN()-2&lt;=$E$3,INDEX($B$10:$B$59,RANDBETWEEN(1,$E$3)),"")</x:f>
      </x:c>
      <x:c r="H154" s="68" t="str">
        <x:f>IF(COLUMN()-2&lt;=$E$3,INDEX($B$10:$B$59,RANDBETWEEN(1,$E$3)),"")</x:f>
      </x:c>
      <x:c r="I154" s="68" t="str">
        <x:f>IF(COLUMN()-2&lt;=$E$3,INDEX($B$10:$B$59,RANDBETWEEN(1,$E$3)),"")</x:f>
      </x:c>
      <x:c r="J154" s="68" t="str">
        <x:f>IF(COLUMN()-2&lt;=$E$3,INDEX($B$10:$B$59,RANDBETWEEN(1,$E$3)),"")</x:f>
      </x:c>
      <x:c r="K154" s="68" t="str">
        <x:f>IF(COLUMN()-2&lt;=$E$3,INDEX($B$10:$B$59,RANDBETWEEN(1,$E$3)),"")</x:f>
      </x:c>
      <x:c r="L154" s="68" t="str">
        <x:f>IF(COLUMN()-2&lt;=$E$3,INDEX($B$10:$B$59,RANDBETWEEN(1,$E$3)),"")</x:f>
      </x:c>
      <x:c r="M154" s="68" t="str">
        <x:f>IF(COLUMN()-2&lt;=$E$3,INDEX($B$10:$B$59,RANDBETWEEN(1,$E$3)),"")</x:f>
      </x:c>
      <x:c r="N154" s="68" t="str">
        <x:f>IF(COLUMN()-2&lt;=$E$3,INDEX($B$10:$B$59,RANDBETWEEN(1,$E$3)),"")</x:f>
      </x:c>
      <x:c r="O154" s="68" t="str">
        <x:f>IF(COLUMN()-2&lt;=$E$3,INDEX($B$10:$B$59,RANDBETWEEN(1,$E$3)),"")</x:f>
      </x:c>
      <x:c r="P154" s="68" t="str">
        <x:f>IF(COLUMN()-2&lt;=$E$3,INDEX($B$10:$B$59,RANDBETWEEN(1,$E$3)),"")</x:f>
      </x:c>
      <x:c r="Q154" s="68" t="str">
        <x:f>IF(COLUMN()-2&lt;=$E$3,INDEX($B$10:$B$59,RANDBETWEEN(1,$E$3)),"")</x:f>
      </x:c>
      <x:c r="R154" s="68" t="str">
        <x:f>IF(COLUMN()-2&lt;=$E$3,INDEX($B$10:$B$59,RANDBETWEEN(1,$E$3)),"")</x:f>
      </x:c>
      <x:c r="S154" s="68" t="str">
        <x:f>IF(COLUMN()-2&lt;=$E$3,INDEX($B$10:$B$59,RANDBETWEEN(1,$E$3)),"")</x:f>
      </x:c>
      <x:c r="T154" s="68" t="str">
        <x:f>IF(COLUMN()-2&lt;=$E$3,INDEX($B$10:$B$59,RANDBETWEEN(1,$E$3)),"")</x:f>
      </x:c>
      <x:c r="U154" s="68" t="str">
        <x:f>IF(COLUMN()-2&lt;=$E$3,INDEX($B$10:$B$59,RANDBETWEEN(1,$E$3)),"")</x:f>
      </x:c>
      <x:c r="V154" s="68" t="str">
        <x:f>IF(COLUMN()-2&lt;=$E$3,INDEX($B$10:$B$59,RANDBETWEEN(1,$E$3)),"")</x:f>
      </x:c>
      <x:c r="W154" s="68" t="str">
        <x:f>IF(COLUMN()-2&lt;=$E$3,INDEX($B$10:$B$59,RANDBETWEEN(1,$E$3)),"")</x:f>
      </x:c>
      <x:c r="X154" s="68" t="str">
        <x:f>IF(COLUMN()-2&lt;=$E$3,INDEX($B$10:$B$59,RANDBETWEEN(1,$E$3)),"")</x:f>
      </x:c>
      <x:c r="Y154" s="68" t="str">
        <x:f>IF(COLUMN()-2&lt;=$E$3,INDEX($B$10:$B$59,RANDBETWEEN(1,$E$3)),"")</x:f>
      </x:c>
      <x:c r="Z154" s="68" t="str">
        <x:f>IF(COLUMN()-2&lt;=$E$3,INDEX($B$10:$B$59,RANDBETWEEN(1,$E$3)),"")</x:f>
      </x:c>
      <x:c r="AA154" s="68" t="str">
        <x:f>IF(COLUMN()-2&lt;=$E$3,INDEX($B$10:$B$59,RANDBETWEEN(1,$E$3)),"")</x:f>
      </x:c>
      <x:c r="AB154" s="68" t="str">
        <x:f>IF(COLUMN()-2&lt;=$E$3,INDEX($B$10:$B$59,RANDBETWEEN(1,$E$3)),"")</x:f>
      </x:c>
      <x:c r="AC154" s="68" t="str">
        <x:f>IF(COLUMN()-2&lt;=$E$3,INDEX($B$10:$B$59,RANDBETWEEN(1,$E$3)),"")</x:f>
      </x:c>
      <x:c r="AD154" s="68" t="str">
        <x:f>IF(COLUMN()-2&lt;=$E$3,INDEX($B$10:$B$59,RANDBETWEEN(1,$E$3)),"")</x:f>
      </x:c>
      <x:c r="AE154" s="68" t="str">
        <x:f>IF(COLUMN()-2&lt;=$E$3,INDEX($B$10:$B$59,RANDBETWEEN(1,$E$3)),"")</x:f>
      </x:c>
      <x:c r="AF154" s="68" t="str">
        <x:f>IF(COLUMN()-2&lt;=$E$3,INDEX($B$10:$B$59,RANDBETWEEN(1,$E$3)),"")</x:f>
      </x:c>
      <x:c r="AG154" s="68" t="str">
        <x:f>IF(COLUMN()-2&lt;=$E$3,INDEX($B$10:$B$59,RANDBETWEEN(1,$E$3)),"")</x:f>
      </x:c>
      <x:c r="AH154" s="68" t="str">
        <x:f>IF(COLUMN()-2&lt;=$E$3,INDEX($B$10:$B$59,RANDBETWEEN(1,$E$3)),"")</x:f>
      </x:c>
      <x:c r="AI154" s="68" t="str">
        <x:f>IF(COLUMN()-2&lt;=$E$3,INDEX($B$10:$B$59,RANDBETWEEN(1,$E$3)),"")</x:f>
      </x:c>
      <x:c r="AJ154" s="68" t="str">
        <x:f>IF(COLUMN()-2&lt;=$E$3,INDEX($B$10:$B$59,RANDBETWEEN(1,$E$3)),"")</x:f>
      </x:c>
      <x:c r="AK154" s="68" t="str">
        <x:f>IF(COLUMN()-2&lt;=$E$3,INDEX($B$10:$B$59,RANDBETWEEN(1,$E$3)),"")</x:f>
      </x:c>
      <x:c r="AL154" s="68" t="str">
        <x:f>IF(COLUMN()-2&lt;=$E$3,INDEX($B$10:$B$59,RANDBETWEEN(1,$E$3)),"")</x:f>
      </x:c>
      <x:c r="AM154" s="68" t="str">
        <x:f>IF(COLUMN()-2&lt;=$E$3,INDEX($B$10:$B$59,RANDBETWEEN(1,$E$3)),"")</x:f>
      </x:c>
      <x:c r="AN154" s="68" t="str">
        <x:f>IF(COLUMN()-2&lt;=$E$3,INDEX($B$10:$B$59,RANDBETWEEN(1,$E$3)),"")</x:f>
      </x:c>
      <x:c r="AO154" s="68" t="str">
        <x:f>IF(COLUMN()-2&lt;=$E$3,INDEX($B$10:$B$59,RANDBETWEEN(1,$E$3)),"")</x:f>
      </x:c>
      <x:c r="AP154" s="68" t="str">
        <x:f>IF(COLUMN()-2&lt;=$E$3,INDEX($B$10:$B$59,RANDBETWEEN(1,$E$3)),"")</x:f>
      </x:c>
      <x:c r="AQ154" s="68" t="str">
        <x:f>IF(COLUMN()-2&lt;=$E$3,INDEX($B$10:$B$59,RANDBETWEEN(1,$E$3)),"")</x:f>
      </x:c>
      <x:c r="AR154" s="68" t="str">
        <x:f>IF(COLUMN()-2&lt;=$E$3,INDEX($B$10:$B$59,RANDBETWEEN(1,$E$3)),"")</x:f>
      </x:c>
      <x:c r="AS154" s="68" t="str">
        <x:f>IF(COLUMN()-2&lt;=$E$3,INDEX($B$10:$B$59,RANDBETWEEN(1,$E$3)),"")</x:f>
      </x:c>
      <x:c r="AT154" s="68" t="str">
        <x:f>IF(COLUMN()-2&lt;=$E$3,INDEX($B$10:$B$59,RANDBETWEEN(1,$E$3)),"")</x:f>
      </x:c>
      <x:c r="AU154" s="68" t="str">
        <x:f>IF(COLUMN()-2&lt;=$E$3,INDEX($B$10:$B$59,RANDBETWEEN(1,$E$3)),"")</x:f>
      </x:c>
      <x:c r="AV154" s="68" t="str">
        <x:f>IF(COLUMN()-2&lt;=$E$3,INDEX($B$10:$B$59,RANDBETWEEN(1,$E$3)),"")</x:f>
      </x:c>
      <x:c r="AW154" s="68" t="str">
        <x:f>IF(COLUMN()-2&lt;=$E$3,INDEX($B$10:$B$59,RANDBETWEEN(1,$E$3)),"")</x:f>
      </x:c>
      <x:c r="AX154" s="68" t="str">
        <x:f>IF(COLUMN()-2&lt;=$E$3,INDEX($B$10:$B$59,RANDBETWEEN(1,$E$3)),"")</x:f>
      </x:c>
      <x:c r="AY154" s="68" t="str">
        <x:f>IF(COLUMN()-2&lt;=$E$3,INDEX($B$10:$B$59,RANDBETWEEN(1,$E$3)),"")</x:f>
      </x:c>
      <x:c r="AZ154" s="68" t="str">
        <x:f>IF(COLUMN()-2&lt;=$E$3,INDEX($B$10:$B$59,RANDBETWEEN(1,$E$3)),"")</x:f>
      </x:c>
      <x:c r="BA154" s="68" t="str">
        <x:f>IF($E$3=0,"",AVERAGE(C154:AZ154))</x:f>
      </x:c>
    </x:row>
    <x:row r="155">
      <x:c r="A155" t="n">
        <x:v>91</x:v>
      </x:c>
      <x:c r="C155" s="68" t="str">
        <x:f>IF(COLUMN()-2&lt;=$E$3,INDEX($B$10:$B$59,RANDBETWEEN(1,$E$3)),"")</x:f>
      </x:c>
      <x:c r="D155" s="68" t="str">
        <x:f>IF(COLUMN()-2&lt;=$E$3,INDEX($B$10:$B$59,RANDBETWEEN(1,$E$3)),"")</x:f>
      </x:c>
      <x:c r="E155" s="68" t="str">
        <x:f>IF(COLUMN()-2&lt;=$E$3,INDEX($B$10:$B$59,RANDBETWEEN(1,$E$3)),"")</x:f>
      </x:c>
      <x:c r="F155" s="68" t="str">
        <x:f>IF(COLUMN()-2&lt;=$E$3,INDEX($B$10:$B$59,RANDBETWEEN(1,$E$3)),"")</x:f>
      </x:c>
      <x:c r="G155" s="68" t="str">
        <x:f>IF(COLUMN()-2&lt;=$E$3,INDEX($B$10:$B$59,RANDBETWEEN(1,$E$3)),"")</x:f>
      </x:c>
      <x:c r="H155" s="68" t="str">
        <x:f>IF(COLUMN()-2&lt;=$E$3,INDEX($B$10:$B$59,RANDBETWEEN(1,$E$3)),"")</x:f>
      </x:c>
      <x:c r="I155" s="68" t="str">
        <x:f>IF(COLUMN()-2&lt;=$E$3,INDEX($B$10:$B$59,RANDBETWEEN(1,$E$3)),"")</x:f>
      </x:c>
      <x:c r="J155" s="68" t="str">
        <x:f>IF(COLUMN()-2&lt;=$E$3,INDEX($B$10:$B$59,RANDBETWEEN(1,$E$3)),"")</x:f>
      </x:c>
      <x:c r="K155" s="68" t="str">
        <x:f>IF(COLUMN()-2&lt;=$E$3,INDEX($B$10:$B$59,RANDBETWEEN(1,$E$3)),"")</x:f>
      </x:c>
      <x:c r="L155" s="68" t="str">
        <x:f>IF(COLUMN()-2&lt;=$E$3,INDEX($B$10:$B$59,RANDBETWEEN(1,$E$3)),"")</x:f>
      </x:c>
      <x:c r="M155" s="68" t="str">
        <x:f>IF(COLUMN()-2&lt;=$E$3,INDEX($B$10:$B$59,RANDBETWEEN(1,$E$3)),"")</x:f>
      </x:c>
      <x:c r="N155" s="68" t="str">
        <x:f>IF(COLUMN()-2&lt;=$E$3,INDEX($B$10:$B$59,RANDBETWEEN(1,$E$3)),"")</x:f>
      </x:c>
      <x:c r="O155" s="68" t="str">
        <x:f>IF(COLUMN()-2&lt;=$E$3,INDEX($B$10:$B$59,RANDBETWEEN(1,$E$3)),"")</x:f>
      </x:c>
      <x:c r="P155" s="68" t="str">
        <x:f>IF(COLUMN()-2&lt;=$E$3,INDEX($B$10:$B$59,RANDBETWEEN(1,$E$3)),"")</x:f>
      </x:c>
      <x:c r="Q155" s="68" t="str">
        <x:f>IF(COLUMN()-2&lt;=$E$3,INDEX($B$10:$B$59,RANDBETWEEN(1,$E$3)),"")</x:f>
      </x:c>
      <x:c r="R155" s="68" t="str">
        <x:f>IF(COLUMN()-2&lt;=$E$3,INDEX($B$10:$B$59,RANDBETWEEN(1,$E$3)),"")</x:f>
      </x:c>
      <x:c r="S155" s="68" t="str">
        <x:f>IF(COLUMN()-2&lt;=$E$3,INDEX($B$10:$B$59,RANDBETWEEN(1,$E$3)),"")</x:f>
      </x:c>
      <x:c r="T155" s="68" t="str">
        <x:f>IF(COLUMN()-2&lt;=$E$3,INDEX($B$10:$B$59,RANDBETWEEN(1,$E$3)),"")</x:f>
      </x:c>
      <x:c r="U155" s="68" t="str">
        <x:f>IF(COLUMN()-2&lt;=$E$3,INDEX($B$10:$B$59,RANDBETWEEN(1,$E$3)),"")</x:f>
      </x:c>
      <x:c r="V155" s="68" t="str">
        <x:f>IF(COLUMN()-2&lt;=$E$3,INDEX($B$10:$B$59,RANDBETWEEN(1,$E$3)),"")</x:f>
      </x:c>
      <x:c r="W155" s="68" t="str">
        <x:f>IF(COLUMN()-2&lt;=$E$3,INDEX($B$10:$B$59,RANDBETWEEN(1,$E$3)),"")</x:f>
      </x:c>
      <x:c r="X155" s="68" t="str">
        <x:f>IF(COLUMN()-2&lt;=$E$3,INDEX($B$10:$B$59,RANDBETWEEN(1,$E$3)),"")</x:f>
      </x:c>
      <x:c r="Y155" s="68" t="str">
        <x:f>IF(COLUMN()-2&lt;=$E$3,INDEX($B$10:$B$59,RANDBETWEEN(1,$E$3)),"")</x:f>
      </x:c>
      <x:c r="Z155" s="68" t="str">
        <x:f>IF(COLUMN()-2&lt;=$E$3,INDEX($B$10:$B$59,RANDBETWEEN(1,$E$3)),"")</x:f>
      </x:c>
      <x:c r="AA155" s="68" t="str">
        <x:f>IF(COLUMN()-2&lt;=$E$3,INDEX($B$10:$B$59,RANDBETWEEN(1,$E$3)),"")</x:f>
      </x:c>
      <x:c r="AB155" s="68" t="str">
        <x:f>IF(COLUMN()-2&lt;=$E$3,INDEX($B$10:$B$59,RANDBETWEEN(1,$E$3)),"")</x:f>
      </x:c>
      <x:c r="AC155" s="68" t="str">
        <x:f>IF(COLUMN()-2&lt;=$E$3,INDEX($B$10:$B$59,RANDBETWEEN(1,$E$3)),"")</x:f>
      </x:c>
      <x:c r="AD155" s="68" t="str">
        <x:f>IF(COLUMN()-2&lt;=$E$3,INDEX($B$10:$B$59,RANDBETWEEN(1,$E$3)),"")</x:f>
      </x:c>
      <x:c r="AE155" s="68" t="str">
        <x:f>IF(COLUMN()-2&lt;=$E$3,INDEX($B$10:$B$59,RANDBETWEEN(1,$E$3)),"")</x:f>
      </x:c>
      <x:c r="AF155" s="68" t="str">
        <x:f>IF(COLUMN()-2&lt;=$E$3,INDEX($B$10:$B$59,RANDBETWEEN(1,$E$3)),"")</x:f>
      </x:c>
      <x:c r="AG155" s="68" t="str">
        <x:f>IF(COLUMN()-2&lt;=$E$3,INDEX($B$10:$B$59,RANDBETWEEN(1,$E$3)),"")</x:f>
      </x:c>
      <x:c r="AH155" s="68" t="str">
        <x:f>IF(COLUMN()-2&lt;=$E$3,INDEX($B$10:$B$59,RANDBETWEEN(1,$E$3)),"")</x:f>
      </x:c>
      <x:c r="AI155" s="68" t="str">
        <x:f>IF(COLUMN()-2&lt;=$E$3,INDEX($B$10:$B$59,RANDBETWEEN(1,$E$3)),"")</x:f>
      </x:c>
      <x:c r="AJ155" s="68" t="str">
        <x:f>IF(COLUMN()-2&lt;=$E$3,INDEX($B$10:$B$59,RANDBETWEEN(1,$E$3)),"")</x:f>
      </x:c>
      <x:c r="AK155" s="68" t="str">
        <x:f>IF(COLUMN()-2&lt;=$E$3,INDEX($B$10:$B$59,RANDBETWEEN(1,$E$3)),"")</x:f>
      </x:c>
      <x:c r="AL155" s="68" t="str">
        <x:f>IF(COLUMN()-2&lt;=$E$3,INDEX($B$10:$B$59,RANDBETWEEN(1,$E$3)),"")</x:f>
      </x:c>
      <x:c r="AM155" s="68" t="str">
        <x:f>IF(COLUMN()-2&lt;=$E$3,INDEX($B$10:$B$59,RANDBETWEEN(1,$E$3)),"")</x:f>
      </x:c>
      <x:c r="AN155" s="68" t="str">
        <x:f>IF(COLUMN()-2&lt;=$E$3,INDEX($B$10:$B$59,RANDBETWEEN(1,$E$3)),"")</x:f>
      </x:c>
      <x:c r="AO155" s="68" t="str">
        <x:f>IF(COLUMN()-2&lt;=$E$3,INDEX($B$10:$B$59,RANDBETWEEN(1,$E$3)),"")</x:f>
      </x:c>
      <x:c r="AP155" s="68" t="str">
        <x:f>IF(COLUMN()-2&lt;=$E$3,INDEX($B$10:$B$59,RANDBETWEEN(1,$E$3)),"")</x:f>
      </x:c>
      <x:c r="AQ155" s="68" t="str">
        <x:f>IF(COLUMN()-2&lt;=$E$3,INDEX($B$10:$B$59,RANDBETWEEN(1,$E$3)),"")</x:f>
      </x:c>
      <x:c r="AR155" s="68" t="str">
        <x:f>IF(COLUMN()-2&lt;=$E$3,INDEX($B$10:$B$59,RANDBETWEEN(1,$E$3)),"")</x:f>
      </x:c>
      <x:c r="AS155" s="68" t="str">
        <x:f>IF(COLUMN()-2&lt;=$E$3,INDEX($B$10:$B$59,RANDBETWEEN(1,$E$3)),"")</x:f>
      </x:c>
      <x:c r="AT155" s="68" t="str">
        <x:f>IF(COLUMN()-2&lt;=$E$3,INDEX($B$10:$B$59,RANDBETWEEN(1,$E$3)),"")</x:f>
      </x:c>
      <x:c r="AU155" s="68" t="str">
        <x:f>IF(COLUMN()-2&lt;=$E$3,INDEX($B$10:$B$59,RANDBETWEEN(1,$E$3)),"")</x:f>
      </x:c>
      <x:c r="AV155" s="68" t="str">
        <x:f>IF(COLUMN()-2&lt;=$E$3,INDEX($B$10:$B$59,RANDBETWEEN(1,$E$3)),"")</x:f>
      </x:c>
      <x:c r="AW155" s="68" t="str">
        <x:f>IF(COLUMN()-2&lt;=$E$3,INDEX($B$10:$B$59,RANDBETWEEN(1,$E$3)),"")</x:f>
      </x:c>
      <x:c r="AX155" s="68" t="str">
        <x:f>IF(COLUMN()-2&lt;=$E$3,INDEX($B$10:$B$59,RANDBETWEEN(1,$E$3)),"")</x:f>
      </x:c>
      <x:c r="AY155" s="68" t="str">
        <x:f>IF(COLUMN()-2&lt;=$E$3,INDEX($B$10:$B$59,RANDBETWEEN(1,$E$3)),"")</x:f>
      </x:c>
      <x:c r="AZ155" s="68" t="str">
        <x:f>IF(COLUMN()-2&lt;=$E$3,INDEX($B$10:$B$59,RANDBETWEEN(1,$E$3)),"")</x:f>
      </x:c>
      <x:c r="BA155" s="68" t="str">
        <x:f>IF($E$3=0,"",AVERAGE(C155:AZ155))</x:f>
      </x:c>
    </x:row>
    <x:row r="156">
      <x:c r="A156" t="n">
        <x:v>92</x:v>
      </x:c>
      <x:c r="C156" s="68" t="str">
        <x:f>IF(COLUMN()-2&lt;=$E$3,INDEX($B$10:$B$59,RANDBETWEEN(1,$E$3)),"")</x:f>
      </x:c>
      <x:c r="D156" s="68" t="str">
        <x:f>IF(COLUMN()-2&lt;=$E$3,INDEX($B$10:$B$59,RANDBETWEEN(1,$E$3)),"")</x:f>
      </x:c>
      <x:c r="E156" s="68" t="str">
        <x:f>IF(COLUMN()-2&lt;=$E$3,INDEX($B$10:$B$59,RANDBETWEEN(1,$E$3)),"")</x:f>
      </x:c>
      <x:c r="F156" s="68" t="str">
        <x:f>IF(COLUMN()-2&lt;=$E$3,INDEX($B$10:$B$59,RANDBETWEEN(1,$E$3)),"")</x:f>
      </x:c>
      <x:c r="G156" s="68" t="str">
        <x:f>IF(COLUMN()-2&lt;=$E$3,INDEX($B$10:$B$59,RANDBETWEEN(1,$E$3)),"")</x:f>
      </x:c>
      <x:c r="H156" s="68" t="str">
        <x:f>IF(COLUMN()-2&lt;=$E$3,INDEX($B$10:$B$59,RANDBETWEEN(1,$E$3)),"")</x:f>
      </x:c>
      <x:c r="I156" s="68" t="str">
        <x:f>IF(COLUMN()-2&lt;=$E$3,INDEX($B$10:$B$59,RANDBETWEEN(1,$E$3)),"")</x:f>
      </x:c>
      <x:c r="J156" s="68" t="str">
        <x:f>IF(COLUMN()-2&lt;=$E$3,INDEX($B$10:$B$59,RANDBETWEEN(1,$E$3)),"")</x:f>
      </x:c>
      <x:c r="K156" s="68" t="str">
        <x:f>IF(COLUMN()-2&lt;=$E$3,INDEX($B$10:$B$59,RANDBETWEEN(1,$E$3)),"")</x:f>
      </x:c>
      <x:c r="L156" s="68" t="str">
        <x:f>IF(COLUMN()-2&lt;=$E$3,INDEX($B$10:$B$59,RANDBETWEEN(1,$E$3)),"")</x:f>
      </x:c>
      <x:c r="M156" s="68" t="str">
        <x:f>IF(COLUMN()-2&lt;=$E$3,INDEX($B$10:$B$59,RANDBETWEEN(1,$E$3)),"")</x:f>
      </x:c>
      <x:c r="N156" s="68" t="str">
        <x:f>IF(COLUMN()-2&lt;=$E$3,INDEX($B$10:$B$59,RANDBETWEEN(1,$E$3)),"")</x:f>
      </x:c>
      <x:c r="O156" s="68" t="str">
        <x:f>IF(COLUMN()-2&lt;=$E$3,INDEX($B$10:$B$59,RANDBETWEEN(1,$E$3)),"")</x:f>
      </x:c>
      <x:c r="P156" s="68" t="str">
        <x:f>IF(COLUMN()-2&lt;=$E$3,INDEX($B$10:$B$59,RANDBETWEEN(1,$E$3)),"")</x:f>
      </x:c>
      <x:c r="Q156" s="68" t="str">
        <x:f>IF(COLUMN()-2&lt;=$E$3,INDEX($B$10:$B$59,RANDBETWEEN(1,$E$3)),"")</x:f>
      </x:c>
      <x:c r="R156" s="68" t="str">
        <x:f>IF(COLUMN()-2&lt;=$E$3,INDEX($B$10:$B$59,RANDBETWEEN(1,$E$3)),"")</x:f>
      </x:c>
      <x:c r="S156" s="68" t="str">
        <x:f>IF(COLUMN()-2&lt;=$E$3,INDEX($B$10:$B$59,RANDBETWEEN(1,$E$3)),"")</x:f>
      </x:c>
      <x:c r="T156" s="68" t="str">
        <x:f>IF(COLUMN()-2&lt;=$E$3,INDEX($B$10:$B$59,RANDBETWEEN(1,$E$3)),"")</x:f>
      </x:c>
      <x:c r="U156" s="68" t="str">
        <x:f>IF(COLUMN()-2&lt;=$E$3,INDEX($B$10:$B$59,RANDBETWEEN(1,$E$3)),"")</x:f>
      </x:c>
      <x:c r="V156" s="68" t="str">
        <x:f>IF(COLUMN()-2&lt;=$E$3,INDEX($B$10:$B$59,RANDBETWEEN(1,$E$3)),"")</x:f>
      </x:c>
      <x:c r="W156" s="68" t="str">
        <x:f>IF(COLUMN()-2&lt;=$E$3,INDEX($B$10:$B$59,RANDBETWEEN(1,$E$3)),"")</x:f>
      </x:c>
      <x:c r="X156" s="68" t="str">
        <x:f>IF(COLUMN()-2&lt;=$E$3,INDEX($B$10:$B$59,RANDBETWEEN(1,$E$3)),"")</x:f>
      </x:c>
      <x:c r="Y156" s="68" t="str">
        <x:f>IF(COLUMN()-2&lt;=$E$3,INDEX($B$10:$B$59,RANDBETWEEN(1,$E$3)),"")</x:f>
      </x:c>
      <x:c r="Z156" s="68" t="str">
        <x:f>IF(COLUMN()-2&lt;=$E$3,INDEX($B$10:$B$59,RANDBETWEEN(1,$E$3)),"")</x:f>
      </x:c>
      <x:c r="AA156" s="68" t="str">
        <x:f>IF(COLUMN()-2&lt;=$E$3,INDEX($B$10:$B$59,RANDBETWEEN(1,$E$3)),"")</x:f>
      </x:c>
      <x:c r="AB156" s="68" t="str">
        <x:f>IF(COLUMN()-2&lt;=$E$3,INDEX($B$10:$B$59,RANDBETWEEN(1,$E$3)),"")</x:f>
      </x:c>
      <x:c r="AC156" s="68" t="str">
        <x:f>IF(COLUMN()-2&lt;=$E$3,INDEX($B$10:$B$59,RANDBETWEEN(1,$E$3)),"")</x:f>
      </x:c>
      <x:c r="AD156" s="68" t="str">
        <x:f>IF(COLUMN()-2&lt;=$E$3,INDEX($B$10:$B$59,RANDBETWEEN(1,$E$3)),"")</x:f>
      </x:c>
      <x:c r="AE156" s="68" t="str">
        <x:f>IF(COLUMN()-2&lt;=$E$3,INDEX($B$10:$B$59,RANDBETWEEN(1,$E$3)),"")</x:f>
      </x:c>
      <x:c r="AF156" s="68" t="str">
        <x:f>IF(COLUMN()-2&lt;=$E$3,INDEX($B$10:$B$59,RANDBETWEEN(1,$E$3)),"")</x:f>
      </x:c>
      <x:c r="AG156" s="68" t="str">
        <x:f>IF(COLUMN()-2&lt;=$E$3,INDEX($B$10:$B$59,RANDBETWEEN(1,$E$3)),"")</x:f>
      </x:c>
      <x:c r="AH156" s="68" t="str">
        <x:f>IF(COLUMN()-2&lt;=$E$3,INDEX($B$10:$B$59,RANDBETWEEN(1,$E$3)),"")</x:f>
      </x:c>
      <x:c r="AI156" s="68" t="str">
        <x:f>IF(COLUMN()-2&lt;=$E$3,INDEX($B$10:$B$59,RANDBETWEEN(1,$E$3)),"")</x:f>
      </x:c>
      <x:c r="AJ156" s="68" t="str">
        <x:f>IF(COLUMN()-2&lt;=$E$3,INDEX($B$10:$B$59,RANDBETWEEN(1,$E$3)),"")</x:f>
      </x:c>
      <x:c r="AK156" s="68" t="str">
        <x:f>IF(COLUMN()-2&lt;=$E$3,INDEX($B$10:$B$59,RANDBETWEEN(1,$E$3)),"")</x:f>
      </x:c>
      <x:c r="AL156" s="68" t="str">
        <x:f>IF(COLUMN()-2&lt;=$E$3,INDEX($B$10:$B$59,RANDBETWEEN(1,$E$3)),"")</x:f>
      </x:c>
      <x:c r="AM156" s="68" t="str">
        <x:f>IF(COLUMN()-2&lt;=$E$3,INDEX($B$10:$B$59,RANDBETWEEN(1,$E$3)),"")</x:f>
      </x:c>
      <x:c r="AN156" s="68" t="str">
        <x:f>IF(COLUMN()-2&lt;=$E$3,INDEX($B$10:$B$59,RANDBETWEEN(1,$E$3)),"")</x:f>
      </x:c>
      <x:c r="AO156" s="68" t="str">
        <x:f>IF(COLUMN()-2&lt;=$E$3,INDEX($B$10:$B$59,RANDBETWEEN(1,$E$3)),"")</x:f>
      </x:c>
      <x:c r="AP156" s="68" t="str">
        <x:f>IF(COLUMN()-2&lt;=$E$3,INDEX($B$10:$B$59,RANDBETWEEN(1,$E$3)),"")</x:f>
      </x:c>
      <x:c r="AQ156" s="68" t="str">
        <x:f>IF(COLUMN()-2&lt;=$E$3,INDEX($B$10:$B$59,RANDBETWEEN(1,$E$3)),"")</x:f>
      </x:c>
      <x:c r="AR156" s="68" t="str">
        <x:f>IF(COLUMN()-2&lt;=$E$3,INDEX($B$10:$B$59,RANDBETWEEN(1,$E$3)),"")</x:f>
      </x:c>
      <x:c r="AS156" s="68" t="str">
        <x:f>IF(COLUMN()-2&lt;=$E$3,INDEX($B$10:$B$59,RANDBETWEEN(1,$E$3)),"")</x:f>
      </x:c>
      <x:c r="AT156" s="68" t="str">
        <x:f>IF(COLUMN()-2&lt;=$E$3,INDEX($B$10:$B$59,RANDBETWEEN(1,$E$3)),"")</x:f>
      </x:c>
      <x:c r="AU156" s="68" t="str">
        <x:f>IF(COLUMN()-2&lt;=$E$3,INDEX($B$10:$B$59,RANDBETWEEN(1,$E$3)),"")</x:f>
      </x:c>
      <x:c r="AV156" s="68" t="str">
        <x:f>IF(COLUMN()-2&lt;=$E$3,INDEX($B$10:$B$59,RANDBETWEEN(1,$E$3)),"")</x:f>
      </x:c>
      <x:c r="AW156" s="68" t="str">
        <x:f>IF(COLUMN()-2&lt;=$E$3,INDEX($B$10:$B$59,RANDBETWEEN(1,$E$3)),"")</x:f>
      </x:c>
      <x:c r="AX156" s="68" t="str">
        <x:f>IF(COLUMN()-2&lt;=$E$3,INDEX($B$10:$B$59,RANDBETWEEN(1,$E$3)),"")</x:f>
      </x:c>
      <x:c r="AY156" s="68" t="str">
        <x:f>IF(COLUMN()-2&lt;=$E$3,INDEX($B$10:$B$59,RANDBETWEEN(1,$E$3)),"")</x:f>
      </x:c>
      <x:c r="AZ156" s="68" t="str">
        <x:f>IF(COLUMN()-2&lt;=$E$3,INDEX($B$10:$B$59,RANDBETWEEN(1,$E$3)),"")</x:f>
      </x:c>
      <x:c r="BA156" s="68" t="str">
        <x:f>IF($E$3=0,"",AVERAGE(C156:AZ156))</x:f>
      </x:c>
    </x:row>
    <x:row r="157">
      <x:c r="A157" t="n">
        <x:v>93</x:v>
      </x:c>
      <x:c r="C157" s="68" t="str">
        <x:f>IF(COLUMN()-2&lt;=$E$3,INDEX($B$10:$B$59,RANDBETWEEN(1,$E$3)),"")</x:f>
      </x:c>
      <x:c r="D157" s="68" t="str">
        <x:f>IF(COLUMN()-2&lt;=$E$3,INDEX($B$10:$B$59,RANDBETWEEN(1,$E$3)),"")</x:f>
      </x:c>
      <x:c r="E157" s="68" t="str">
        <x:f>IF(COLUMN()-2&lt;=$E$3,INDEX($B$10:$B$59,RANDBETWEEN(1,$E$3)),"")</x:f>
      </x:c>
      <x:c r="F157" s="68" t="str">
        <x:f>IF(COLUMN()-2&lt;=$E$3,INDEX($B$10:$B$59,RANDBETWEEN(1,$E$3)),"")</x:f>
      </x:c>
      <x:c r="G157" s="68" t="str">
        <x:f>IF(COLUMN()-2&lt;=$E$3,INDEX($B$10:$B$59,RANDBETWEEN(1,$E$3)),"")</x:f>
      </x:c>
      <x:c r="H157" s="68" t="str">
        <x:f>IF(COLUMN()-2&lt;=$E$3,INDEX($B$10:$B$59,RANDBETWEEN(1,$E$3)),"")</x:f>
      </x:c>
      <x:c r="I157" s="68" t="str">
        <x:f>IF(COLUMN()-2&lt;=$E$3,INDEX($B$10:$B$59,RANDBETWEEN(1,$E$3)),"")</x:f>
      </x:c>
      <x:c r="J157" s="68" t="str">
        <x:f>IF(COLUMN()-2&lt;=$E$3,INDEX($B$10:$B$59,RANDBETWEEN(1,$E$3)),"")</x:f>
      </x:c>
      <x:c r="K157" s="68" t="str">
        <x:f>IF(COLUMN()-2&lt;=$E$3,INDEX($B$10:$B$59,RANDBETWEEN(1,$E$3)),"")</x:f>
      </x:c>
      <x:c r="L157" s="68" t="str">
        <x:f>IF(COLUMN()-2&lt;=$E$3,INDEX($B$10:$B$59,RANDBETWEEN(1,$E$3)),"")</x:f>
      </x:c>
      <x:c r="M157" s="68" t="str">
        <x:f>IF(COLUMN()-2&lt;=$E$3,INDEX($B$10:$B$59,RANDBETWEEN(1,$E$3)),"")</x:f>
      </x:c>
      <x:c r="N157" s="68" t="str">
        <x:f>IF(COLUMN()-2&lt;=$E$3,INDEX($B$10:$B$59,RANDBETWEEN(1,$E$3)),"")</x:f>
      </x:c>
      <x:c r="O157" s="68" t="str">
        <x:f>IF(COLUMN()-2&lt;=$E$3,INDEX($B$10:$B$59,RANDBETWEEN(1,$E$3)),"")</x:f>
      </x:c>
      <x:c r="P157" s="68" t="str">
        <x:f>IF(COLUMN()-2&lt;=$E$3,INDEX($B$10:$B$59,RANDBETWEEN(1,$E$3)),"")</x:f>
      </x:c>
      <x:c r="Q157" s="68" t="str">
        <x:f>IF(COLUMN()-2&lt;=$E$3,INDEX($B$10:$B$59,RANDBETWEEN(1,$E$3)),"")</x:f>
      </x:c>
      <x:c r="R157" s="68" t="str">
        <x:f>IF(COLUMN()-2&lt;=$E$3,INDEX($B$10:$B$59,RANDBETWEEN(1,$E$3)),"")</x:f>
      </x:c>
      <x:c r="S157" s="68" t="str">
        <x:f>IF(COLUMN()-2&lt;=$E$3,INDEX($B$10:$B$59,RANDBETWEEN(1,$E$3)),"")</x:f>
      </x:c>
      <x:c r="T157" s="68" t="str">
        <x:f>IF(COLUMN()-2&lt;=$E$3,INDEX($B$10:$B$59,RANDBETWEEN(1,$E$3)),"")</x:f>
      </x:c>
      <x:c r="U157" s="68" t="str">
        <x:f>IF(COLUMN()-2&lt;=$E$3,INDEX($B$10:$B$59,RANDBETWEEN(1,$E$3)),"")</x:f>
      </x:c>
      <x:c r="V157" s="68" t="str">
        <x:f>IF(COLUMN()-2&lt;=$E$3,INDEX($B$10:$B$59,RANDBETWEEN(1,$E$3)),"")</x:f>
      </x:c>
      <x:c r="W157" s="68" t="str">
        <x:f>IF(COLUMN()-2&lt;=$E$3,INDEX($B$10:$B$59,RANDBETWEEN(1,$E$3)),"")</x:f>
      </x:c>
      <x:c r="X157" s="68" t="str">
        <x:f>IF(COLUMN()-2&lt;=$E$3,INDEX($B$10:$B$59,RANDBETWEEN(1,$E$3)),"")</x:f>
      </x:c>
      <x:c r="Y157" s="68" t="str">
        <x:f>IF(COLUMN()-2&lt;=$E$3,INDEX($B$10:$B$59,RANDBETWEEN(1,$E$3)),"")</x:f>
      </x:c>
      <x:c r="Z157" s="68" t="str">
        <x:f>IF(COLUMN()-2&lt;=$E$3,INDEX($B$10:$B$59,RANDBETWEEN(1,$E$3)),"")</x:f>
      </x:c>
      <x:c r="AA157" s="68" t="str">
        <x:f>IF(COLUMN()-2&lt;=$E$3,INDEX($B$10:$B$59,RANDBETWEEN(1,$E$3)),"")</x:f>
      </x:c>
      <x:c r="AB157" s="68" t="str">
        <x:f>IF(COLUMN()-2&lt;=$E$3,INDEX($B$10:$B$59,RANDBETWEEN(1,$E$3)),"")</x:f>
      </x:c>
      <x:c r="AC157" s="68" t="str">
        <x:f>IF(COLUMN()-2&lt;=$E$3,INDEX($B$10:$B$59,RANDBETWEEN(1,$E$3)),"")</x:f>
      </x:c>
      <x:c r="AD157" s="68" t="str">
        <x:f>IF(COLUMN()-2&lt;=$E$3,INDEX($B$10:$B$59,RANDBETWEEN(1,$E$3)),"")</x:f>
      </x:c>
      <x:c r="AE157" s="68" t="str">
        <x:f>IF(COLUMN()-2&lt;=$E$3,INDEX($B$10:$B$59,RANDBETWEEN(1,$E$3)),"")</x:f>
      </x:c>
      <x:c r="AF157" s="68" t="str">
        <x:f>IF(COLUMN()-2&lt;=$E$3,INDEX($B$10:$B$59,RANDBETWEEN(1,$E$3)),"")</x:f>
      </x:c>
      <x:c r="AG157" s="68" t="str">
        <x:f>IF(COLUMN()-2&lt;=$E$3,INDEX($B$10:$B$59,RANDBETWEEN(1,$E$3)),"")</x:f>
      </x:c>
      <x:c r="AH157" s="68" t="str">
        <x:f>IF(COLUMN()-2&lt;=$E$3,INDEX($B$10:$B$59,RANDBETWEEN(1,$E$3)),"")</x:f>
      </x:c>
      <x:c r="AI157" s="68" t="str">
        <x:f>IF(COLUMN()-2&lt;=$E$3,INDEX($B$10:$B$59,RANDBETWEEN(1,$E$3)),"")</x:f>
      </x:c>
      <x:c r="AJ157" s="68" t="str">
        <x:f>IF(COLUMN()-2&lt;=$E$3,INDEX($B$10:$B$59,RANDBETWEEN(1,$E$3)),"")</x:f>
      </x:c>
      <x:c r="AK157" s="68" t="str">
        <x:f>IF(COLUMN()-2&lt;=$E$3,INDEX($B$10:$B$59,RANDBETWEEN(1,$E$3)),"")</x:f>
      </x:c>
      <x:c r="AL157" s="68" t="str">
        <x:f>IF(COLUMN()-2&lt;=$E$3,INDEX($B$10:$B$59,RANDBETWEEN(1,$E$3)),"")</x:f>
      </x:c>
      <x:c r="AM157" s="68" t="str">
        <x:f>IF(COLUMN()-2&lt;=$E$3,INDEX($B$10:$B$59,RANDBETWEEN(1,$E$3)),"")</x:f>
      </x:c>
      <x:c r="AN157" s="68" t="str">
        <x:f>IF(COLUMN()-2&lt;=$E$3,INDEX($B$10:$B$59,RANDBETWEEN(1,$E$3)),"")</x:f>
      </x:c>
      <x:c r="AO157" s="68" t="str">
        <x:f>IF(COLUMN()-2&lt;=$E$3,INDEX($B$10:$B$59,RANDBETWEEN(1,$E$3)),"")</x:f>
      </x:c>
      <x:c r="AP157" s="68" t="str">
        <x:f>IF(COLUMN()-2&lt;=$E$3,INDEX($B$10:$B$59,RANDBETWEEN(1,$E$3)),"")</x:f>
      </x:c>
      <x:c r="AQ157" s="68" t="str">
        <x:f>IF(COLUMN()-2&lt;=$E$3,INDEX($B$10:$B$59,RANDBETWEEN(1,$E$3)),"")</x:f>
      </x:c>
      <x:c r="AR157" s="68" t="str">
        <x:f>IF(COLUMN()-2&lt;=$E$3,INDEX($B$10:$B$59,RANDBETWEEN(1,$E$3)),"")</x:f>
      </x:c>
      <x:c r="AS157" s="68" t="str">
        <x:f>IF(COLUMN()-2&lt;=$E$3,INDEX($B$10:$B$59,RANDBETWEEN(1,$E$3)),"")</x:f>
      </x:c>
      <x:c r="AT157" s="68" t="str">
        <x:f>IF(COLUMN()-2&lt;=$E$3,INDEX($B$10:$B$59,RANDBETWEEN(1,$E$3)),"")</x:f>
      </x:c>
      <x:c r="AU157" s="68" t="str">
        <x:f>IF(COLUMN()-2&lt;=$E$3,INDEX($B$10:$B$59,RANDBETWEEN(1,$E$3)),"")</x:f>
      </x:c>
      <x:c r="AV157" s="68" t="str">
        <x:f>IF(COLUMN()-2&lt;=$E$3,INDEX($B$10:$B$59,RANDBETWEEN(1,$E$3)),"")</x:f>
      </x:c>
      <x:c r="AW157" s="68" t="str">
        <x:f>IF(COLUMN()-2&lt;=$E$3,INDEX($B$10:$B$59,RANDBETWEEN(1,$E$3)),"")</x:f>
      </x:c>
      <x:c r="AX157" s="68" t="str">
        <x:f>IF(COLUMN()-2&lt;=$E$3,INDEX($B$10:$B$59,RANDBETWEEN(1,$E$3)),"")</x:f>
      </x:c>
      <x:c r="AY157" s="68" t="str">
        <x:f>IF(COLUMN()-2&lt;=$E$3,INDEX($B$10:$B$59,RANDBETWEEN(1,$E$3)),"")</x:f>
      </x:c>
      <x:c r="AZ157" s="68" t="str">
        <x:f>IF(COLUMN()-2&lt;=$E$3,INDEX($B$10:$B$59,RANDBETWEEN(1,$E$3)),"")</x:f>
      </x:c>
      <x:c r="BA157" s="68" t="str">
        <x:f>IF($E$3=0,"",AVERAGE(C157:AZ157))</x:f>
      </x:c>
    </x:row>
    <x:row r="158">
      <x:c r="A158" t="n">
        <x:v>94</x:v>
      </x:c>
      <x:c r="C158" s="68" t="str">
        <x:f>IF(COLUMN()-2&lt;=$E$3,INDEX($B$10:$B$59,RANDBETWEEN(1,$E$3)),"")</x:f>
      </x:c>
      <x:c r="D158" s="68" t="str">
        <x:f>IF(COLUMN()-2&lt;=$E$3,INDEX($B$10:$B$59,RANDBETWEEN(1,$E$3)),"")</x:f>
      </x:c>
      <x:c r="E158" s="68" t="str">
        <x:f>IF(COLUMN()-2&lt;=$E$3,INDEX($B$10:$B$59,RANDBETWEEN(1,$E$3)),"")</x:f>
      </x:c>
      <x:c r="F158" s="68" t="str">
        <x:f>IF(COLUMN()-2&lt;=$E$3,INDEX($B$10:$B$59,RANDBETWEEN(1,$E$3)),"")</x:f>
      </x:c>
      <x:c r="G158" s="68" t="str">
        <x:f>IF(COLUMN()-2&lt;=$E$3,INDEX($B$10:$B$59,RANDBETWEEN(1,$E$3)),"")</x:f>
      </x:c>
      <x:c r="H158" s="68" t="str">
        <x:f>IF(COLUMN()-2&lt;=$E$3,INDEX($B$10:$B$59,RANDBETWEEN(1,$E$3)),"")</x:f>
      </x:c>
      <x:c r="I158" s="68" t="str">
        <x:f>IF(COLUMN()-2&lt;=$E$3,INDEX($B$10:$B$59,RANDBETWEEN(1,$E$3)),"")</x:f>
      </x:c>
      <x:c r="J158" s="68" t="str">
        <x:f>IF(COLUMN()-2&lt;=$E$3,INDEX($B$10:$B$59,RANDBETWEEN(1,$E$3)),"")</x:f>
      </x:c>
      <x:c r="K158" s="68" t="str">
        <x:f>IF(COLUMN()-2&lt;=$E$3,INDEX($B$10:$B$59,RANDBETWEEN(1,$E$3)),"")</x:f>
      </x:c>
      <x:c r="L158" s="68" t="str">
        <x:f>IF(COLUMN()-2&lt;=$E$3,INDEX($B$10:$B$59,RANDBETWEEN(1,$E$3)),"")</x:f>
      </x:c>
      <x:c r="M158" s="68" t="str">
        <x:f>IF(COLUMN()-2&lt;=$E$3,INDEX($B$10:$B$59,RANDBETWEEN(1,$E$3)),"")</x:f>
      </x:c>
      <x:c r="N158" s="68" t="str">
        <x:f>IF(COLUMN()-2&lt;=$E$3,INDEX($B$10:$B$59,RANDBETWEEN(1,$E$3)),"")</x:f>
      </x:c>
      <x:c r="O158" s="68" t="str">
        <x:f>IF(COLUMN()-2&lt;=$E$3,INDEX($B$10:$B$59,RANDBETWEEN(1,$E$3)),"")</x:f>
      </x:c>
      <x:c r="P158" s="68" t="str">
        <x:f>IF(COLUMN()-2&lt;=$E$3,INDEX($B$10:$B$59,RANDBETWEEN(1,$E$3)),"")</x:f>
      </x:c>
      <x:c r="Q158" s="68" t="str">
        <x:f>IF(COLUMN()-2&lt;=$E$3,INDEX($B$10:$B$59,RANDBETWEEN(1,$E$3)),"")</x:f>
      </x:c>
      <x:c r="R158" s="68" t="str">
        <x:f>IF(COLUMN()-2&lt;=$E$3,INDEX($B$10:$B$59,RANDBETWEEN(1,$E$3)),"")</x:f>
      </x:c>
      <x:c r="S158" s="68" t="str">
        <x:f>IF(COLUMN()-2&lt;=$E$3,INDEX($B$10:$B$59,RANDBETWEEN(1,$E$3)),"")</x:f>
      </x:c>
      <x:c r="T158" s="68" t="str">
        <x:f>IF(COLUMN()-2&lt;=$E$3,INDEX($B$10:$B$59,RANDBETWEEN(1,$E$3)),"")</x:f>
      </x:c>
      <x:c r="U158" s="68" t="str">
        <x:f>IF(COLUMN()-2&lt;=$E$3,INDEX($B$10:$B$59,RANDBETWEEN(1,$E$3)),"")</x:f>
      </x:c>
      <x:c r="V158" s="68" t="str">
        <x:f>IF(COLUMN()-2&lt;=$E$3,INDEX($B$10:$B$59,RANDBETWEEN(1,$E$3)),"")</x:f>
      </x:c>
      <x:c r="W158" s="68" t="str">
        <x:f>IF(COLUMN()-2&lt;=$E$3,INDEX($B$10:$B$59,RANDBETWEEN(1,$E$3)),"")</x:f>
      </x:c>
      <x:c r="X158" s="68" t="str">
        <x:f>IF(COLUMN()-2&lt;=$E$3,INDEX($B$10:$B$59,RANDBETWEEN(1,$E$3)),"")</x:f>
      </x:c>
      <x:c r="Y158" s="68" t="str">
        <x:f>IF(COLUMN()-2&lt;=$E$3,INDEX($B$10:$B$59,RANDBETWEEN(1,$E$3)),"")</x:f>
      </x:c>
      <x:c r="Z158" s="68" t="str">
        <x:f>IF(COLUMN()-2&lt;=$E$3,INDEX($B$10:$B$59,RANDBETWEEN(1,$E$3)),"")</x:f>
      </x:c>
      <x:c r="AA158" s="68" t="str">
        <x:f>IF(COLUMN()-2&lt;=$E$3,INDEX($B$10:$B$59,RANDBETWEEN(1,$E$3)),"")</x:f>
      </x:c>
      <x:c r="AB158" s="68" t="str">
        <x:f>IF(COLUMN()-2&lt;=$E$3,INDEX($B$10:$B$59,RANDBETWEEN(1,$E$3)),"")</x:f>
      </x:c>
      <x:c r="AC158" s="68" t="str">
        <x:f>IF(COLUMN()-2&lt;=$E$3,INDEX($B$10:$B$59,RANDBETWEEN(1,$E$3)),"")</x:f>
      </x:c>
      <x:c r="AD158" s="68" t="str">
        <x:f>IF(COLUMN()-2&lt;=$E$3,INDEX($B$10:$B$59,RANDBETWEEN(1,$E$3)),"")</x:f>
      </x:c>
      <x:c r="AE158" s="68" t="str">
        <x:f>IF(COLUMN()-2&lt;=$E$3,INDEX($B$10:$B$59,RANDBETWEEN(1,$E$3)),"")</x:f>
      </x:c>
      <x:c r="AF158" s="68" t="str">
        <x:f>IF(COLUMN()-2&lt;=$E$3,INDEX($B$10:$B$59,RANDBETWEEN(1,$E$3)),"")</x:f>
      </x:c>
      <x:c r="AG158" s="68" t="str">
        <x:f>IF(COLUMN()-2&lt;=$E$3,INDEX($B$10:$B$59,RANDBETWEEN(1,$E$3)),"")</x:f>
      </x:c>
      <x:c r="AH158" s="68" t="str">
        <x:f>IF(COLUMN()-2&lt;=$E$3,INDEX($B$10:$B$59,RANDBETWEEN(1,$E$3)),"")</x:f>
      </x:c>
      <x:c r="AI158" s="68" t="str">
        <x:f>IF(COLUMN()-2&lt;=$E$3,INDEX($B$10:$B$59,RANDBETWEEN(1,$E$3)),"")</x:f>
      </x:c>
      <x:c r="AJ158" s="68" t="str">
        <x:f>IF(COLUMN()-2&lt;=$E$3,INDEX($B$10:$B$59,RANDBETWEEN(1,$E$3)),"")</x:f>
      </x:c>
      <x:c r="AK158" s="68" t="str">
        <x:f>IF(COLUMN()-2&lt;=$E$3,INDEX($B$10:$B$59,RANDBETWEEN(1,$E$3)),"")</x:f>
      </x:c>
      <x:c r="AL158" s="68" t="str">
        <x:f>IF(COLUMN()-2&lt;=$E$3,INDEX($B$10:$B$59,RANDBETWEEN(1,$E$3)),"")</x:f>
      </x:c>
      <x:c r="AM158" s="68" t="str">
        <x:f>IF(COLUMN()-2&lt;=$E$3,INDEX($B$10:$B$59,RANDBETWEEN(1,$E$3)),"")</x:f>
      </x:c>
      <x:c r="AN158" s="68" t="str">
        <x:f>IF(COLUMN()-2&lt;=$E$3,INDEX($B$10:$B$59,RANDBETWEEN(1,$E$3)),"")</x:f>
      </x:c>
      <x:c r="AO158" s="68" t="str">
        <x:f>IF(COLUMN()-2&lt;=$E$3,INDEX($B$10:$B$59,RANDBETWEEN(1,$E$3)),"")</x:f>
      </x:c>
      <x:c r="AP158" s="68" t="str">
        <x:f>IF(COLUMN()-2&lt;=$E$3,INDEX($B$10:$B$59,RANDBETWEEN(1,$E$3)),"")</x:f>
      </x:c>
      <x:c r="AQ158" s="68" t="str">
        <x:f>IF(COLUMN()-2&lt;=$E$3,INDEX($B$10:$B$59,RANDBETWEEN(1,$E$3)),"")</x:f>
      </x:c>
      <x:c r="AR158" s="68" t="str">
        <x:f>IF(COLUMN()-2&lt;=$E$3,INDEX($B$10:$B$59,RANDBETWEEN(1,$E$3)),"")</x:f>
      </x:c>
      <x:c r="AS158" s="68" t="str">
        <x:f>IF(COLUMN()-2&lt;=$E$3,INDEX($B$10:$B$59,RANDBETWEEN(1,$E$3)),"")</x:f>
      </x:c>
      <x:c r="AT158" s="68" t="str">
        <x:f>IF(COLUMN()-2&lt;=$E$3,INDEX($B$10:$B$59,RANDBETWEEN(1,$E$3)),"")</x:f>
      </x:c>
      <x:c r="AU158" s="68" t="str">
        <x:f>IF(COLUMN()-2&lt;=$E$3,INDEX($B$10:$B$59,RANDBETWEEN(1,$E$3)),"")</x:f>
      </x:c>
      <x:c r="AV158" s="68" t="str">
        <x:f>IF(COLUMN()-2&lt;=$E$3,INDEX($B$10:$B$59,RANDBETWEEN(1,$E$3)),"")</x:f>
      </x:c>
      <x:c r="AW158" s="68" t="str">
        <x:f>IF(COLUMN()-2&lt;=$E$3,INDEX($B$10:$B$59,RANDBETWEEN(1,$E$3)),"")</x:f>
      </x:c>
      <x:c r="AX158" s="68" t="str">
        <x:f>IF(COLUMN()-2&lt;=$E$3,INDEX($B$10:$B$59,RANDBETWEEN(1,$E$3)),"")</x:f>
      </x:c>
      <x:c r="AY158" s="68" t="str">
        <x:f>IF(COLUMN()-2&lt;=$E$3,INDEX($B$10:$B$59,RANDBETWEEN(1,$E$3)),"")</x:f>
      </x:c>
      <x:c r="AZ158" s="68" t="str">
        <x:f>IF(COLUMN()-2&lt;=$E$3,INDEX($B$10:$B$59,RANDBETWEEN(1,$E$3)),"")</x:f>
      </x:c>
      <x:c r="BA158" s="68" t="str">
        <x:f>IF($E$3=0,"",AVERAGE(C158:AZ158))</x:f>
      </x:c>
    </x:row>
    <x:row r="159">
      <x:c r="A159" t="n">
        <x:v>95</x:v>
      </x:c>
      <x:c r="C159" s="68" t="str">
        <x:f>IF(COLUMN()-2&lt;=$E$3,INDEX($B$10:$B$59,RANDBETWEEN(1,$E$3)),"")</x:f>
      </x:c>
      <x:c r="D159" s="68" t="str">
        <x:f>IF(COLUMN()-2&lt;=$E$3,INDEX($B$10:$B$59,RANDBETWEEN(1,$E$3)),"")</x:f>
      </x:c>
      <x:c r="E159" s="68" t="str">
        <x:f>IF(COLUMN()-2&lt;=$E$3,INDEX($B$10:$B$59,RANDBETWEEN(1,$E$3)),"")</x:f>
      </x:c>
      <x:c r="F159" s="68" t="str">
        <x:f>IF(COLUMN()-2&lt;=$E$3,INDEX($B$10:$B$59,RANDBETWEEN(1,$E$3)),"")</x:f>
      </x:c>
      <x:c r="G159" s="68" t="str">
        <x:f>IF(COLUMN()-2&lt;=$E$3,INDEX($B$10:$B$59,RANDBETWEEN(1,$E$3)),"")</x:f>
      </x:c>
      <x:c r="H159" s="68" t="str">
        <x:f>IF(COLUMN()-2&lt;=$E$3,INDEX($B$10:$B$59,RANDBETWEEN(1,$E$3)),"")</x:f>
      </x:c>
      <x:c r="I159" s="68" t="str">
        <x:f>IF(COLUMN()-2&lt;=$E$3,INDEX($B$10:$B$59,RANDBETWEEN(1,$E$3)),"")</x:f>
      </x:c>
      <x:c r="J159" s="68" t="str">
        <x:f>IF(COLUMN()-2&lt;=$E$3,INDEX($B$10:$B$59,RANDBETWEEN(1,$E$3)),"")</x:f>
      </x:c>
      <x:c r="K159" s="68" t="str">
        <x:f>IF(COLUMN()-2&lt;=$E$3,INDEX($B$10:$B$59,RANDBETWEEN(1,$E$3)),"")</x:f>
      </x:c>
      <x:c r="L159" s="68" t="str">
        <x:f>IF(COLUMN()-2&lt;=$E$3,INDEX($B$10:$B$59,RANDBETWEEN(1,$E$3)),"")</x:f>
      </x:c>
      <x:c r="M159" s="68" t="str">
        <x:f>IF(COLUMN()-2&lt;=$E$3,INDEX($B$10:$B$59,RANDBETWEEN(1,$E$3)),"")</x:f>
      </x:c>
      <x:c r="N159" s="68" t="str">
        <x:f>IF(COLUMN()-2&lt;=$E$3,INDEX($B$10:$B$59,RANDBETWEEN(1,$E$3)),"")</x:f>
      </x:c>
      <x:c r="O159" s="68" t="str">
        <x:f>IF(COLUMN()-2&lt;=$E$3,INDEX($B$10:$B$59,RANDBETWEEN(1,$E$3)),"")</x:f>
      </x:c>
      <x:c r="P159" s="68" t="str">
        <x:f>IF(COLUMN()-2&lt;=$E$3,INDEX($B$10:$B$59,RANDBETWEEN(1,$E$3)),"")</x:f>
      </x:c>
      <x:c r="Q159" s="68" t="str">
        <x:f>IF(COLUMN()-2&lt;=$E$3,INDEX($B$10:$B$59,RANDBETWEEN(1,$E$3)),"")</x:f>
      </x:c>
      <x:c r="R159" s="68" t="str">
        <x:f>IF(COLUMN()-2&lt;=$E$3,INDEX($B$10:$B$59,RANDBETWEEN(1,$E$3)),"")</x:f>
      </x:c>
      <x:c r="S159" s="68" t="str">
        <x:f>IF(COLUMN()-2&lt;=$E$3,INDEX($B$10:$B$59,RANDBETWEEN(1,$E$3)),"")</x:f>
      </x:c>
      <x:c r="T159" s="68" t="str">
        <x:f>IF(COLUMN()-2&lt;=$E$3,INDEX($B$10:$B$59,RANDBETWEEN(1,$E$3)),"")</x:f>
      </x:c>
      <x:c r="U159" s="68" t="str">
        <x:f>IF(COLUMN()-2&lt;=$E$3,INDEX($B$10:$B$59,RANDBETWEEN(1,$E$3)),"")</x:f>
      </x:c>
      <x:c r="V159" s="68" t="str">
        <x:f>IF(COLUMN()-2&lt;=$E$3,INDEX($B$10:$B$59,RANDBETWEEN(1,$E$3)),"")</x:f>
      </x:c>
      <x:c r="W159" s="68" t="str">
        <x:f>IF(COLUMN()-2&lt;=$E$3,INDEX($B$10:$B$59,RANDBETWEEN(1,$E$3)),"")</x:f>
      </x:c>
      <x:c r="X159" s="68" t="str">
        <x:f>IF(COLUMN()-2&lt;=$E$3,INDEX($B$10:$B$59,RANDBETWEEN(1,$E$3)),"")</x:f>
      </x:c>
      <x:c r="Y159" s="68" t="str">
        <x:f>IF(COLUMN()-2&lt;=$E$3,INDEX($B$10:$B$59,RANDBETWEEN(1,$E$3)),"")</x:f>
      </x:c>
      <x:c r="Z159" s="68" t="str">
        <x:f>IF(COLUMN()-2&lt;=$E$3,INDEX($B$10:$B$59,RANDBETWEEN(1,$E$3)),"")</x:f>
      </x:c>
      <x:c r="AA159" s="68" t="str">
        <x:f>IF(COLUMN()-2&lt;=$E$3,INDEX($B$10:$B$59,RANDBETWEEN(1,$E$3)),"")</x:f>
      </x:c>
      <x:c r="AB159" s="68" t="str">
        <x:f>IF(COLUMN()-2&lt;=$E$3,INDEX($B$10:$B$59,RANDBETWEEN(1,$E$3)),"")</x:f>
      </x:c>
      <x:c r="AC159" s="68" t="str">
        <x:f>IF(COLUMN()-2&lt;=$E$3,INDEX($B$10:$B$59,RANDBETWEEN(1,$E$3)),"")</x:f>
      </x:c>
      <x:c r="AD159" s="68" t="str">
        <x:f>IF(COLUMN()-2&lt;=$E$3,INDEX($B$10:$B$59,RANDBETWEEN(1,$E$3)),"")</x:f>
      </x:c>
      <x:c r="AE159" s="68" t="str">
        <x:f>IF(COLUMN()-2&lt;=$E$3,INDEX($B$10:$B$59,RANDBETWEEN(1,$E$3)),"")</x:f>
      </x:c>
      <x:c r="AF159" s="68" t="str">
        <x:f>IF(COLUMN()-2&lt;=$E$3,INDEX($B$10:$B$59,RANDBETWEEN(1,$E$3)),"")</x:f>
      </x:c>
      <x:c r="AG159" s="68" t="str">
        <x:f>IF(COLUMN()-2&lt;=$E$3,INDEX($B$10:$B$59,RANDBETWEEN(1,$E$3)),"")</x:f>
      </x:c>
      <x:c r="AH159" s="68" t="str">
        <x:f>IF(COLUMN()-2&lt;=$E$3,INDEX($B$10:$B$59,RANDBETWEEN(1,$E$3)),"")</x:f>
      </x:c>
      <x:c r="AI159" s="68" t="str">
        <x:f>IF(COLUMN()-2&lt;=$E$3,INDEX($B$10:$B$59,RANDBETWEEN(1,$E$3)),"")</x:f>
      </x:c>
      <x:c r="AJ159" s="68" t="str">
        <x:f>IF(COLUMN()-2&lt;=$E$3,INDEX($B$10:$B$59,RANDBETWEEN(1,$E$3)),"")</x:f>
      </x:c>
      <x:c r="AK159" s="68" t="str">
        <x:f>IF(COLUMN()-2&lt;=$E$3,INDEX($B$10:$B$59,RANDBETWEEN(1,$E$3)),"")</x:f>
      </x:c>
      <x:c r="AL159" s="68" t="str">
        <x:f>IF(COLUMN()-2&lt;=$E$3,INDEX($B$10:$B$59,RANDBETWEEN(1,$E$3)),"")</x:f>
      </x:c>
      <x:c r="AM159" s="68" t="str">
        <x:f>IF(COLUMN()-2&lt;=$E$3,INDEX($B$10:$B$59,RANDBETWEEN(1,$E$3)),"")</x:f>
      </x:c>
      <x:c r="AN159" s="68" t="str">
        <x:f>IF(COLUMN()-2&lt;=$E$3,INDEX($B$10:$B$59,RANDBETWEEN(1,$E$3)),"")</x:f>
      </x:c>
      <x:c r="AO159" s="68" t="str">
        <x:f>IF(COLUMN()-2&lt;=$E$3,INDEX($B$10:$B$59,RANDBETWEEN(1,$E$3)),"")</x:f>
      </x:c>
      <x:c r="AP159" s="68" t="str">
        <x:f>IF(COLUMN()-2&lt;=$E$3,INDEX($B$10:$B$59,RANDBETWEEN(1,$E$3)),"")</x:f>
      </x:c>
      <x:c r="AQ159" s="68" t="str">
        <x:f>IF(COLUMN()-2&lt;=$E$3,INDEX($B$10:$B$59,RANDBETWEEN(1,$E$3)),"")</x:f>
      </x:c>
      <x:c r="AR159" s="68" t="str">
        <x:f>IF(COLUMN()-2&lt;=$E$3,INDEX($B$10:$B$59,RANDBETWEEN(1,$E$3)),"")</x:f>
      </x:c>
      <x:c r="AS159" s="68" t="str">
        <x:f>IF(COLUMN()-2&lt;=$E$3,INDEX($B$10:$B$59,RANDBETWEEN(1,$E$3)),"")</x:f>
      </x:c>
      <x:c r="AT159" s="68" t="str">
        <x:f>IF(COLUMN()-2&lt;=$E$3,INDEX($B$10:$B$59,RANDBETWEEN(1,$E$3)),"")</x:f>
      </x:c>
      <x:c r="AU159" s="68" t="str">
        <x:f>IF(COLUMN()-2&lt;=$E$3,INDEX($B$10:$B$59,RANDBETWEEN(1,$E$3)),"")</x:f>
      </x:c>
      <x:c r="AV159" s="68" t="str">
        <x:f>IF(COLUMN()-2&lt;=$E$3,INDEX($B$10:$B$59,RANDBETWEEN(1,$E$3)),"")</x:f>
      </x:c>
      <x:c r="AW159" s="68" t="str">
        <x:f>IF(COLUMN()-2&lt;=$E$3,INDEX($B$10:$B$59,RANDBETWEEN(1,$E$3)),"")</x:f>
      </x:c>
      <x:c r="AX159" s="68" t="str">
        <x:f>IF(COLUMN()-2&lt;=$E$3,INDEX($B$10:$B$59,RANDBETWEEN(1,$E$3)),"")</x:f>
      </x:c>
      <x:c r="AY159" s="68" t="str">
        <x:f>IF(COLUMN()-2&lt;=$E$3,INDEX($B$10:$B$59,RANDBETWEEN(1,$E$3)),"")</x:f>
      </x:c>
      <x:c r="AZ159" s="68" t="str">
        <x:f>IF(COLUMN()-2&lt;=$E$3,INDEX($B$10:$B$59,RANDBETWEEN(1,$E$3)),"")</x:f>
      </x:c>
      <x:c r="BA159" s="68" t="str">
        <x:f>IF($E$3=0,"",AVERAGE(C159:AZ159))</x:f>
      </x:c>
    </x:row>
    <x:row r="160">
      <x:c r="A160" t="n">
        <x:v>96</x:v>
      </x:c>
      <x:c r="C160" s="68" t="str">
        <x:f>IF(COLUMN()-2&lt;=$E$3,INDEX($B$10:$B$59,RANDBETWEEN(1,$E$3)),"")</x:f>
      </x:c>
      <x:c r="D160" s="68" t="str">
        <x:f>IF(COLUMN()-2&lt;=$E$3,INDEX($B$10:$B$59,RANDBETWEEN(1,$E$3)),"")</x:f>
      </x:c>
      <x:c r="E160" s="68" t="str">
        <x:f>IF(COLUMN()-2&lt;=$E$3,INDEX($B$10:$B$59,RANDBETWEEN(1,$E$3)),"")</x:f>
      </x:c>
      <x:c r="F160" s="68" t="str">
        <x:f>IF(COLUMN()-2&lt;=$E$3,INDEX($B$10:$B$59,RANDBETWEEN(1,$E$3)),"")</x:f>
      </x:c>
      <x:c r="G160" s="68" t="str">
        <x:f>IF(COLUMN()-2&lt;=$E$3,INDEX($B$10:$B$59,RANDBETWEEN(1,$E$3)),"")</x:f>
      </x:c>
      <x:c r="H160" s="68" t="str">
        <x:f>IF(COLUMN()-2&lt;=$E$3,INDEX($B$10:$B$59,RANDBETWEEN(1,$E$3)),"")</x:f>
      </x:c>
      <x:c r="I160" s="68" t="str">
        <x:f>IF(COLUMN()-2&lt;=$E$3,INDEX($B$10:$B$59,RANDBETWEEN(1,$E$3)),"")</x:f>
      </x:c>
      <x:c r="J160" s="68" t="str">
        <x:f>IF(COLUMN()-2&lt;=$E$3,INDEX($B$10:$B$59,RANDBETWEEN(1,$E$3)),"")</x:f>
      </x:c>
      <x:c r="K160" s="68" t="str">
        <x:f>IF(COLUMN()-2&lt;=$E$3,INDEX($B$10:$B$59,RANDBETWEEN(1,$E$3)),"")</x:f>
      </x:c>
      <x:c r="L160" s="68" t="str">
        <x:f>IF(COLUMN()-2&lt;=$E$3,INDEX($B$10:$B$59,RANDBETWEEN(1,$E$3)),"")</x:f>
      </x:c>
      <x:c r="M160" s="68" t="str">
        <x:f>IF(COLUMN()-2&lt;=$E$3,INDEX($B$10:$B$59,RANDBETWEEN(1,$E$3)),"")</x:f>
      </x:c>
      <x:c r="N160" s="68" t="str">
        <x:f>IF(COLUMN()-2&lt;=$E$3,INDEX($B$10:$B$59,RANDBETWEEN(1,$E$3)),"")</x:f>
      </x:c>
      <x:c r="O160" s="68" t="str">
        <x:f>IF(COLUMN()-2&lt;=$E$3,INDEX($B$10:$B$59,RANDBETWEEN(1,$E$3)),"")</x:f>
      </x:c>
      <x:c r="P160" s="68" t="str">
        <x:f>IF(COLUMN()-2&lt;=$E$3,INDEX($B$10:$B$59,RANDBETWEEN(1,$E$3)),"")</x:f>
      </x:c>
      <x:c r="Q160" s="68" t="str">
        <x:f>IF(COLUMN()-2&lt;=$E$3,INDEX($B$10:$B$59,RANDBETWEEN(1,$E$3)),"")</x:f>
      </x:c>
      <x:c r="R160" s="68" t="str">
        <x:f>IF(COLUMN()-2&lt;=$E$3,INDEX($B$10:$B$59,RANDBETWEEN(1,$E$3)),"")</x:f>
      </x:c>
      <x:c r="S160" s="68" t="str">
        <x:f>IF(COLUMN()-2&lt;=$E$3,INDEX($B$10:$B$59,RANDBETWEEN(1,$E$3)),"")</x:f>
      </x:c>
      <x:c r="T160" s="68" t="str">
        <x:f>IF(COLUMN()-2&lt;=$E$3,INDEX($B$10:$B$59,RANDBETWEEN(1,$E$3)),"")</x:f>
      </x:c>
      <x:c r="U160" s="68" t="str">
        <x:f>IF(COLUMN()-2&lt;=$E$3,INDEX($B$10:$B$59,RANDBETWEEN(1,$E$3)),"")</x:f>
      </x:c>
      <x:c r="V160" s="68" t="str">
        <x:f>IF(COLUMN()-2&lt;=$E$3,INDEX($B$10:$B$59,RANDBETWEEN(1,$E$3)),"")</x:f>
      </x:c>
      <x:c r="W160" s="68" t="str">
        <x:f>IF(COLUMN()-2&lt;=$E$3,INDEX($B$10:$B$59,RANDBETWEEN(1,$E$3)),"")</x:f>
      </x:c>
      <x:c r="X160" s="68" t="str">
        <x:f>IF(COLUMN()-2&lt;=$E$3,INDEX($B$10:$B$59,RANDBETWEEN(1,$E$3)),"")</x:f>
      </x:c>
      <x:c r="Y160" s="68" t="str">
        <x:f>IF(COLUMN()-2&lt;=$E$3,INDEX($B$10:$B$59,RANDBETWEEN(1,$E$3)),"")</x:f>
      </x:c>
      <x:c r="Z160" s="68" t="str">
        <x:f>IF(COLUMN()-2&lt;=$E$3,INDEX($B$10:$B$59,RANDBETWEEN(1,$E$3)),"")</x:f>
      </x:c>
      <x:c r="AA160" s="68" t="str">
        <x:f>IF(COLUMN()-2&lt;=$E$3,INDEX($B$10:$B$59,RANDBETWEEN(1,$E$3)),"")</x:f>
      </x:c>
      <x:c r="AB160" s="68" t="str">
        <x:f>IF(COLUMN()-2&lt;=$E$3,INDEX($B$10:$B$59,RANDBETWEEN(1,$E$3)),"")</x:f>
      </x:c>
      <x:c r="AC160" s="68" t="str">
        <x:f>IF(COLUMN()-2&lt;=$E$3,INDEX($B$10:$B$59,RANDBETWEEN(1,$E$3)),"")</x:f>
      </x:c>
      <x:c r="AD160" s="68" t="str">
        <x:f>IF(COLUMN()-2&lt;=$E$3,INDEX($B$10:$B$59,RANDBETWEEN(1,$E$3)),"")</x:f>
      </x:c>
      <x:c r="AE160" s="68" t="str">
        <x:f>IF(COLUMN()-2&lt;=$E$3,INDEX($B$10:$B$59,RANDBETWEEN(1,$E$3)),"")</x:f>
      </x:c>
      <x:c r="AF160" s="68" t="str">
        <x:f>IF(COLUMN()-2&lt;=$E$3,INDEX($B$10:$B$59,RANDBETWEEN(1,$E$3)),"")</x:f>
      </x:c>
      <x:c r="AG160" s="68" t="str">
        <x:f>IF(COLUMN()-2&lt;=$E$3,INDEX($B$10:$B$59,RANDBETWEEN(1,$E$3)),"")</x:f>
      </x:c>
      <x:c r="AH160" s="68" t="str">
        <x:f>IF(COLUMN()-2&lt;=$E$3,INDEX($B$10:$B$59,RANDBETWEEN(1,$E$3)),"")</x:f>
      </x:c>
      <x:c r="AI160" s="68" t="str">
        <x:f>IF(COLUMN()-2&lt;=$E$3,INDEX($B$10:$B$59,RANDBETWEEN(1,$E$3)),"")</x:f>
      </x:c>
      <x:c r="AJ160" s="68" t="str">
        <x:f>IF(COLUMN()-2&lt;=$E$3,INDEX($B$10:$B$59,RANDBETWEEN(1,$E$3)),"")</x:f>
      </x:c>
      <x:c r="AK160" s="68" t="str">
        <x:f>IF(COLUMN()-2&lt;=$E$3,INDEX($B$10:$B$59,RANDBETWEEN(1,$E$3)),"")</x:f>
      </x:c>
      <x:c r="AL160" s="68" t="str">
        <x:f>IF(COLUMN()-2&lt;=$E$3,INDEX($B$10:$B$59,RANDBETWEEN(1,$E$3)),"")</x:f>
      </x:c>
      <x:c r="AM160" s="68" t="str">
        <x:f>IF(COLUMN()-2&lt;=$E$3,INDEX($B$10:$B$59,RANDBETWEEN(1,$E$3)),"")</x:f>
      </x:c>
      <x:c r="AN160" s="68" t="str">
        <x:f>IF(COLUMN()-2&lt;=$E$3,INDEX($B$10:$B$59,RANDBETWEEN(1,$E$3)),"")</x:f>
      </x:c>
      <x:c r="AO160" s="68" t="str">
        <x:f>IF(COLUMN()-2&lt;=$E$3,INDEX($B$10:$B$59,RANDBETWEEN(1,$E$3)),"")</x:f>
      </x:c>
      <x:c r="AP160" s="68" t="str">
        <x:f>IF(COLUMN()-2&lt;=$E$3,INDEX($B$10:$B$59,RANDBETWEEN(1,$E$3)),"")</x:f>
      </x:c>
      <x:c r="AQ160" s="68" t="str">
        <x:f>IF(COLUMN()-2&lt;=$E$3,INDEX($B$10:$B$59,RANDBETWEEN(1,$E$3)),"")</x:f>
      </x:c>
      <x:c r="AR160" s="68" t="str">
        <x:f>IF(COLUMN()-2&lt;=$E$3,INDEX($B$10:$B$59,RANDBETWEEN(1,$E$3)),"")</x:f>
      </x:c>
      <x:c r="AS160" s="68" t="str">
        <x:f>IF(COLUMN()-2&lt;=$E$3,INDEX($B$10:$B$59,RANDBETWEEN(1,$E$3)),"")</x:f>
      </x:c>
      <x:c r="AT160" s="68" t="str">
        <x:f>IF(COLUMN()-2&lt;=$E$3,INDEX($B$10:$B$59,RANDBETWEEN(1,$E$3)),"")</x:f>
      </x:c>
      <x:c r="AU160" s="68" t="str">
        <x:f>IF(COLUMN()-2&lt;=$E$3,INDEX($B$10:$B$59,RANDBETWEEN(1,$E$3)),"")</x:f>
      </x:c>
      <x:c r="AV160" s="68" t="str">
        <x:f>IF(COLUMN()-2&lt;=$E$3,INDEX($B$10:$B$59,RANDBETWEEN(1,$E$3)),"")</x:f>
      </x:c>
      <x:c r="AW160" s="68" t="str">
        <x:f>IF(COLUMN()-2&lt;=$E$3,INDEX($B$10:$B$59,RANDBETWEEN(1,$E$3)),"")</x:f>
      </x:c>
      <x:c r="AX160" s="68" t="str">
        <x:f>IF(COLUMN()-2&lt;=$E$3,INDEX($B$10:$B$59,RANDBETWEEN(1,$E$3)),"")</x:f>
      </x:c>
      <x:c r="AY160" s="68" t="str">
        <x:f>IF(COLUMN()-2&lt;=$E$3,INDEX($B$10:$B$59,RANDBETWEEN(1,$E$3)),"")</x:f>
      </x:c>
      <x:c r="AZ160" s="68" t="str">
        <x:f>IF(COLUMN()-2&lt;=$E$3,INDEX($B$10:$B$59,RANDBETWEEN(1,$E$3)),"")</x:f>
      </x:c>
      <x:c r="BA160" s="68" t="str">
        <x:f>IF($E$3=0,"",AVERAGE(C160:AZ160))</x:f>
      </x:c>
    </x:row>
    <x:row r="161">
      <x:c r="A161" t="n">
        <x:v>97</x:v>
      </x:c>
      <x:c r="C161" s="68" t="str">
        <x:f>IF(COLUMN()-2&lt;=$E$3,INDEX($B$10:$B$59,RANDBETWEEN(1,$E$3)),"")</x:f>
      </x:c>
      <x:c r="D161" s="68" t="str">
        <x:f>IF(COLUMN()-2&lt;=$E$3,INDEX($B$10:$B$59,RANDBETWEEN(1,$E$3)),"")</x:f>
      </x:c>
      <x:c r="E161" s="68" t="str">
        <x:f>IF(COLUMN()-2&lt;=$E$3,INDEX($B$10:$B$59,RANDBETWEEN(1,$E$3)),"")</x:f>
      </x:c>
      <x:c r="F161" s="68" t="str">
        <x:f>IF(COLUMN()-2&lt;=$E$3,INDEX($B$10:$B$59,RANDBETWEEN(1,$E$3)),"")</x:f>
      </x:c>
      <x:c r="G161" s="68" t="str">
        <x:f>IF(COLUMN()-2&lt;=$E$3,INDEX($B$10:$B$59,RANDBETWEEN(1,$E$3)),"")</x:f>
      </x:c>
      <x:c r="H161" s="68" t="str">
        <x:f>IF(COLUMN()-2&lt;=$E$3,INDEX($B$10:$B$59,RANDBETWEEN(1,$E$3)),"")</x:f>
      </x:c>
      <x:c r="I161" s="68" t="str">
        <x:f>IF(COLUMN()-2&lt;=$E$3,INDEX($B$10:$B$59,RANDBETWEEN(1,$E$3)),"")</x:f>
      </x:c>
      <x:c r="J161" s="68" t="str">
        <x:f>IF(COLUMN()-2&lt;=$E$3,INDEX($B$10:$B$59,RANDBETWEEN(1,$E$3)),"")</x:f>
      </x:c>
      <x:c r="K161" s="68" t="str">
        <x:f>IF(COLUMN()-2&lt;=$E$3,INDEX($B$10:$B$59,RANDBETWEEN(1,$E$3)),"")</x:f>
      </x:c>
      <x:c r="L161" s="68" t="str">
        <x:f>IF(COLUMN()-2&lt;=$E$3,INDEX($B$10:$B$59,RANDBETWEEN(1,$E$3)),"")</x:f>
      </x:c>
      <x:c r="M161" s="68" t="str">
        <x:f>IF(COLUMN()-2&lt;=$E$3,INDEX($B$10:$B$59,RANDBETWEEN(1,$E$3)),"")</x:f>
      </x:c>
      <x:c r="N161" s="68" t="str">
        <x:f>IF(COLUMN()-2&lt;=$E$3,INDEX($B$10:$B$59,RANDBETWEEN(1,$E$3)),"")</x:f>
      </x:c>
      <x:c r="O161" s="68" t="str">
        <x:f>IF(COLUMN()-2&lt;=$E$3,INDEX($B$10:$B$59,RANDBETWEEN(1,$E$3)),"")</x:f>
      </x:c>
      <x:c r="P161" s="68" t="str">
        <x:f>IF(COLUMN()-2&lt;=$E$3,INDEX($B$10:$B$59,RANDBETWEEN(1,$E$3)),"")</x:f>
      </x:c>
      <x:c r="Q161" s="68" t="str">
        <x:f>IF(COLUMN()-2&lt;=$E$3,INDEX($B$10:$B$59,RANDBETWEEN(1,$E$3)),"")</x:f>
      </x:c>
      <x:c r="R161" s="68" t="str">
        <x:f>IF(COLUMN()-2&lt;=$E$3,INDEX($B$10:$B$59,RANDBETWEEN(1,$E$3)),"")</x:f>
      </x:c>
      <x:c r="S161" s="68" t="str">
        <x:f>IF(COLUMN()-2&lt;=$E$3,INDEX($B$10:$B$59,RANDBETWEEN(1,$E$3)),"")</x:f>
      </x:c>
      <x:c r="T161" s="68" t="str">
        <x:f>IF(COLUMN()-2&lt;=$E$3,INDEX($B$10:$B$59,RANDBETWEEN(1,$E$3)),"")</x:f>
      </x:c>
      <x:c r="U161" s="68" t="str">
        <x:f>IF(COLUMN()-2&lt;=$E$3,INDEX($B$10:$B$59,RANDBETWEEN(1,$E$3)),"")</x:f>
      </x:c>
      <x:c r="V161" s="68" t="str">
        <x:f>IF(COLUMN()-2&lt;=$E$3,INDEX($B$10:$B$59,RANDBETWEEN(1,$E$3)),"")</x:f>
      </x:c>
      <x:c r="W161" s="68" t="str">
        <x:f>IF(COLUMN()-2&lt;=$E$3,INDEX($B$10:$B$59,RANDBETWEEN(1,$E$3)),"")</x:f>
      </x:c>
      <x:c r="X161" s="68" t="str">
        <x:f>IF(COLUMN()-2&lt;=$E$3,INDEX($B$10:$B$59,RANDBETWEEN(1,$E$3)),"")</x:f>
      </x:c>
      <x:c r="Y161" s="68" t="str">
        <x:f>IF(COLUMN()-2&lt;=$E$3,INDEX($B$10:$B$59,RANDBETWEEN(1,$E$3)),"")</x:f>
      </x:c>
      <x:c r="Z161" s="68" t="str">
        <x:f>IF(COLUMN()-2&lt;=$E$3,INDEX($B$10:$B$59,RANDBETWEEN(1,$E$3)),"")</x:f>
      </x:c>
      <x:c r="AA161" s="68" t="str">
        <x:f>IF(COLUMN()-2&lt;=$E$3,INDEX($B$10:$B$59,RANDBETWEEN(1,$E$3)),"")</x:f>
      </x:c>
      <x:c r="AB161" s="68" t="str">
        <x:f>IF(COLUMN()-2&lt;=$E$3,INDEX($B$10:$B$59,RANDBETWEEN(1,$E$3)),"")</x:f>
      </x:c>
      <x:c r="AC161" s="68" t="str">
        <x:f>IF(COLUMN()-2&lt;=$E$3,INDEX($B$10:$B$59,RANDBETWEEN(1,$E$3)),"")</x:f>
      </x:c>
      <x:c r="AD161" s="68" t="str">
        <x:f>IF(COLUMN()-2&lt;=$E$3,INDEX($B$10:$B$59,RANDBETWEEN(1,$E$3)),"")</x:f>
      </x:c>
      <x:c r="AE161" s="68" t="str">
        <x:f>IF(COLUMN()-2&lt;=$E$3,INDEX($B$10:$B$59,RANDBETWEEN(1,$E$3)),"")</x:f>
      </x:c>
      <x:c r="AF161" s="68" t="str">
        <x:f>IF(COLUMN()-2&lt;=$E$3,INDEX($B$10:$B$59,RANDBETWEEN(1,$E$3)),"")</x:f>
      </x:c>
      <x:c r="AG161" s="68" t="str">
        <x:f>IF(COLUMN()-2&lt;=$E$3,INDEX($B$10:$B$59,RANDBETWEEN(1,$E$3)),"")</x:f>
      </x:c>
      <x:c r="AH161" s="68" t="str">
        <x:f>IF(COLUMN()-2&lt;=$E$3,INDEX($B$10:$B$59,RANDBETWEEN(1,$E$3)),"")</x:f>
      </x:c>
      <x:c r="AI161" s="68" t="str">
        <x:f>IF(COLUMN()-2&lt;=$E$3,INDEX($B$10:$B$59,RANDBETWEEN(1,$E$3)),"")</x:f>
      </x:c>
      <x:c r="AJ161" s="68" t="str">
        <x:f>IF(COLUMN()-2&lt;=$E$3,INDEX($B$10:$B$59,RANDBETWEEN(1,$E$3)),"")</x:f>
      </x:c>
      <x:c r="AK161" s="68" t="str">
        <x:f>IF(COLUMN()-2&lt;=$E$3,INDEX($B$10:$B$59,RANDBETWEEN(1,$E$3)),"")</x:f>
      </x:c>
      <x:c r="AL161" s="68" t="str">
        <x:f>IF(COLUMN()-2&lt;=$E$3,INDEX($B$10:$B$59,RANDBETWEEN(1,$E$3)),"")</x:f>
      </x:c>
      <x:c r="AM161" s="68" t="str">
        <x:f>IF(COLUMN()-2&lt;=$E$3,INDEX($B$10:$B$59,RANDBETWEEN(1,$E$3)),"")</x:f>
      </x:c>
      <x:c r="AN161" s="68" t="str">
        <x:f>IF(COLUMN()-2&lt;=$E$3,INDEX($B$10:$B$59,RANDBETWEEN(1,$E$3)),"")</x:f>
      </x:c>
      <x:c r="AO161" s="68" t="str">
        <x:f>IF(COLUMN()-2&lt;=$E$3,INDEX($B$10:$B$59,RANDBETWEEN(1,$E$3)),"")</x:f>
      </x:c>
      <x:c r="AP161" s="68" t="str">
        <x:f>IF(COLUMN()-2&lt;=$E$3,INDEX($B$10:$B$59,RANDBETWEEN(1,$E$3)),"")</x:f>
      </x:c>
      <x:c r="AQ161" s="68" t="str">
        <x:f>IF(COLUMN()-2&lt;=$E$3,INDEX($B$10:$B$59,RANDBETWEEN(1,$E$3)),"")</x:f>
      </x:c>
      <x:c r="AR161" s="68" t="str">
        <x:f>IF(COLUMN()-2&lt;=$E$3,INDEX($B$10:$B$59,RANDBETWEEN(1,$E$3)),"")</x:f>
      </x:c>
      <x:c r="AS161" s="68" t="str">
        <x:f>IF(COLUMN()-2&lt;=$E$3,INDEX($B$10:$B$59,RANDBETWEEN(1,$E$3)),"")</x:f>
      </x:c>
      <x:c r="AT161" s="68" t="str">
        <x:f>IF(COLUMN()-2&lt;=$E$3,INDEX($B$10:$B$59,RANDBETWEEN(1,$E$3)),"")</x:f>
      </x:c>
      <x:c r="AU161" s="68" t="str">
        <x:f>IF(COLUMN()-2&lt;=$E$3,INDEX($B$10:$B$59,RANDBETWEEN(1,$E$3)),"")</x:f>
      </x:c>
      <x:c r="AV161" s="68" t="str">
        <x:f>IF(COLUMN()-2&lt;=$E$3,INDEX($B$10:$B$59,RANDBETWEEN(1,$E$3)),"")</x:f>
      </x:c>
      <x:c r="AW161" s="68" t="str">
        <x:f>IF(COLUMN()-2&lt;=$E$3,INDEX($B$10:$B$59,RANDBETWEEN(1,$E$3)),"")</x:f>
      </x:c>
      <x:c r="AX161" s="68" t="str">
        <x:f>IF(COLUMN()-2&lt;=$E$3,INDEX($B$10:$B$59,RANDBETWEEN(1,$E$3)),"")</x:f>
      </x:c>
      <x:c r="AY161" s="68" t="str">
        <x:f>IF(COLUMN()-2&lt;=$E$3,INDEX($B$10:$B$59,RANDBETWEEN(1,$E$3)),"")</x:f>
      </x:c>
      <x:c r="AZ161" s="68" t="str">
        <x:f>IF(COLUMN()-2&lt;=$E$3,INDEX($B$10:$B$59,RANDBETWEEN(1,$E$3)),"")</x:f>
      </x:c>
      <x:c r="BA161" s="68" t="str">
        <x:f>IF($E$3=0,"",AVERAGE(C161:AZ161))</x:f>
      </x:c>
    </x:row>
    <x:row r="162">
      <x:c r="A162" t="n">
        <x:v>98</x:v>
      </x:c>
      <x:c r="C162" s="68" t="str">
        <x:f>IF(COLUMN()-2&lt;=$E$3,INDEX($B$10:$B$59,RANDBETWEEN(1,$E$3)),"")</x:f>
      </x:c>
      <x:c r="D162" s="68" t="str">
        <x:f>IF(COLUMN()-2&lt;=$E$3,INDEX($B$10:$B$59,RANDBETWEEN(1,$E$3)),"")</x:f>
      </x:c>
      <x:c r="E162" s="68" t="str">
        <x:f>IF(COLUMN()-2&lt;=$E$3,INDEX($B$10:$B$59,RANDBETWEEN(1,$E$3)),"")</x:f>
      </x:c>
      <x:c r="F162" s="68" t="str">
        <x:f>IF(COLUMN()-2&lt;=$E$3,INDEX($B$10:$B$59,RANDBETWEEN(1,$E$3)),"")</x:f>
      </x:c>
      <x:c r="G162" s="68" t="str">
        <x:f>IF(COLUMN()-2&lt;=$E$3,INDEX($B$10:$B$59,RANDBETWEEN(1,$E$3)),"")</x:f>
      </x:c>
      <x:c r="H162" s="68" t="str">
        <x:f>IF(COLUMN()-2&lt;=$E$3,INDEX($B$10:$B$59,RANDBETWEEN(1,$E$3)),"")</x:f>
      </x:c>
      <x:c r="I162" s="68" t="str">
        <x:f>IF(COLUMN()-2&lt;=$E$3,INDEX($B$10:$B$59,RANDBETWEEN(1,$E$3)),"")</x:f>
      </x:c>
      <x:c r="J162" s="68" t="str">
        <x:f>IF(COLUMN()-2&lt;=$E$3,INDEX($B$10:$B$59,RANDBETWEEN(1,$E$3)),"")</x:f>
      </x:c>
      <x:c r="K162" s="68" t="str">
        <x:f>IF(COLUMN()-2&lt;=$E$3,INDEX($B$10:$B$59,RANDBETWEEN(1,$E$3)),"")</x:f>
      </x:c>
      <x:c r="L162" s="68" t="str">
        <x:f>IF(COLUMN()-2&lt;=$E$3,INDEX($B$10:$B$59,RANDBETWEEN(1,$E$3)),"")</x:f>
      </x:c>
      <x:c r="M162" s="68" t="str">
        <x:f>IF(COLUMN()-2&lt;=$E$3,INDEX($B$10:$B$59,RANDBETWEEN(1,$E$3)),"")</x:f>
      </x:c>
      <x:c r="N162" s="68" t="str">
        <x:f>IF(COLUMN()-2&lt;=$E$3,INDEX($B$10:$B$59,RANDBETWEEN(1,$E$3)),"")</x:f>
      </x:c>
      <x:c r="O162" s="68" t="str">
        <x:f>IF(COLUMN()-2&lt;=$E$3,INDEX($B$10:$B$59,RANDBETWEEN(1,$E$3)),"")</x:f>
      </x:c>
      <x:c r="P162" s="68" t="str">
        <x:f>IF(COLUMN()-2&lt;=$E$3,INDEX($B$10:$B$59,RANDBETWEEN(1,$E$3)),"")</x:f>
      </x:c>
      <x:c r="Q162" s="68" t="str">
        <x:f>IF(COLUMN()-2&lt;=$E$3,INDEX($B$10:$B$59,RANDBETWEEN(1,$E$3)),"")</x:f>
      </x:c>
      <x:c r="R162" s="68" t="str">
        <x:f>IF(COLUMN()-2&lt;=$E$3,INDEX($B$10:$B$59,RANDBETWEEN(1,$E$3)),"")</x:f>
      </x:c>
      <x:c r="S162" s="68" t="str">
        <x:f>IF(COLUMN()-2&lt;=$E$3,INDEX($B$10:$B$59,RANDBETWEEN(1,$E$3)),"")</x:f>
      </x:c>
      <x:c r="T162" s="68" t="str">
        <x:f>IF(COLUMN()-2&lt;=$E$3,INDEX($B$10:$B$59,RANDBETWEEN(1,$E$3)),"")</x:f>
      </x:c>
      <x:c r="U162" s="68" t="str">
        <x:f>IF(COLUMN()-2&lt;=$E$3,INDEX($B$10:$B$59,RANDBETWEEN(1,$E$3)),"")</x:f>
      </x:c>
      <x:c r="V162" s="68" t="str">
        <x:f>IF(COLUMN()-2&lt;=$E$3,INDEX($B$10:$B$59,RANDBETWEEN(1,$E$3)),"")</x:f>
      </x:c>
      <x:c r="W162" s="68" t="str">
        <x:f>IF(COLUMN()-2&lt;=$E$3,INDEX($B$10:$B$59,RANDBETWEEN(1,$E$3)),"")</x:f>
      </x:c>
      <x:c r="X162" s="68" t="str">
        <x:f>IF(COLUMN()-2&lt;=$E$3,INDEX($B$10:$B$59,RANDBETWEEN(1,$E$3)),"")</x:f>
      </x:c>
      <x:c r="Y162" s="68" t="str">
        <x:f>IF(COLUMN()-2&lt;=$E$3,INDEX($B$10:$B$59,RANDBETWEEN(1,$E$3)),"")</x:f>
      </x:c>
      <x:c r="Z162" s="68" t="str">
        <x:f>IF(COLUMN()-2&lt;=$E$3,INDEX($B$10:$B$59,RANDBETWEEN(1,$E$3)),"")</x:f>
      </x:c>
      <x:c r="AA162" s="68" t="str">
        <x:f>IF(COLUMN()-2&lt;=$E$3,INDEX($B$10:$B$59,RANDBETWEEN(1,$E$3)),"")</x:f>
      </x:c>
      <x:c r="AB162" s="68" t="str">
        <x:f>IF(COLUMN()-2&lt;=$E$3,INDEX($B$10:$B$59,RANDBETWEEN(1,$E$3)),"")</x:f>
      </x:c>
      <x:c r="AC162" s="68" t="str">
        <x:f>IF(COLUMN()-2&lt;=$E$3,INDEX($B$10:$B$59,RANDBETWEEN(1,$E$3)),"")</x:f>
      </x:c>
      <x:c r="AD162" s="68" t="str">
        <x:f>IF(COLUMN()-2&lt;=$E$3,INDEX($B$10:$B$59,RANDBETWEEN(1,$E$3)),"")</x:f>
      </x:c>
      <x:c r="AE162" s="68" t="str">
        <x:f>IF(COLUMN()-2&lt;=$E$3,INDEX($B$10:$B$59,RANDBETWEEN(1,$E$3)),"")</x:f>
      </x:c>
      <x:c r="AF162" s="68" t="str">
        <x:f>IF(COLUMN()-2&lt;=$E$3,INDEX($B$10:$B$59,RANDBETWEEN(1,$E$3)),"")</x:f>
      </x:c>
      <x:c r="AG162" s="68" t="str">
        <x:f>IF(COLUMN()-2&lt;=$E$3,INDEX($B$10:$B$59,RANDBETWEEN(1,$E$3)),"")</x:f>
      </x:c>
      <x:c r="AH162" s="68" t="str">
        <x:f>IF(COLUMN()-2&lt;=$E$3,INDEX($B$10:$B$59,RANDBETWEEN(1,$E$3)),"")</x:f>
      </x:c>
      <x:c r="AI162" s="68" t="str">
        <x:f>IF(COLUMN()-2&lt;=$E$3,INDEX($B$10:$B$59,RANDBETWEEN(1,$E$3)),"")</x:f>
      </x:c>
      <x:c r="AJ162" s="68" t="str">
        <x:f>IF(COLUMN()-2&lt;=$E$3,INDEX($B$10:$B$59,RANDBETWEEN(1,$E$3)),"")</x:f>
      </x:c>
      <x:c r="AK162" s="68" t="str">
        <x:f>IF(COLUMN()-2&lt;=$E$3,INDEX($B$10:$B$59,RANDBETWEEN(1,$E$3)),"")</x:f>
      </x:c>
      <x:c r="AL162" s="68" t="str">
        <x:f>IF(COLUMN()-2&lt;=$E$3,INDEX($B$10:$B$59,RANDBETWEEN(1,$E$3)),"")</x:f>
      </x:c>
      <x:c r="AM162" s="68" t="str">
        <x:f>IF(COLUMN()-2&lt;=$E$3,INDEX($B$10:$B$59,RANDBETWEEN(1,$E$3)),"")</x:f>
      </x:c>
      <x:c r="AN162" s="68" t="str">
        <x:f>IF(COLUMN()-2&lt;=$E$3,INDEX($B$10:$B$59,RANDBETWEEN(1,$E$3)),"")</x:f>
      </x:c>
      <x:c r="AO162" s="68" t="str">
        <x:f>IF(COLUMN()-2&lt;=$E$3,INDEX($B$10:$B$59,RANDBETWEEN(1,$E$3)),"")</x:f>
      </x:c>
      <x:c r="AP162" s="68" t="str">
        <x:f>IF(COLUMN()-2&lt;=$E$3,INDEX($B$10:$B$59,RANDBETWEEN(1,$E$3)),"")</x:f>
      </x:c>
      <x:c r="AQ162" s="68" t="str">
        <x:f>IF(COLUMN()-2&lt;=$E$3,INDEX($B$10:$B$59,RANDBETWEEN(1,$E$3)),"")</x:f>
      </x:c>
      <x:c r="AR162" s="68" t="str">
        <x:f>IF(COLUMN()-2&lt;=$E$3,INDEX($B$10:$B$59,RANDBETWEEN(1,$E$3)),"")</x:f>
      </x:c>
      <x:c r="AS162" s="68" t="str">
        <x:f>IF(COLUMN()-2&lt;=$E$3,INDEX($B$10:$B$59,RANDBETWEEN(1,$E$3)),"")</x:f>
      </x:c>
      <x:c r="AT162" s="68" t="str">
        <x:f>IF(COLUMN()-2&lt;=$E$3,INDEX($B$10:$B$59,RANDBETWEEN(1,$E$3)),"")</x:f>
      </x:c>
      <x:c r="AU162" s="68" t="str">
        <x:f>IF(COLUMN()-2&lt;=$E$3,INDEX($B$10:$B$59,RANDBETWEEN(1,$E$3)),"")</x:f>
      </x:c>
      <x:c r="AV162" s="68" t="str">
        <x:f>IF(COLUMN()-2&lt;=$E$3,INDEX($B$10:$B$59,RANDBETWEEN(1,$E$3)),"")</x:f>
      </x:c>
      <x:c r="AW162" s="68" t="str">
        <x:f>IF(COLUMN()-2&lt;=$E$3,INDEX($B$10:$B$59,RANDBETWEEN(1,$E$3)),"")</x:f>
      </x:c>
      <x:c r="AX162" s="68" t="str">
        <x:f>IF(COLUMN()-2&lt;=$E$3,INDEX($B$10:$B$59,RANDBETWEEN(1,$E$3)),"")</x:f>
      </x:c>
      <x:c r="AY162" s="68" t="str">
        <x:f>IF(COLUMN()-2&lt;=$E$3,INDEX($B$10:$B$59,RANDBETWEEN(1,$E$3)),"")</x:f>
      </x:c>
      <x:c r="AZ162" s="68" t="str">
        <x:f>IF(COLUMN()-2&lt;=$E$3,INDEX($B$10:$B$59,RANDBETWEEN(1,$E$3)),"")</x:f>
      </x:c>
      <x:c r="BA162" s="68" t="str">
        <x:f>IF($E$3=0,"",AVERAGE(C162:AZ162))</x:f>
      </x:c>
    </x:row>
    <x:row r="163">
      <x:c r="A163" t="n">
        <x:v>99</x:v>
      </x:c>
      <x:c r="C163" s="68" t="str">
        <x:f>IF(COLUMN()-2&lt;=$E$3,INDEX($B$10:$B$59,RANDBETWEEN(1,$E$3)),"")</x:f>
      </x:c>
      <x:c r="D163" s="68" t="str">
        <x:f>IF(COLUMN()-2&lt;=$E$3,INDEX($B$10:$B$59,RANDBETWEEN(1,$E$3)),"")</x:f>
      </x:c>
      <x:c r="E163" s="68" t="str">
        <x:f>IF(COLUMN()-2&lt;=$E$3,INDEX($B$10:$B$59,RANDBETWEEN(1,$E$3)),"")</x:f>
      </x:c>
      <x:c r="F163" s="68" t="str">
        <x:f>IF(COLUMN()-2&lt;=$E$3,INDEX($B$10:$B$59,RANDBETWEEN(1,$E$3)),"")</x:f>
      </x:c>
      <x:c r="G163" s="68" t="str">
        <x:f>IF(COLUMN()-2&lt;=$E$3,INDEX($B$10:$B$59,RANDBETWEEN(1,$E$3)),"")</x:f>
      </x:c>
      <x:c r="H163" s="68" t="str">
        <x:f>IF(COLUMN()-2&lt;=$E$3,INDEX($B$10:$B$59,RANDBETWEEN(1,$E$3)),"")</x:f>
      </x:c>
      <x:c r="I163" s="68" t="str">
        <x:f>IF(COLUMN()-2&lt;=$E$3,INDEX($B$10:$B$59,RANDBETWEEN(1,$E$3)),"")</x:f>
      </x:c>
      <x:c r="J163" s="68" t="str">
        <x:f>IF(COLUMN()-2&lt;=$E$3,INDEX($B$10:$B$59,RANDBETWEEN(1,$E$3)),"")</x:f>
      </x:c>
      <x:c r="K163" s="68" t="str">
        <x:f>IF(COLUMN()-2&lt;=$E$3,INDEX($B$10:$B$59,RANDBETWEEN(1,$E$3)),"")</x:f>
      </x:c>
      <x:c r="L163" s="68" t="str">
        <x:f>IF(COLUMN()-2&lt;=$E$3,INDEX($B$10:$B$59,RANDBETWEEN(1,$E$3)),"")</x:f>
      </x:c>
      <x:c r="M163" s="68" t="str">
        <x:f>IF(COLUMN()-2&lt;=$E$3,INDEX($B$10:$B$59,RANDBETWEEN(1,$E$3)),"")</x:f>
      </x:c>
      <x:c r="N163" s="68" t="str">
        <x:f>IF(COLUMN()-2&lt;=$E$3,INDEX($B$10:$B$59,RANDBETWEEN(1,$E$3)),"")</x:f>
      </x:c>
      <x:c r="O163" s="68" t="str">
        <x:f>IF(COLUMN()-2&lt;=$E$3,INDEX($B$10:$B$59,RANDBETWEEN(1,$E$3)),"")</x:f>
      </x:c>
      <x:c r="P163" s="68" t="str">
        <x:f>IF(COLUMN()-2&lt;=$E$3,INDEX($B$10:$B$59,RANDBETWEEN(1,$E$3)),"")</x:f>
      </x:c>
      <x:c r="Q163" s="68" t="str">
        <x:f>IF(COLUMN()-2&lt;=$E$3,INDEX($B$10:$B$59,RANDBETWEEN(1,$E$3)),"")</x:f>
      </x:c>
      <x:c r="R163" s="68" t="str">
        <x:f>IF(COLUMN()-2&lt;=$E$3,INDEX($B$10:$B$59,RANDBETWEEN(1,$E$3)),"")</x:f>
      </x:c>
      <x:c r="S163" s="68" t="str">
        <x:f>IF(COLUMN()-2&lt;=$E$3,INDEX($B$10:$B$59,RANDBETWEEN(1,$E$3)),"")</x:f>
      </x:c>
      <x:c r="T163" s="68" t="str">
        <x:f>IF(COLUMN()-2&lt;=$E$3,INDEX($B$10:$B$59,RANDBETWEEN(1,$E$3)),"")</x:f>
      </x:c>
      <x:c r="U163" s="68" t="str">
        <x:f>IF(COLUMN()-2&lt;=$E$3,INDEX($B$10:$B$59,RANDBETWEEN(1,$E$3)),"")</x:f>
      </x:c>
      <x:c r="V163" s="68" t="str">
        <x:f>IF(COLUMN()-2&lt;=$E$3,INDEX($B$10:$B$59,RANDBETWEEN(1,$E$3)),"")</x:f>
      </x:c>
      <x:c r="W163" s="68" t="str">
        <x:f>IF(COLUMN()-2&lt;=$E$3,INDEX($B$10:$B$59,RANDBETWEEN(1,$E$3)),"")</x:f>
      </x:c>
      <x:c r="X163" s="68" t="str">
        <x:f>IF(COLUMN()-2&lt;=$E$3,INDEX($B$10:$B$59,RANDBETWEEN(1,$E$3)),"")</x:f>
      </x:c>
      <x:c r="Y163" s="68" t="str">
        <x:f>IF(COLUMN()-2&lt;=$E$3,INDEX($B$10:$B$59,RANDBETWEEN(1,$E$3)),"")</x:f>
      </x:c>
      <x:c r="Z163" s="68" t="str">
        <x:f>IF(COLUMN()-2&lt;=$E$3,INDEX($B$10:$B$59,RANDBETWEEN(1,$E$3)),"")</x:f>
      </x:c>
      <x:c r="AA163" s="68" t="str">
        <x:f>IF(COLUMN()-2&lt;=$E$3,INDEX($B$10:$B$59,RANDBETWEEN(1,$E$3)),"")</x:f>
      </x:c>
      <x:c r="AB163" s="68" t="str">
        <x:f>IF(COLUMN()-2&lt;=$E$3,INDEX($B$10:$B$59,RANDBETWEEN(1,$E$3)),"")</x:f>
      </x:c>
      <x:c r="AC163" s="68" t="str">
        <x:f>IF(COLUMN()-2&lt;=$E$3,INDEX($B$10:$B$59,RANDBETWEEN(1,$E$3)),"")</x:f>
      </x:c>
      <x:c r="AD163" s="68" t="str">
        <x:f>IF(COLUMN()-2&lt;=$E$3,INDEX($B$10:$B$59,RANDBETWEEN(1,$E$3)),"")</x:f>
      </x:c>
      <x:c r="AE163" s="68" t="str">
        <x:f>IF(COLUMN()-2&lt;=$E$3,INDEX($B$10:$B$59,RANDBETWEEN(1,$E$3)),"")</x:f>
      </x:c>
      <x:c r="AF163" s="68" t="str">
        <x:f>IF(COLUMN()-2&lt;=$E$3,INDEX($B$10:$B$59,RANDBETWEEN(1,$E$3)),"")</x:f>
      </x:c>
      <x:c r="AG163" s="68" t="str">
        <x:f>IF(COLUMN()-2&lt;=$E$3,INDEX($B$10:$B$59,RANDBETWEEN(1,$E$3)),"")</x:f>
      </x:c>
      <x:c r="AH163" s="68" t="str">
        <x:f>IF(COLUMN()-2&lt;=$E$3,INDEX($B$10:$B$59,RANDBETWEEN(1,$E$3)),"")</x:f>
      </x:c>
      <x:c r="AI163" s="68" t="str">
        <x:f>IF(COLUMN()-2&lt;=$E$3,INDEX($B$10:$B$59,RANDBETWEEN(1,$E$3)),"")</x:f>
      </x:c>
      <x:c r="AJ163" s="68" t="str">
        <x:f>IF(COLUMN()-2&lt;=$E$3,INDEX($B$10:$B$59,RANDBETWEEN(1,$E$3)),"")</x:f>
      </x:c>
      <x:c r="AK163" s="68" t="str">
        <x:f>IF(COLUMN()-2&lt;=$E$3,INDEX($B$10:$B$59,RANDBETWEEN(1,$E$3)),"")</x:f>
      </x:c>
      <x:c r="AL163" s="68" t="str">
        <x:f>IF(COLUMN()-2&lt;=$E$3,INDEX($B$10:$B$59,RANDBETWEEN(1,$E$3)),"")</x:f>
      </x:c>
      <x:c r="AM163" s="68" t="str">
        <x:f>IF(COLUMN()-2&lt;=$E$3,INDEX($B$10:$B$59,RANDBETWEEN(1,$E$3)),"")</x:f>
      </x:c>
      <x:c r="AN163" s="68" t="str">
        <x:f>IF(COLUMN()-2&lt;=$E$3,INDEX($B$10:$B$59,RANDBETWEEN(1,$E$3)),"")</x:f>
      </x:c>
      <x:c r="AO163" s="68" t="str">
        <x:f>IF(COLUMN()-2&lt;=$E$3,INDEX($B$10:$B$59,RANDBETWEEN(1,$E$3)),"")</x:f>
      </x:c>
      <x:c r="AP163" s="68" t="str">
        <x:f>IF(COLUMN()-2&lt;=$E$3,INDEX($B$10:$B$59,RANDBETWEEN(1,$E$3)),"")</x:f>
      </x:c>
      <x:c r="AQ163" s="68" t="str">
        <x:f>IF(COLUMN()-2&lt;=$E$3,INDEX($B$10:$B$59,RANDBETWEEN(1,$E$3)),"")</x:f>
      </x:c>
      <x:c r="AR163" s="68" t="str">
        <x:f>IF(COLUMN()-2&lt;=$E$3,INDEX($B$10:$B$59,RANDBETWEEN(1,$E$3)),"")</x:f>
      </x:c>
      <x:c r="AS163" s="68" t="str">
        <x:f>IF(COLUMN()-2&lt;=$E$3,INDEX($B$10:$B$59,RANDBETWEEN(1,$E$3)),"")</x:f>
      </x:c>
      <x:c r="AT163" s="68" t="str">
        <x:f>IF(COLUMN()-2&lt;=$E$3,INDEX($B$10:$B$59,RANDBETWEEN(1,$E$3)),"")</x:f>
      </x:c>
      <x:c r="AU163" s="68" t="str">
        <x:f>IF(COLUMN()-2&lt;=$E$3,INDEX($B$10:$B$59,RANDBETWEEN(1,$E$3)),"")</x:f>
      </x:c>
      <x:c r="AV163" s="68" t="str">
        <x:f>IF(COLUMN()-2&lt;=$E$3,INDEX($B$10:$B$59,RANDBETWEEN(1,$E$3)),"")</x:f>
      </x:c>
      <x:c r="AW163" s="68" t="str">
        <x:f>IF(COLUMN()-2&lt;=$E$3,INDEX($B$10:$B$59,RANDBETWEEN(1,$E$3)),"")</x:f>
      </x:c>
      <x:c r="AX163" s="68" t="str">
        <x:f>IF(COLUMN()-2&lt;=$E$3,INDEX($B$10:$B$59,RANDBETWEEN(1,$E$3)),"")</x:f>
      </x:c>
      <x:c r="AY163" s="68" t="str">
        <x:f>IF(COLUMN()-2&lt;=$E$3,INDEX($B$10:$B$59,RANDBETWEEN(1,$E$3)),"")</x:f>
      </x:c>
      <x:c r="AZ163" s="68" t="str">
        <x:f>IF(COLUMN()-2&lt;=$E$3,INDEX($B$10:$B$59,RANDBETWEEN(1,$E$3)),"")</x:f>
      </x:c>
      <x:c r="BA163" s="68" t="str">
        <x:f>IF($E$3=0,"",AVERAGE(C163:AZ163))</x:f>
      </x:c>
    </x:row>
    <x:row r="164">
      <x:c r="A164" t="n">
        <x:v>100</x:v>
      </x:c>
      <x:c r="C164" s="68" t="str">
        <x:f>IF(COLUMN()-2&lt;=$E$3,INDEX($B$10:$B$59,RANDBETWEEN(1,$E$3)),"")</x:f>
      </x:c>
      <x:c r="D164" s="68" t="str">
        <x:f>IF(COLUMN()-2&lt;=$E$3,INDEX($B$10:$B$59,RANDBETWEEN(1,$E$3)),"")</x:f>
      </x:c>
      <x:c r="E164" s="68" t="str">
        <x:f>IF(COLUMN()-2&lt;=$E$3,INDEX($B$10:$B$59,RANDBETWEEN(1,$E$3)),"")</x:f>
      </x:c>
      <x:c r="F164" s="68" t="str">
        <x:f>IF(COLUMN()-2&lt;=$E$3,INDEX($B$10:$B$59,RANDBETWEEN(1,$E$3)),"")</x:f>
      </x:c>
      <x:c r="G164" s="68" t="str">
        <x:f>IF(COLUMN()-2&lt;=$E$3,INDEX($B$10:$B$59,RANDBETWEEN(1,$E$3)),"")</x:f>
      </x:c>
      <x:c r="H164" s="68" t="str">
        <x:f>IF(COLUMN()-2&lt;=$E$3,INDEX($B$10:$B$59,RANDBETWEEN(1,$E$3)),"")</x:f>
      </x:c>
      <x:c r="I164" s="68" t="str">
        <x:f>IF(COLUMN()-2&lt;=$E$3,INDEX($B$10:$B$59,RANDBETWEEN(1,$E$3)),"")</x:f>
      </x:c>
      <x:c r="J164" s="68" t="str">
        <x:f>IF(COLUMN()-2&lt;=$E$3,INDEX($B$10:$B$59,RANDBETWEEN(1,$E$3)),"")</x:f>
      </x:c>
      <x:c r="K164" s="68" t="str">
        <x:f>IF(COLUMN()-2&lt;=$E$3,INDEX($B$10:$B$59,RANDBETWEEN(1,$E$3)),"")</x:f>
      </x:c>
      <x:c r="L164" s="68" t="str">
        <x:f>IF(COLUMN()-2&lt;=$E$3,INDEX($B$10:$B$59,RANDBETWEEN(1,$E$3)),"")</x:f>
      </x:c>
      <x:c r="M164" s="68" t="str">
        <x:f>IF(COLUMN()-2&lt;=$E$3,INDEX($B$10:$B$59,RANDBETWEEN(1,$E$3)),"")</x:f>
      </x:c>
      <x:c r="N164" s="68" t="str">
        <x:f>IF(COLUMN()-2&lt;=$E$3,INDEX($B$10:$B$59,RANDBETWEEN(1,$E$3)),"")</x:f>
      </x:c>
      <x:c r="O164" s="68" t="str">
        <x:f>IF(COLUMN()-2&lt;=$E$3,INDEX($B$10:$B$59,RANDBETWEEN(1,$E$3)),"")</x:f>
      </x:c>
      <x:c r="P164" s="68" t="str">
        <x:f>IF(COLUMN()-2&lt;=$E$3,INDEX($B$10:$B$59,RANDBETWEEN(1,$E$3)),"")</x:f>
      </x:c>
      <x:c r="Q164" s="68" t="str">
        <x:f>IF(COLUMN()-2&lt;=$E$3,INDEX($B$10:$B$59,RANDBETWEEN(1,$E$3)),"")</x:f>
      </x:c>
      <x:c r="R164" s="68" t="str">
        <x:f>IF(COLUMN()-2&lt;=$E$3,INDEX($B$10:$B$59,RANDBETWEEN(1,$E$3)),"")</x:f>
      </x:c>
      <x:c r="S164" s="68" t="str">
        <x:f>IF(COLUMN()-2&lt;=$E$3,INDEX($B$10:$B$59,RANDBETWEEN(1,$E$3)),"")</x:f>
      </x:c>
      <x:c r="T164" s="68" t="str">
        <x:f>IF(COLUMN()-2&lt;=$E$3,INDEX($B$10:$B$59,RANDBETWEEN(1,$E$3)),"")</x:f>
      </x:c>
      <x:c r="U164" s="68" t="str">
        <x:f>IF(COLUMN()-2&lt;=$E$3,INDEX($B$10:$B$59,RANDBETWEEN(1,$E$3)),"")</x:f>
      </x:c>
      <x:c r="V164" s="68" t="str">
        <x:f>IF(COLUMN()-2&lt;=$E$3,INDEX($B$10:$B$59,RANDBETWEEN(1,$E$3)),"")</x:f>
      </x:c>
      <x:c r="W164" s="68" t="str">
        <x:f>IF(COLUMN()-2&lt;=$E$3,INDEX($B$10:$B$59,RANDBETWEEN(1,$E$3)),"")</x:f>
      </x:c>
      <x:c r="X164" s="68" t="str">
        <x:f>IF(COLUMN()-2&lt;=$E$3,INDEX($B$10:$B$59,RANDBETWEEN(1,$E$3)),"")</x:f>
      </x:c>
      <x:c r="Y164" s="68" t="str">
        <x:f>IF(COLUMN()-2&lt;=$E$3,INDEX($B$10:$B$59,RANDBETWEEN(1,$E$3)),"")</x:f>
      </x:c>
      <x:c r="Z164" s="68" t="str">
        <x:f>IF(COLUMN()-2&lt;=$E$3,INDEX($B$10:$B$59,RANDBETWEEN(1,$E$3)),"")</x:f>
      </x:c>
      <x:c r="AA164" s="68" t="str">
        <x:f>IF(COLUMN()-2&lt;=$E$3,INDEX($B$10:$B$59,RANDBETWEEN(1,$E$3)),"")</x:f>
      </x:c>
      <x:c r="AB164" s="68" t="str">
        <x:f>IF(COLUMN()-2&lt;=$E$3,INDEX($B$10:$B$59,RANDBETWEEN(1,$E$3)),"")</x:f>
      </x:c>
      <x:c r="AC164" s="68" t="str">
        <x:f>IF(COLUMN()-2&lt;=$E$3,INDEX($B$10:$B$59,RANDBETWEEN(1,$E$3)),"")</x:f>
      </x:c>
      <x:c r="AD164" s="68" t="str">
        <x:f>IF(COLUMN()-2&lt;=$E$3,INDEX($B$10:$B$59,RANDBETWEEN(1,$E$3)),"")</x:f>
      </x:c>
      <x:c r="AE164" s="68" t="str">
        <x:f>IF(COLUMN()-2&lt;=$E$3,INDEX($B$10:$B$59,RANDBETWEEN(1,$E$3)),"")</x:f>
      </x:c>
      <x:c r="AF164" s="68" t="str">
        <x:f>IF(COLUMN()-2&lt;=$E$3,INDEX($B$10:$B$59,RANDBETWEEN(1,$E$3)),"")</x:f>
      </x:c>
      <x:c r="AG164" s="68" t="str">
        <x:f>IF(COLUMN()-2&lt;=$E$3,INDEX($B$10:$B$59,RANDBETWEEN(1,$E$3)),"")</x:f>
      </x:c>
      <x:c r="AH164" s="68" t="str">
        <x:f>IF(COLUMN()-2&lt;=$E$3,INDEX($B$10:$B$59,RANDBETWEEN(1,$E$3)),"")</x:f>
      </x:c>
      <x:c r="AI164" s="68" t="str">
        <x:f>IF(COLUMN()-2&lt;=$E$3,INDEX($B$10:$B$59,RANDBETWEEN(1,$E$3)),"")</x:f>
      </x:c>
      <x:c r="AJ164" s="68" t="str">
        <x:f>IF(COLUMN()-2&lt;=$E$3,INDEX($B$10:$B$59,RANDBETWEEN(1,$E$3)),"")</x:f>
      </x:c>
      <x:c r="AK164" s="68" t="str">
        <x:f>IF(COLUMN()-2&lt;=$E$3,INDEX($B$10:$B$59,RANDBETWEEN(1,$E$3)),"")</x:f>
      </x:c>
      <x:c r="AL164" s="68" t="str">
        <x:f>IF(COLUMN()-2&lt;=$E$3,INDEX($B$10:$B$59,RANDBETWEEN(1,$E$3)),"")</x:f>
      </x:c>
      <x:c r="AM164" s="68" t="str">
        <x:f>IF(COLUMN()-2&lt;=$E$3,INDEX($B$10:$B$59,RANDBETWEEN(1,$E$3)),"")</x:f>
      </x:c>
      <x:c r="AN164" s="68" t="str">
        <x:f>IF(COLUMN()-2&lt;=$E$3,INDEX($B$10:$B$59,RANDBETWEEN(1,$E$3)),"")</x:f>
      </x:c>
      <x:c r="AO164" s="68" t="str">
        <x:f>IF(COLUMN()-2&lt;=$E$3,INDEX($B$10:$B$59,RANDBETWEEN(1,$E$3)),"")</x:f>
      </x:c>
      <x:c r="AP164" s="68" t="str">
        <x:f>IF(COLUMN()-2&lt;=$E$3,INDEX($B$10:$B$59,RANDBETWEEN(1,$E$3)),"")</x:f>
      </x:c>
      <x:c r="AQ164" s="68" t="str">
        <x:f>IF(COLUMN()-2&lt;=$E$3,INDEX($B$10:$B$59,RANDBETWEEN(1,$E$3)),"")</x:f>
      </x:c>
      <x:c r="AR164" s="68" t="str">
        <x:f>IF(COLUMN()-2&lt;=$E$3,INDEX($B$10:$B$59,RANDBETWEEN(1,$E$3)),"")</x:f>
      </x:c>
      <x:c r="AS164" s="68" t="str">
        <x:f>IF(COLUMN()-2&lt;=$E$3,INDEX($B$10:$B$59,RANDBETWEEN(1,$E$3)),"")</x:f>
      </x:c>
      <x:c r="AT164" s="68" t="str">
        <x:f>IF(COLUMN()-2&lt;=$E$3,INDEX($B$10:$B$59,RANDBETWEEN(1,$E$3)),"")</x:f>
      </x:c>
      <x:c r="AU164" s="68" t="str">
        <x:f>IF(COLUMN()-2&lt;=$E$3,INDEX($B$10:$B$59,RANDBETWEEN(1,$E$3)),"")</x:f>
      </x:c>
      <x:c r="AV164" s="68" t="str">
        <x:f>IF(COLUMN()-2&lt;=$E$3,INDEX($B$10:$B$59,RANDBETWEEN(1,$E$3)),"")</x:f>
      </x:c>
      <x:c r="AW164" s="68" t="str">
        <x:f>IF(COLUMN()-2&lt;=$E$3,INDEX($B$10:$B$59,RANDBETWEEN(1,$E$3)),"")</x:f>
      </x:c>
      <x:c r="AX164" s="68" t="str">
        <x:f>IF(COLUMN()-2&lt;=$E$3,INDEX($B$10:$B$59,RANDBETWEEN(1,$E$3)),"")</x:f>
      </x:c>
      <x:c r="AY164" s="68" t="str">
        <x:f>IF(COLUMN()-2&lt;=$E$3,INDEX($B$10:$B$59,RANDBETWEEN(1,$E$3)),"")</x:f>
      </x:c>
      <x:c r="AZ164" s="68" t="str">
        <x:f>IF(COLUMN()-2&lt;=$E$3,INDEX($B$10:$B$59,RANDBETWEEN(1,$E$3)),"")</x:f>
      </x:c>
      <x:c r="BA164" s="68" t="str">
        <x:f>IF($E$3=0,"",AVERAGE(C164:AZ164))</x:f>
      </x:c>
    </x:row>
    <x:row r="165">
      <x:c r="A165" t="n">
        <x:v>101</x:v>
      </x:c>
      <x:c r="C165" s="68" t="str">
        <x:f>IF(COLUMN()-2&lt;=$E$3,INDEX($B$10:$B$59,RANDBETWEEN(1,$E$3)),"")</x:f>
      </x:c>
      <x:c r="D165" s="68" t="str">
        <x:f>IF(COLUMN()-2&lt;=$E$3,INDEX($B$10:$B$59,RANDBETWEEN(1,$E$3)),"")</x:f>
      </x:c>
      <x:c r="E165" s="68" t="str">
        <x:f>IF(COLUMN()-2&lt;=$E$3,INDEX($B$10:$B$59,RANDBETWEEN(1,$E$3)),"")</x:f>
      </x:c>
      <x:c r="F165" s="68" t="str">
        <x:f>IF(COLUMN()-2&lt;=$E$3,INDEX($B$10:$B$59,RANDBETWEEN(1,$E$3)),"")</x:f>
      </x:c>
      <x:c r="G165" s="68" t="str">
        <x:f>IF(COLUMN()-2&lt;=$E$3,INDEX($B$10:$B$59,RANDBETWEEN(1,$E$3)),"")</x:f>
      </x:c>
      <x:c r="H165" s="68" t="str">
        <x:f>IF(COLUMN()-2&lt;=$E$3,INDEX($B$10:$B$59,RANDBETWEEN(1,$E$3)),"")</x:f>
      </x:c>
      <x:c r="I165" s="68" t="str">
        <x:f>IF(COLUMN()-2&lt;=$E$3,INDEX($B$10:$B$59,RANDBETWEEN(1,$E$3)),"")</x:f>
      </x:c>
      <x:c r="J165" s="68" t="str">
        <x:f>IF(COLUMN()-2&lt;=$E$3,INDEX($B$10:$B$59,RANDBETWEEN(1,$E$3)),"")</x:f>
      </x:c>
      <x:c r="K165" s="68" t="str">
        <x:f>IF(COLUMN()-2&lt;=$E$3,INDEX($B$10:$B$59,RANDBETWEEN(1,$E$3)),"")</x:f>
      </x:c>
      <x:c r="L165" s="68" t="str">
        <x:f>IF(COLUMN()-2&lt;=$E$3,INDEX($B$10:$B$59,RANDBETWEEN(1,$E$3)),"")</x:f>
      </x:c>
      <x:c r="M165" s="68" t="str">
        <x:f>IF(COLUMN()-2&lt;=$E$3,INDEX($B$10:$B$59,RANDBETWEEN(1,$E$3)),"")</x:f>
      </x:c>
      <x:c r="N165" s="68" t="str">
        <x:f>IF(COLUMN()-2&lt;=$E$3,INDEX($B$10:$B$59,RANDBETWEEN(1,$E$3)),"")</x:f>
      </x:c>
      <x:c r="O165" s="68" t="str">
        <x:f>IF(COLUMN()-2&lt;=$E$3,INDEX($B$10:$B$59,RANDBETWEEN(1,$E$3)),"")</x:f>
      </x:c>
      <x:c r="P165" s="68" t="str">
        <x:f>IF(COLUMN()-2&lt;=$E$3,INDEX($B$10:$B$59,RANDBETWEEN(1,$E$3)),"")</x:f>
      </x:c>
      <x:c r="Q165" s="68" t="str">
        <x:f>IF(COLUMN()-2&lt;=$E$3,INDEX($B$10:$B$59,RANDBETWEEN(1,$E$3)),"")</x:f>
      </x:c>
      <x:c r="R165" s="68" t="str">
        <x:f>IF(COLUMN()-2&lt;=$E$3,INDEX($B$10:$B$59,RANDBETWEEN(1,$E$3)),"")</x:f>
      </x:c>
      <x:c r="S165" s="68" t="str">
        <x:f>IF(COLUMN()-2&lt;=$E$3,INDEX($B$10:$B$59,RANDBETWEEN(1,$E$3)),"")</x:f>
      </x:c>
      <x:c r="T165" s="68" t="str">
        <x:f>IF(COLUMN()-2&lt;=$E$3,INDEX($B$10:$B$59,RANDBETWEEN(1,$E$3)),"")</x:f>
      </x:c>
      <x:c r="U165" s="68" t="str">
        <x:f>IF(COLUMN()-2&lt;=$E$3,INDEX($B$10:$B$59,RANDBETWEEN(1,$E$3)),"")</x:f>
      </x:c>
      <x:c r="V165" s="68" t="str">
        <x:f>IF(COLUMN()-2&lt;=$E$3,INDEX($B$10:$B$59,RANDBETWEEN(1,$E$3)),"")</x:f>
      </x:c>
      <x:c r="W165" s="68" t="str">
        <x:f>IF(COLUMN()-2&lt;=$E$3,INDEX($B$10:$B$59,RANDBETWEEN(1,$E$3)),"")</x:f>
      </x:c>
      <x:c r="X165" s="68" t="str">
        <x:f>IF(COLUMN()-2&lt;=$E$3,INDEX($B$10:$B$59,RANDBETWEEN(1,$E$3)),"")</x:f>
      </x:c>
      <x:c r="Y165" s="68" t="str">
        <x:f>IF(COLUMN()-2&lt;=$E$3,INDEX($B$10:$B$59,RANDBETWEEN(1,$E$3)),"")</x:f>
      </x:c>
      <x:c r="Z165" s="68" t="str">
        <x:f>IF(COLUMN()-2&lt;=$E$3,INDEX($B$10:$B$59,RANDBETWEEN(1,$E$3)),"")</x:f>
      </x:c>
      <x:c r="AA165" s="68" t="str">
        <x:f>IF(COLUMN()-2&lt;=$E$3,INDEX($B$10:$B$59,RANDBETWEEN(1,$E$3)),"")</x:f>
      </x:c>
      <x:c r="AB165" s="68" t="str">
        <x:f>IF(COLUMN()-2&lt;=$E$3,INDEX($B$10:$B$59,RANDBETWEEN(1,$E$3)),"")</x:f>
      </x:c>
      <x:c r="AC165" s="68" t="str">
        <x:f>IF(COLUMN()-2&lt;=$E$3,INDEX($B$10:$B$59,RANDBETWEEN(1,$E$3)),"")</x:f>
      </x:c>
      <x:c r="AD165" s="68" t="str">
        <x:f>IF(COLUMN()-2&lt;=$E$3,INDEX($B$10:$B$59,RANDBETWEEN(1,$E$3)),"")</x:f>
      </x:c>
      <x:c r="AE165" s="68" t="str">
        <x:f>IF(COLUMN()-2&lt;=$E$3,INDEX($B$10:$B$59,RANDBETWEEN(1,$E$3)),"")</x:f>
      </x:c>
      <x:c r="AF165" s="68" t="str">
        <x:f>IF(COLUMN()-2&lt;=$E$3,INDEX($B$10:$B$59,RANDBETWEEN(1,$E$3)),"")</x:f>
      </x:c>
      <x:c r="AG165" s="68" t="str">
        <x:f>IF(COLUMN()-2&lt;=$E$3,INDEX($B$10:$B$59,RANDBETWEEN(1,$E$3)),"")</x:f>
      </x:c>
      <x:c r="AH165" s="68" t="str">
        <x:f>IF(COLUMN()-2&lt;=$E$3,INDEX($B$10:$B$59,RANDBETWEEN(1,$E$3)),"")</x:f>
      </x:c>
      <x:c r="AI165" s="68" t="str">
        <x:f>IF(COLUMN()-2&lt;=$E$3,INDEX($B$10:$B$59,RANDBETWEEN(1,$E$3)),"")</x:f>
      </x:c>
      <x:c r="AJ165" s="68" t="str">
        <x:f>IF(COLUMN()-2&lt;=$E$3,INDEX($B$10:$B$59,RANDBETWEEN(1,$E$3)),"")</x:f>
      </x:c>
      <x:c r="AK165" s="68" t="str">
        <x:f>IF(COLUMN()-2&lt;=$E$3,INDEX($B$10:$B$59,RANDBETWEEN(1,$E$3)),"")</x:f>
      </x:c>
      <x:c r="AL165" s="68" t="str">
        <x:f>IF(COLUMN()-2&lt;=$E$3,INDEX($B$10:$B$59,RANDBETWEEN(1,$E$3)),"")</x:f>
      </x:c>
      <x:c r="AM165" s="68" t="str">
        <x:f>IF(COLUMN()-2&lt;=$E$3,INDEX($B$10:$B$59,RANDBETWEEN(1,$E$3)),"")</x:f>
      </x:c>
      <x:c r="AN165" s="68" t="str">
        <x:f>IF(COLUMN()-2&lt;=$E$3,INDEX($B$10:$B$59,RANDBETWEEN(1,$E$3)),"")</x:f>
      </x:c>
      <x:c r="AO165" s="68" t="str">
        <x:f>IF(COLUMN()-2&lt;=$E$3,INDEX($B$10:$B$59,RANDBETWEEN(1,$E$3)),"")</x:f>
      </x:c>
      <x:c r="AP165" s="68" t="str">
        <x:f>IF(COLUMN()-2&lt;=$E$3,INDEX($B$10:$B$59,RANDBETWEEN(1,$E$3)),"")</x:f>
      </x:c>
      <x:c r="AQ165" s="68" t="str">
        <x:f>IF(COLUMN()-2&lt;=$E$3,INDEX($B$10:$B$59,RANDBETWEEN(1,$E$3)),"")</x:f>
      </x:c>
      <x:c r="AR165" s="68" t="str">
        <x:f>IF(COLUMN()-2&lt;=$E$3,INDEX($B$10:$B$59,RANDBETWEEN(1,$E$3)),"")</x:f>
      </x:c>
      <x:c r="AS165" s="68" t="str">
        <x:f>IF(COLUMN()-2&lt;=$E$3,INDEX($B$10:$B$59,RANDBETWEEN(1,$E$3)),"")</x:f>
      </x:c>
      <x:c r="AT165" s="68" t="str">
        <x:f>IF(COLUMN()-2&lt;=$E$3,INDEX($B$10:$B$59,RANDBETWEEN(1,$E$3)),"")</x:f>
      </x:c>
      <x:c r="AU165" s="68" t="str">
        <x:f>IF(COLUMN()-2&lt;=$E$3,INDEX($B$10:$B$59,RANDBETWEEN(1,$E$3)),"")</x:f>
      </x:c>
      <x:c r="AV165" s="68" t="str">
        <x:f>IF(COLUMN()-2&lt;=$E$3,INDEX($B$10:$B$59,RANDBETWEEN(1,$E$3)),"")</x:f>
      </x:c>
      <x:c r="AW165" s="68" t="str">
        <x:f>IF(COLUMN()-2&lt;=$E$3,INDEX($B$10:$B$59,RANDBETWEEN(1,$E$3)),"")</x:f>
      </x:c>
      <x:c r="AX165" s="68" t="str">
        <x:f>IF(COLUMN()-2&lt;=$E$3,INDEX($B$10:$B$59,RANDBETWEEN(1,$E$3)),"")</x:f>
      </x:c>
      <x:c r="AY165" s="68" t="str">
        <x:f>IF(COLUMN()-2&lt;=$E$3,INDEX($B$10:$B$59,RANDBETWEEN(1,$E$3)),"")</x:f>
      </x:c>
      <x:c r="AZ165" s="68" t="str">
        <x:f>IF(COLUMN()-2&lt;=$E$3,INDEX($B$10:$B$59,RANDBETWEEN(1,$E$3)),"")</x:f>
      </x:c>
      <x:c r="BA165" s="68" t="str">
        <x:f>IF($E$3=0,"",AVERAGE(C165:AZ165))</x:f>
      </x:c>
    </x:row>
    <x:row r="166">
      <x:c r="A166" t="n">
        <x:v>102</x:v>
      </x:c>
      <x:c r="C166" s="68" t="str">
        <x:f>IF(COLUMN()-2&lt;=$E$3,INDEX($B$10:$B$59,RANDBETWEEN(1,$E$3)),"")</x:f>
      </x:c>
      <x:c r="D166" s="68" t="str">
        <x:f>IF(COLUMN()-2&lt;=$E$3,INDEX($B$10:$B$59,RANDBETWEEN(1,$E$3)),"")</x:f>
      </x:c>
      <x:c r="E166" s="68" t="str">
        <x:f>IF(COLUMN()-2&lt;=$E$3,INDEX($B$10:$B$59,RANDBETWEEN(1,$E$3)),"")</x:f>
      </x:c>
      <x:c r="F166" s="68" t="str">
        <x:f>IF(COLUMN()-2&lt;=$E$3,INDEX($B$10:$B$59,RANDBETWEEN(1,$E$3)),"")</x:f>
      </x:c>
      <x:c r="G166" s="68" t="str">
        <x:f>IF(COLUMN()-2&lt;=$E$3,INDEX($B$10:$B$59,RANDBETWEEN(1,$E$3)),"")</x:f>
      </x:c>
      <x:c r="H166" s="68" t="str">
        <x:f>IF(COLUMN()-2&lt;=$E$3,INDEX($B$10:$B$59,RANDBETWEEN(1,$E$3)),"")</x:f>
      </x:c>
      <x:c r="I166" s="68" t="str">
        <x:f>IF(COLUMN()-2&lt;=$E$3,INDEX($B$10:$B$59,RANDBETWEEN(1,$E$3)),"")</x:f>
      </x:c>
      <x:c r="J166" s="68" t="str">
        <x:f>IF(COLUMN()-2&lt;=$E$3,INDEX($B$10:$B$59,RANDBETWEEN(1,$E$3)),"")</x:f>
      </x:c>
      <x:c r="K166" s="68" t="str">
        <x:f>IF(COLUMN()-2&lt;=$E$3,INDEX($B$10:$B$59,RANDBETWEEN(1,$E$3)),"")</x:f>
      </x:c>
      <x:c r="L166" s="68" t="str">
        <x:f>IF(COLUMN()-2&lt;=$E$3,INDEX($B$10:$B$59,RANDBETWEEN(1,$E$3)),"")</x:f>
      </x:c>
      <x:c r="M166" s="68" t="str">
        <x:f>IF(COLUMN()-2&lt;=$E$3,INDEX($B$10:$B$59,RANDBETWEEN(1,$E$3)),"")</x:f>
      </x:c>
      <x:c r="N166" s="68" t="str">
        <x:f>IF(COLUMN()-2&lt;=$E$3,INDEX($B$10:$B$59,RANDBETWEEN(1,$E$3)),"")</x:f>
      </x:c>
      <x:c r="O166" s="68" t="str">
        <x:f>IF(COLUMN()-2&lt;=$E$3,INDEX($B$10:$B$59,RANDBETWEEN(1,$E$3)),"")</x:f>
      </x:c>
      <x:c r="P166" s="68" t="str">
        <x:f>IF(COLUMN()-2&lt;=$E$3,INDEX($B$10:$B$59,RANDBETWEEN(1,$E$3)),"")</x:f>
      </x:c>
      <x:c r="Q166" s="68" t="str">
        <x:f>IF(COLUMN()-2&lt;=$E$3,INDEX($B$10:$B$59,RANDBETWEEN(1,$E$3)),"")</x:f>
      </x:c>
      <x:c r="R166" s="68" t="str">
        <x:f>IF(COLUMN()-2&lt;=$E$3,INDEX($B$10:$B$59,RANDBETWEEN(1,$E$3)),"")</x:f>
      </x:c>
      <x:c r="S166" s="68" t="str">
        <x:f>IF(COLUMN()-2&lt;=$E$3,INDEX($B$10:$B$59,RANDBETWEEN(1,$E$3)),"")</x:f>
      </x:c>
      <x:c r="T166" s="68" t="str">
        <x:f>IF(COLUMN()-2&lt;=$E$3,INDEX($B$10:$B$59,RANDBETWEEN(1,$E$3)),"")</x:f>
      </x:c>
      <x:c r="U166" s="68" t="str">
        <x:f>IF(COLUMN()-2&lt;=$E$3,INDEX($B$10:$B$59,RANDBETWEEN(1,$E$3)),"")</x:f>
      </x:c>
      <x:c r="V166" s="68" t="str">
        <x:f>IF(COLUMN()-2&lt;=$E$3,INDEX($B$10:$B$59,RANDBETWEEN(1,$E$3)),"")</x:f>
      </x:c>
      <x:c r="W166" s="68" t="str">
        <x:f>IF(COLUMN()-2&lt;=$E$3,INDEX($B$10:$B$59,RANDBETWEEN(1,$E$3)),"")</x:f>
      </x:c>
      <x:c r="X166" s="68" t="str">
        <x:f>IF(COLUMN()-2&lt;=$E$3,INDEX($B$10:$B$59,RANDBETWEEN(1,$E$3)),"")</x:f>
      </x:c>
      <x:c r="Y166" s="68" t="str">
        <x:f>IF(COLUMN()-2&lt;=$E$3,INDEX($B$10:$B$59,RANDBETWEEN(1,$E$3)),"")</x:f>
      </x:c>
      <x:c r="Z166" s="68" t="str">
        <x:f>IF(COLUMN()-2&lt;=$E$3,INDEX($B$10:$B$59,RANDBETWEEN(1,$E$3)),"")</x:f>
      </x:c>
      <x:c r="AA166" s="68" t="str">
        <x:f>IF(COLUMN()-2&lt;=$E$3,INDEX($B$10:$B$59,RANDBETWEEN(1,$E$3)),"")</x:f>
      </x:c>
      <x:c r="AB166" s="68" t="str">
        <x:f>IF(COLUMN()-2&lt;=$E$3,INDEX($B$10:$B$59,RANDBETWEEN(1,$E$3)),"")</x:f>
      </x:c>
      <x:c r="AC166" s="68" t="str">
        <x:f>IF(COLUMN()-2&lt;=$E$3,INDEX($B$10:$B$59,RANDBETWEEN(1,$E$3)),"")</x:f>
      </x:c>
      <x:c r="AD166" s="68" t="str">
        <x:f>IF(COLUMN()-2&lt;=$E$3,INDEX($B$10:$B$59,RANDBETWEEN(1,$E$3)),"")</x:f>
      </x:c>
      <x:c r="AE166" s="68" t="str">
        <x:f>IF(COLUMN()-2&lt;=$E$3,INDEX($B$10:$B$59,RANDBETWEEN(1,$E$3)),"")</x:f>
      </x:c>
      <x:c r="AF166" s="68" t="str">
        <x:f>IF(COLUMN()-2&lt;=$E$3,INDEX($B$10:$B$59,RANDBETWEEN(1,$E$3)),"")</x:f>
      </x:c>
      <x:c r="AG166" s="68" t="str">
        <x:f>IF(COLUMN()-2&lt;=$E$3,INDEX($B$10:$B$59,RANDBETWEEN(1,$E$3)),"")</x:f>
      </x:c>
      <x:c r="AH166" s="68" t="str">
        <x:f>IF(COLUMN()-2&lt;=$E$3,INDEX($B$10:$B$59,RANDBETWEEN(1,$E$3)),"")</x:f>
      </x:c>
      <x:c r="AI166" s="68" t="str">
        <x:f>IF(COLUMN()-2&lt;=$E$3,INDEX($B$10:$B$59,RANDBETWEEN(1,$E$3)),"")</x:f>
      </x:c>
      <x:c r="AJ166" s="68" t="str">
        <x:f>IF(COLUMN()-2&lt;=$E$3,INDEX($B$10:$B$59,RANDBETWEEN(1,$E$3)),"")</x:f>
      </x:c>
      <x:c r="AK166" s="68" t="str">
        <x:f>IF(COLUMN()-2&lt;=$E$3,INDEX($B$10:$B$59,RANDBETWEEN(1,$E$3)),"")</x:f>
      </x:c>
      <x:c r="AL166" s="68" t="str">
        <x:f>IF(COLUMN()-2&lt;=$E$3,INDEX($B$10:$B$59,RANDBETWEEN(1,$E$3)),"")</x:f>
      </x:c>
      <x:c r="AM166" s="68" t="str">
        <x:f>IF(COLUMN()-2&lt;=$E$3,INDEX($B$10:$B$59,RANDBETWEEN(1,$E$3)),"")</x:f>
      </x:c>
      <x:c r="AN166" s="68" t="str">
        <x:f>IF(COLUMN()-2&lt;=$E$3,INDEX($B$10:$B$59,RANDBETWEEN(1,$E$3)),"")</x:f>
      </x:c>
      <x:c r="AO166" s="68" t="str">
        <x:f>IF(COLUMN()-2&lt;=$E$3,INDEX($B$10:$B$59,RANDBETWEEN(1,$E$3)),"")</x:f>
      </x:c>
      <x:c r="AP166" s="68" t="str">
        <x:f>IF(COLUMN()-2&lt;=$E$3,INDEX($B$10:$B$59,RANDBETWEEN(1,$E$3)),"")</x:f>
      </x:c>
      <x:c r="AQ166" s="68" t="str">
        <x:f>IF(COLUMN()-2&lt;=$E$3,INDEX($B$10:$B$59,RANDBETWEEN(1,$E$3)),"")</x:f>
      </x:c>
      <x:c r="AR166" s="68" t="str">
        <x:f>IF(COLUMN()-2&lt;=$E$3,INDEX($B$10:$B$59,RANDBETWEEN(1,$E$3)),"")</x:f>
      </x:c>
      <x:c r="AS166" s="68" t="str">
        <x:f>IF(COLUMN()-2&lt;=$E$3,INDEX($B$10:$B$59,RANDBETWEEN(1,$E$3)),"")</x:f>
      </x:c>
      <x:c r="AT166" s="68" t="str">
        <x:f>IF(COLUMN()-2&lt;=$E$3,INDEX($B$10:$B$59,RANDBETWEEN(1,$E$3)),"")</x:f>
      </x:c>
      <x:c r="AU166" s="68" t="str">
        <x:f>IF(COLUMN()-2&lt;=$E$3,INDEX($B$10:$B$59,RANDBETWEEN(1,$E$3)),"")</x:f>
      </x:c>
      <x:c r="AV166" s="68" t="str">
        <x:f>IF(COLUMN()-2&lt;=$E$3,INDEX($B$10:$B$59,RANDBETWEEN(1,$E$3)),"")</x:f>
      </x:c>
      <x:c r="AW166" s="68" t="str">
        <x:f>IF(COLUMN()-2&lt;=$E$3,INDEX($B$10:$B$59,RANDBETWEEN(1,$E$3)),"")</x:f>
      </x:c>
      <x:c r="AX166" s="68" t="str">
        <x:f>IF(COLUMN()-2&lt;=$E$3,INDEX($B$10:$B$59,RANDBETWEEN(1,$E$3)),"")</x:f>
      </x:c>
      <x:c r="AY166" s="68" t="str">
        <x:f>IF(COLUMN()-2&lt;=$E$3,INDEX($B$10:$B$59,RANDBETWEEN(1,$E$3)),"")</x:f>
      </x:c>
      <x:c r="AZ166" s="68" t="str">
        <x:f>IF(COLUMN()-2&lt;=$E$3,INDEX($B$10:$B$59,RANDBETWEEN(1,$E$3)),"")</x:f>
      </x:c>
      <x:c r="BA166" s="68" t="str">
        <x:f>IF($E$3=0,"",AVERAGE(C166:AZ166))</x:f>
      </x:c>
    </x:row>
    <x:row r="167">
      <x:c r="A167" t="n">
        <x:v>103</x:v>
      </x:c>
      <x:c r="C167" s="68" t="str">
        <x:f>IF(COLUMN()-2&lt;=$E$3,INDEX($B$10:$B$59,RANDBETWEEN(1,$E$3)),"")</x:f>
      </x:c>
      <x:c r="D167" s="68" t="str">
        <x:f>IF(COLUMN()-2&lt;=$E$3,INDEX($B$10:$B$59,RANDBETWEEN(1,$E$3)),"")</x:f>
      </x:c>
      <x:c r="E167" s="68" t="str">
        <x:f>IF(COLUMN()-2&lt;=$E$3,INDEX($B$10:$B$59,RANDBETWEEN(1,$E$3)),"")</x:f>
      </x:c>
      <x:c r="F167" s="68" t="str">
        <x:f>IF(COLUMN()-2&lt;=$E$3,INDEX($B$10:$B$59,RANDBETWEEN(1,$E$3)),"")</x:f>
      </x:c>
      <x:c r="G167" s="68" t="str">
        <x:f>IF(COLUMN()-2&lt;=$E$3,INDEX($B$10:$B$59,RANDBETWEEN(1,$E$3)),"")</x:f>
      </x:c>
      <x:c r="H167" s="68" t="str">
        <x:f>IF(COLUMN()-2&lt;=$E$3,INDEX($B$10:$B$59,RANDBETWEEN(1,$E$3)),"")</x:f>
      </x:c>
      <x:c r="I167" s="68" t="str">
        <x:f>IF(COLUMN()-2&lt;=$E$3,INDEX($B$10:$B$59,RANDBETWEEN(1,$E$3)),"")</x:f>
      </x:c>
      <x:c r="J167" s="68" t="str">
        <x:f>IF(COLUMN()-2&lt;=$E$3,INDEX($B$10:$B$59,RANDBETWEEN(1,$E$3)),"")</x:f>
      </x:c>
      <x:c r="K167" s="68" t="str">
        <x:f>IF(COLUMN()-2&lt;=$E$3,INDEX($B$10:$B$59,RANDBETWEEN(1,$E$3)),"")</x:f>
      </x:c>
      <x:c r="L167" s="68" t="str">
        <x:f>IF(COLUMN()-2&lt;=$E$3,INDEX($B$10:$B$59,RANDBETWEEN(1,$E$3)),"")</x:f>
      </x:c>
      <x:c r="M167" s="68" t="str">
        <x:f>IF(COLUMN()-2&lt;=$E$3,INDEX($B$10:$B$59,RANDBETWEEN(1,$E$3)),"")</x:f>
      </x:c>
      <x:c r="N167" s="68" t="str">
        <x:f>IF(COLUMN()-2&lt;=$E$3,INDEX($B$10:$B$59,RANDBETWEEN(1,$E$3)),"")</x:f>
      </x:c>
      <x:c r="O167" s="68" t="str">
        <x:f>IF(COLUMN()-2&lt;=$E$3,INDEX($B$10:$B$59,RANDBETWEEN(1,$E$3)),"")</x:f>
      </x:c>
      <x:c r="P167" s="68" t="str">
        <x:f>IF(COLUMN()-2&lt;=$E$3,INDEX($B$10:$B$59,RANDBETWEEN(1,$E$3)),"")</x:f>
      </x:c>
      <x:c r="Q167" s="68" t="str">
        <x:f>IF(COLUMN()-2&lt;=$E$3,INDEX($B$10:$B$59,RANDBETWEEN(1,$E$3)),"")</x:f>
      </x:c>
      <x:c r="R167" s="68" t="str">
        <x:f>IF(COLUMN()-2&lt;=$E$3,INDEX($B$10:$B$59,RANDBETWEEN(1,$E$3)),"")</x:f>
      </x:c>
      <x:c r="S167" s="68" t="str">
        <x:f>IF(COLUMN()-2&lt;=$E$3,INDEX($B$10:$B$59,RANDBETWEEN(1,$E$3)),"")</x:f>
      </x:c>
      <x:c r="T167" s="68" t="str">
        <x:f>IF(COLUMN()-2&lt;=$E$3,INDEX($B$10:$B$59,RANDBETWEEN(1,$E$3)),"")</x:f>
      </x:c>
      <x:c r="U167" s="68" t="str">
        <x:f>IF(COLUMN()-2&lt;=$E$3,INDEX($B$10:$B$59,RANDBETWEEN(1,$E$3)),"")</x:f>
      </x:c>
      <x:c r="V167" s="68" t="str">
        <x:f>IF(COLUMN()-2&lt;=$E$3,INDEX($B$10:$B$59,RANDBETWEEN(1,$E$3)),"")</x:f>
      </x:c>
      <x:c r="W167" s="68" t="str">
        <x:f>IF(COLUMN()-2&lt;=$E$3,INDEX($B$10:$B$59,RANDBETWEEN(1,$E$3)),"")</x:f>
      </x:c>
      <x:c r="X167" s="68" t="str">
        <x:f>IF(COLUMN()-2&lt;=$E$3,INDEX($B$10:$B$59,RANDBETWEEN(1,$E$3)),"")</x:f>
      </x:c>
      <x:c r="Y167" s="68" t="str">
        <x:f>IF(COLUMN()-2&lt;=$E$3,INDEX($B$10:$B$59,RANDBETWEEN(1,$E$3)),"")</x:f>
      </x:c>
      <x:c r="Z167" s="68" t="str">
        <x:f>IF(COLUMN()-2&lt;=$E$3,INDEX($B$10:$B$59,RANDBETWEEN(1,$E$3)),"")</x:f>
      </x:c>
      <x:c r="AA167" s="68" t="str">
        <x:f>IF(COLUMN()-2&lt;=$E$3,INDEX($B$10:$B$59,RANDBETWEEN(1,$E$3)),"")</x:f>
      </x:c>
      <x:c r="AB167" s="68" t="str">
        <x:f>IF(COLUMN()-2&lt;=$E$3,INDEX($B$10:$B$59,RANDBETWEEN(1,$E$3)),"")</x:f>
      </x:c>
      <x:c r="AC167" s="68" t="str">
        <x:f>IF(COLUMN()-2&lt;=$E$3,INDEX($B$10:$B$59,RANDBETWEEN(1,$E$3)),"")</x:f>
      </x:c>
      <x:c r="AD167" s="68" t="str">
        <x:f>IF(COLUMN()-2&lt;=$E$3,INDEX($B$10:$B$59,RANDBETWEEN(1,$E$3)),"")</x:f>
      </x:c>
      <x:c r="AE167" s="68" t="str">
        <x:f>IF(COLUMN()-2&lt;=$E$3,INDEX($B$10:$B$59,RANDBETWEEN(1,$E$3)),"")</x:f>
      </x:c>
      <x:c r="AF167" s="68" t="str">
        <x:f>IF(COLUMN()-2&lt;=$E$3,INDEX($B$10:$B$59,RANDBETWEEN(1,$E$3)),"")</x:f>
      </x:c>
      <x:c r="AG167" s="68" t="str">
        <x:f>IF(COLUMN()-2&lt;=$E$3,INDEX($B$10:$B$59,RANDBETWEEN(1,$E$3)),"")</x:f>
      </x:c>
      <x:c r="AH167" s="68" t="str">
        <x:f>IF(COLUMN()-2&lt;=$E$3,INDEX($B$10:$B$59,RANDBETWEEN(1,$E$3)),"")</x:f>
      </x:c>
      <x:c r="AI167" s="68" t="str">
        <x:f>IF(COLUMN()-2&lt;=$E$3,INDEX($B$10:$B$59,RANDBETWEEN(1,$E$3)),"")</x:f>
      </x:c>
      <x:c r="AJ167" s="68" t="str">
        <x:f>IF(COLUMN()-2&lt;=$E$3,INDEX($B$10:$B$59,RANDBETWEEN(1,$E$3)),"")</x:f>
      </x:c>
      <x:c r="AK167" s="68" t="str">
        <x:f>IF(COLUMN()-2&lt;=$E$3,INDEX($B$10:$B$59,RANDBETWEEN(1,$E$3)),"")</x:f>
      </x:c>
      <x:c r="AL167" s="68" t="str">
        <x:f>IF(COLUMN()-2&lt;=$E$3,INDEX($B$10:$B$59,RANDBETWEEN(1,$E$3)),"")</x:f>
      </x:c>
      <x:c r="AM167" s="68" t="str">
        <x:f>IF(COLUMN()-2&lt;=$E$3,INDEX($B$10:$B$59,RANDBETWEEN(1,$E$3)),"")</x:f>
      </x:c>
      <x:c r="AN167" s="68" t="str">
        <x:f>IF(COLUMN()-2&lt;=$E$3,INDEX($B$10:$B$59,RANDBETWEEN(1,$E$3)),"")</x:f>
      </x:c>
      <x:c r="AO167" s="68" t="str">
        <x:f>IF(COLUMN()-2&lt;=$E$3,INDEX($B$10:$B$59,RANDBETWEEN(1,$E$3)),"")</x:f>
      </x:c>
      <x:c r="AP167" s="68" t="str">
        <x:f>IF(COLUMN()-2&lt;=$E$3,INDEX($B$10:$B$59,RANDBETWEEN(1,$E$3)),"")</x:f>
      </x:c>
      <x:c r="AQ167" s="68" t="str">
        <x:f>IF(COLUMN()-2&lt;=$E$3,INDEX($B$10:$B$59,RANDBETWEEN(1,$E$3)),"")</x:f>
      </x:c>
      <x:c r="AR167" s="68" t="str">
        <x:f>IF(COLUMN()-2&lt;=$E$3,INDEX($B$10:$B$59,RANDBETWEEN(1,$E$3)),"")</x:f>
      </x:c>
      <x:c r="AS167" s="68" t="str">
        <x:f>IF(COLUMN()-2&lt;=$E$3,INDEX($B$10:$B$59,RANDBETWEEN(1,$E$3)),"")</x:f>
      </x:c>
      <x:c r="AT167" s="68" t="str">
        <x:f>IF(COLUMN()-2&lt;=$E$3,INDEX($B$10:$B$59,RANDBETWEEN(1,$E$3)),"")</x:f>
      </x:c>
      <x:c r="AU167" s="68" t="str">
        <x:f>IF(COLUMN()-2&lt;=$E$3,INDEX($B$10:$B$59,RANDBETWEEN(1,$E$3)),"")</x:f>
      </x:c>
      <x:c r="AV167" s="68" t="str">
        <x:f>IF(COLUMN()-2&lt;=$E$3,INDEX($B$10:$B$59,RANDBETWEEN(1,$E$3)),"")</x:f>
      </x:c>
      <x:c r="AW167" s="68" t="str">
        <x:f>IF(COLUMN()-2&lt;=$E$3,INDEX($B$10:$B$59,RANDBETWEEN(1,$E$3)),"")</x:f>
      </x:c>
      <x:c r="AX167" s="68" t="str">
        <x:f>IF(COLUMN()-2&lt;=$E$3,INDEX($B$10:$B$59,RANDBETWEEN(1,$E$3)),"")</x:f>
      </x:c>
      <x:c r="AY167" s="68" t="str">
        <x:f>IF(COLUMN()-2&lt;=$E$3,INDEX($B$10:$B$59,RANDBETWEEN(1,$E$3)),"")</x:f>
      </x:c>
      <x:c r="AZ167" s="68" t="str">
        <x:f>IF(COLUMN()-2&lt;=$E$3,INDEX($B$10:$B$59,RANDBETWEEN(1,$E$3)),"")</x:f>
      </x:c>
      <x:c r="BA167" s="68" t="str">
        <x:f>IF($E$3=0,"",AVERAGE(C167:AZ167))</x:f>
      </x:c>
    </x:row>
    <x:row r="168">
      <x:c r="A168" t="n">
        <x:v>104</x:v>
      </x:c>
      <x:c r="C168" s="68" t="str">
        <x:f>IF(COLUMN()-2&lt;=$E$3,INDEX($B$10:$B$59,RANDBETWEEN(1,$E$3)),"")</x:f>
      </x:c>
      <x:c r="D168" s="68" t="str">
        <x:f>IF(COLUMN()-2&lt;=$E$3,INDEX($B$10:$B$59,RANDBETWEEN(1,$E$3)),"")</x:f>
      </x:c>
      <x:c r="E168" s="68" t="str">
        <x:f>IF(COLUMN()-2&lt;=$E$3,INDEX($B$10:$B$59,RANDBETWEEN(1,$E$3)),"")</x:f>
      </x:c>
      <x:c r="F168" s="68" t="str">
        <x:f>IF(COLUMN()-2&lt;=$E$3,INDEX($B$10:$B$59,RANDBETWEEN(1,$E$3)),"")</x:f>
      </x:c>
      <x:c r="G168" s="68" t="str">
        <x:f>IF(COLUMN()-2&lt;=$E$3,INDEX($B$10:$B$59,RANDBETWEEN(1,$E$3)),"")</x:f>
      </x:c>
      <x:c r="H168" s="68" t="str">
        <x:f>IF(COLUMN()-2&lt;=$E$3,INDEX($B$10:$B$59,RANDBETWEEN(1,$E$3)),"")</x:f>
      </x:c>
      <x:c r="I168" s="68" t="str">
        <x:f>IF(COLUMN()-2&lt;=$E$3,INDEX($B$10:$B$59,RANDBETWEEN(1,$E$3)),"")</x:f>
      </x:c>
      <x:c r="J168" s="68" t="str">
        <x:f>IF(COLUMN()-2&lt;=$E$3,INDEX($B$10:$B$59,RANDBETWEEN(1,$E$3)),"")</x:f>
      </x:c>
      <x:c r="K168" s="68" t="str">
        <x:f>IF(COLUMN()-2&lt;=$E$3,INDEX($B$10:$B$59,RANDBETWEEN(1,$E$3)),"")</x:f>
      </x:c>
      <x:c r="L168" s="68" t="str">
        <x:f>IF(COLUMN()-2&lt;=$E$3,INDEX($B$10:$B$59,RANDBETWEEN(1,$E$3)),"")</x:f>
      </x:c>
      <x:c r="M168" s="68" t="str">
        <x:f>IF(COLUMN()-2&lt;=$E$3,INDEX($B$10:$B$59,RANDBETWEEN(1,$E$3)),"")</x:f>
      </x:c>
      <x:c r="N168" s="68" t="str">
        <x:f>IF(COLUMN()-2&lt;=$E$3,INDEX($B$10:$B$59,RANDBETWEEN(1,$E$3)),"")</x:f>
      </x:c>
      <x:c r="O168" s="68" t="str">
        <x:f>IF(COLUMN()-2&lt;=$E$3,INDEX($B$10:$B$59,RANDBETWEEN(1,$E$3)),"")</x:f>
      </x:c>
      <x:c r="P168" s="68" t="str">
        <x:f>IF(COLUMN()-2&lt;=$E$3,INDEX($B$10:$B$59,RANDBETWEEN(1,$E$3)),"")</x:f>
      </x:c>
      <x:c r="Q168" s="68" t="str">
        <x:f>IF(COLUMN()-2&lt;=$E$3,INDEX($B$10:$B$59,RANDBETWEEN(1,$E$3)),"")</x:f>
      </x:c>
      <x:c r="R168" s="68" t="str">
        <x:f>IF(COLUMN()-2&lt;=$E$3,INDEX($B$10:$B$59,RANDBETWEEN(1,$E$3)),"")</x:f>
      </x:c>
      <x:c r="S168" s="68" t="str">
        <x:f>IF(COLUMN()-2&lt;=$E$3,INDEX($B$10:$B$59,RANDBETWEEN(1,$E$3)),"")</x:f>
      </x:c>
      <x:c r="T168" s="68" t="str">
        <x:f>IF(COLUMN()-2&lt;=$E$3,INDEX($B$10:$B$59,RANDBETWEEN(1,$E$3)),"")</x:f>
      </x:c>
      <x:c r="U168" s="68" t="str">
        <x:f>IF(COLUMN()-2&lt;=$E$3,INDEX($B$10:$B$59,RANDBETWEEN(1,$E$3)),"")</x:f>
      </x:c>
      <x:c r="V168" s="68" t="str">
        <x:f>IF(COLUMN()-2&lt;=$E$3,INDEX($B$10:$B$59,RANDBETWEEN(1,$E$3)),"")</x:f>
      </x:c>
      <x:c r="W168" s="68" t="str">
        <x:f>IF(COLUMN()-2&lt;=$E$3,INDEX($B$10:$B$59,RANDBETWEEN(1,$E$3)),"")</x:f>
      </x:c>
      <x:c r="X168" s="68" t="str">
        <x:f>IF(COLUMN()-2&lt;=$E$3,INDEX($B$10:$B$59,RANDBETWEEN(1,$E$3)),"")</x:f>
      </x:c>
      <x:c r="Y168" s="68" t="str">
        <x:f>IF(COLUMN()-2&lt;=$E$3,INDEX($B$10:$B$59,RANDBETWEEN(1,$E$3)),"")</x:f>
      </x:c>
      <x:c r="Z168" s="68" t="str">
        <x:f>IF(COLUMN()-2&lt;=$E$3,INDEX($B$10:$B$59,RANDBETWEEN(1,$E$3)),"")</x:f>
      </x:c>
      <x:c r="AA168" s="68" t="str">
        <x:f>IF(COLUMN()-2&lt;=$E$3,INDEX($B$10:$B$59,RANDBETWEEN(1,$E$3)),"")</x:f>
      </x:c>
      <x:c r="AB168" s="68" t="str">
        <x:f>IF(COLUMN()-2&lt;=$E$3,INDEX($B$10:$B$59,RANDBETWEEN(1,$E$3)),"")</x:f>
      </x:c>
      <x:c r="AC168" s="68" t="str">
        <x:f>IF(COLUMN()-2&lt;=$E$3,INDEX($B$10:$B$59,RANDBETWEEN(1,$E$3)),"")</x:f>
      </x:c>
      <x:c r="AD168" s="68" t="str">
        <x:f>IF(COLUMN()-2&lt;=$E$3,INDEX($B$10:$B$59,RANDBETWEEN(1,$E$3)),"")</x:f>
      </x:c>
      <x:c r="AE168" s="68" t="str">
        <x:f>IF(COLUMN()-2&lt;=$E$3,INDEX($B$10:$B$59,RANDBETWEEN(1,$E$3)),"")</x:f>
      </x:c>
      <x:c r="AF168" s="68" t="str">
        <x:f>IF(COLUMN()-2&lt;=$E$3,INDEX($B$10:$B$59,RANDBETWEEN(1,$E$3)),"")</x:f>
      </x:c>
      <x:c r="AG168" s="68" t="str">
        <x:f>IF(COLUMN()-2&lt;=$E$3,INDEX($B$10:$B$59,RANDBETWEEN(1,$E$3)),"")</x:f>
      </x:c>
      <x:c r="AH168" s="68" t="str">
        <x:f>IF(COLUMN()-2&lt;=$E$3,INDEX($B$10:$B$59,RANDBETWEEN(1,$E$3)),"")</x:f>
      </x:c>
      <x:c r="AI168" s="68" t="str">
        <x:f>IF(COLUMN()-2&lt;=$E$3,INDEX($B$10:$B$59,RANDBETWEEN(1,$E$3)),"")</x:f>
      </x:c>
      <x:c r="AJ168" s="68" t="str">
        <x:f>IF(COLUMN()-2&lt;=$E$3,INDEX($B$10:$B$59,RANDBETWEEN(1,$E$3)),"")</x:f>
      </x:c>
      <x:c r="AK168" s="68" t="str">
        <x:f>IF(COLUMN()-2&lt;=$E$3,INDEX($B$10:$B$59,RANDBETWEEN(1,$E$3)),"")</x:f>
      </x:c>
      <x:c r="AL168" s="68" t="str">
        <x:f>IF(COLUMN()-2&lt;=$E$3,INDEX($B$10:$B$59,RANDBETWEEN(1,$E$3)),"")</x:f>
      </x:c>
      <x:c r="AM168" s="68" t="str">
        <x:f>IF(COLUMN()-2&lt;=$E$3,INDEX($B$10:$B$59,RANDBETWEEN(1,$E$3)),"")</x:f>
      </x:c>
      <x:c r="AN168" s="68" t="str">
        <x:f>IF(COLUMN()-2&lt;=$E$3,INDEX($B$10:$B$59,RANDBETWEEN(1,$E$3)),"")</x:f>
      </x:c>
      <x:c r="AO168" s="68" t="str">
        <x:f>IF(COLUMN()-2&lt;=$E$3,INDEX($B$10:$B$59,RANDBETWEEN(1,$E$3)),"")</x:f>
      </x:c>
      <x:c r="AP168" s="68" t="str">
        <x:f>IF(COLUMN()-2&lt;=$E$3,INDEX($B$10:$B$59,RANDBETWEEN(1,$E$3)),"")</x:f>
      </x:c>
      <x:c r="AQ168" s="68" t="str">
        <x:f>IF(COLUMN()-2&lt;=$E$3,INDEX($B$10:$B$59,RANDBETWEEN(1,$E$3)),"")</x:f>
      </x:c>
      <x:c r="AR168" s="68" t="str">
        <x:f>IF(COLUMN()-2&lt;=$E$3,INDEX($B$10:$B$59,RANDBETWEEN(1,$E$3)),"")</x:f>
      </x:c>
      <x:c r="AS168" s="68" t="str">
        <x:f>IF(COLUMN()-2&lt;=$E$3,INDEX($B$10:$B$59,RANDBETWEEN(1,$E$3)),"")</x:f>
      </x:c>
      <x:c r="AT168" s="68" t="str">
        <x:f>IF(COLUMN()-2&lt;=$E$3,INDEX($B$10:$B$59,RANDBETWEEN(1,$E$3)),"")</x:f>
      </x:c>
      <x:c r="AU168" s="68" t="str">
        <x:f>IF(COLUMN()-2&lt;=$E$3,INDEX($B$10:$B$59,RANDBETWEEN(1,$E$3)),"")</x:f>
      </x:c>
      <x:c r="AV168" s="68" t="str">
        <x:f>IF(COLUMN()-2&lt;=$E$3,INDEX($B$10:$B$59,RANDBETWEEN(1,$E$3)),"")</x:f>
      </x:c>
      <x:c r="AW168" s="68" t="str">
        <x:f>IF(COLUMN()-2&lt;=$E$3,INDEX($B$10:$B$59,RANDBETWEEN(1,$E$3)),"")</x:f>
      </x:c>
      <x:c r="AX168" s="68" t="str">
        <x:f>IF(COLUMN()-2&lt;=$E$3,INDEX($B$10:$B$59,RANDBETWEEN(1,$E$3)),"")</x:f>
      </x:c>
      <x:c r="AY168" s="68" t="str">
        <x:f>IF(COLUMN()-2&lt;=$E$3,INDEX($B$10:$B$59,RANDBETWEEN(1,$E$3)),"")</x:f>
      </x:c>
      <x:c r="AZ168" s="68" t="str">
        <x:f>IF(COLUMN()-2&lt;=$E$3,INDEX($B$10:$B$59,RANDBETWEEN(1,$E$3)),"")</x:f>
      </x:c>
      <x:c r="BA168" s="68" t="str">
        <x:f>IF($E$3=0,"",AVERAGE(C168:AZ168))</x:f>
      </x:c>
    </x:row>
    <x:row r="169">
      <x:c r="A169" t="n">
        <x:v>105</x:v>
      </x:c>
      <x:c r="C169" s="68" t="str">
        <x:f>IF(COLUMN()-2&lt;=$E$3,INDEX($B$10:$B$59,RANDBETWEEN(1,$E$3)),"")</x:f>
      </x:c>
      <x:c r="D169" s="68" t="str">
        <x:f>IF(COLUMN()-2&lt;=$E$3,INDEX($B$10:$B$59,RANDBETWEEN(1,$E$3)),"")</x:f>
      </x:c>
      <x:c r="E169" s="68" t="str">
        <x:f>IF(COLUMN()-2&lt;=$E$3,INDEX($B$10:$B$59,RANDBETWEEN(1,$E$3)),"")</x:f>
      </x:c>
      <x:c r="F169" s="68" t="str">
        <x:f>IF(COLUMN()-2&lt;=$E$3,INDEX($B$10:$B$59,RANDBETWEEN(1,$E$3)),"")</x:f>
      </x:c>
      <x:c r="G169" s="68" t="str">
        <x:f>IF(COLUMN()-2&lt;=$E$3,INDEX($B$10:$B$59,RANDBETWEEN(1,$E$3)),"")</x:f>
      </x:c>
      <x:c r="H169" s="68" t="str">
        <x:f>IF(COLUMN()-2&lt;=$E$3,INDEX($B$10:$B$59,RANDBETWEEN(1,$E$3)),"")</x:f>
      </x:c>
      <x:c r="I169" s="68" t="str">
        <x:f>IF(COLUMN()-2&lt;=$E$3,INDEX($B$10:$B$59,RANDBETWEEN(1,$E$3)),"")</x:f>
      </x:c>
      <x:c r="J169" s="68" t="str">
        <x:f>IF(COLUMN()-2&lt;=$E$3,INDEX($B$10:$B$59,RANDBETWEEN(1,$E$3)),"")</x:f>
      </x:c>
      <x:c r="K169" s="68" t="str">
        <x:f>IF(COLUMN()-2&lt;=$E$3,INDEX($B$10:$B$59,RANDBETWEEN(1,$E$3)),"")</x:f>
      </x:c>
      <x:c r="L169" s="68" t="str">
        <x:f>IF(COLUMN()-2&lt;=$E$3,INDEX($B$10:$B$59,RANDBETWEEN(1,$E$3)),"")</x:f>
      </x:c>
      <x:c r="M169" s="68" t="str">
        <x:f>IF(COLUMN()-2&lt;=$E$3,INDEX($B$10:$B$59,RANDBETWEEN(1,$E$3)),"")</x:f>
      </x:c>
      <x:c r="N169" s="68" t="str">
        <x:f>IF(COLUMN()-2&lt;=$E$3,INDEX($B$10:$B$59,RANDBETWEEN(1,$E$3)),"")</x:f>
      </x:c>
      <x:c r="O169" s="68" t="str">
        <x:f>IF(COLUMN()-2&lt;=$E$3,INDEX($B$10:$B$59,RANDBETWEEN(1,$E$3)),"")</x:f>
      </x:c>
      <x:c r="P169" s="68" t="str">
        <x:f>IF(COLUMN()-2&lt;=$E$3,INDEX($B$10:$B$59,RANDBETWEEN(1,$E$3)),"")</x:f>
      </x:c>
      <x:c r="Q169" s="68" t="str">
        <x:f>IF(COLUMN()-2&lt;=$E$3,INDEX($B$10:$B$59,RANDBETWEEN(1,$E$3)),"")</x:f>
      </x:c>
      <x:c r="R169" s="68" t="str">
        <x:f>IF(COLUMN()-2&lt;=$E$3,INDEX($B$10:$B$59,RANDBETWEEN(1,$E$3)),"")</x:f>
      </x:c>
      <x:c r="S169" s="68" t="str">
        <x:f>IF(COLUMN()-2&lt;=$E$3,INDEX($B$10:$B$59,RANDBETWEEN(1,$E$3)),"")</x:f>
      </x:c>
      <x:c r="T169" s="68" t="str">
        <x:f>IF(COLUMN()-2&lt;=$E$3,INDEX($B$10:$B$59,RANDBETWEEN(1,$E$3)),"")</x:f>
      </x:c>
      <x:c r="U169" s="68" t="str">
        <x:f>IF(COLUMN()-2&lt;=$E$3,INDEX($B$10:$B$59,RANDBETWEEN(1,$E$3)),"")</x:f>
      </x:c>
      <x:c r="V169" s="68" t="str">
        <x:f>IF(COLUMN()-2&lt;=$E$3,INDEX($B$10:$B$59,RANDBETWEEN(1,$E$3)),"")</x:f>
      </x:c>
      <x:c r="W169" s="68" t="str">
        <x:f>IF(COLUMN()-2&lt;=$E$3,INDEX($B$10:$B$59,RANDBETWEEN(1,$E$3)),"")</x:f>
      </x:c>
      <x:c r="X169" s="68" t="str">
        <x:f>IF(COLUMN()-2&lt;=$E$3,INDEX($B$10:$B$59,RANDBETWEEN(1,$E$3)),"")</x:f>
      </x:c>
      <x:c r="Y169" s="68" t="str">
        <x:f>IF(COLUMN()-2&lt;=$E$3,INDEX($B$10:$B$59,RANDBETWEEN(1,$E$3)),"")</x:f>
      </x:c>
      <x:c r="Z169" s="68" t="str">
        <x:f>IF(COLUMN()-2&lt;=$E$3,INDEX($B$10:$B$59,RANDBETWEEN(1,$E$3)),"")</x:f>
      </x:c>
      <x:c r="AA169" s="68" t="str">
        <x:f>IF(COLUMN()-2&lt;=$E$3,INDEX($B$10:$B$59,RANDBETWEEN(1,$E$3)),"")</x:f>
      </x:c>
      <x:c r="AB169" s="68" t="str">
        <x:f>IF(COLUMN()-2&lt;=$E$3,INDEX($B$10:$B$59,RANDBETWEEN(1,$E$3)),"")</x:f>
      </x:c>
      <x:c r="AC169" s="68" t="str">
        <x:f>IF(COLUMN()-2&lt;=$E$3,INDEX($B$10:$B$59,RANDBETWEEN(1,$E$3)),"")</x:f>
      </x:c>
      <x:c r="AD169" s="68" t="str">
        <x:f>IF(COLUMN()-2&lt;=$E$3,INDEX($B$10:$B$59,RANDBETWEEN(1,$E$3)),"")</x:f>
      </x:c>
      <x:c r="AE169" s="68" t="str">
        <x:f>IF(COLUMN()-2&lt;=$E$3,INDEX($B$10:$B$59,RANDBETWEEN(1,$E$3)),"")</x:f>
      </x:c>
      <x:c r="AF169" s="68" t="str">
        <x:f>IF(COLUMN()-2&lt;=$E$3,INDEX($B$10:$B$59,RANDBETWEEN(1,$E$3)),"")</x:f>
      </x:c>
      <x:c r="AG169" s="68" t="str">
        <x:f>IF(COLUMN()-2&lt;=$E$3,INDEX($B$10:$B$59,RANDBETWEEN(1,$E$3)),"")</x:f>
      </x:c>
      <x:c r="AH169" s="68" t="str">
        <x:f>IF(COLUMN()-2&lt;=$E$3,INDEX($B$10:$B$59,RANDBETWEEN(1,$E$3)),"")</x:f>
      </x:c>
      <x:c r="AI169" s="68" t="str">
        <x:f>IF(COLUMN()-2&lt;=$E$3,INDEX($B$10:$B$59,RANDBETWEEN(1,$E$3)),"")</x:f>
      </x:c>
      <x:c r="AJ169" s="68" t="str">
        <x:f>IF(COLUMN()-2&lt;=$E$3,INDEX($B$10:$B$59,RANDBETWEEN(1,$E$3)),"")</x:f>
      </x:c>
      <x:c r="AK169" s="68" t="str">
        <x:f>IF(COLUMN()-2&lt;=$E$3,INDEX($B$10:$B$59,RANDBETWEEN(1,$E$3)),"")</x:f>
      </x:c>
      <x:c r="AL169" s="68" t="str">
        <x:f>IF(COLUMN()-2&lt;=$E$3,INDEX($B$10:$B$59,RANDBETWEEN(1,$E$3)),"")</x:f>
      </x:c>
      <x:c r="AM169" s="68" t="str">
        <x:f>IF(COLUMN()-2&lt;=$E$3,INDEX($B$10:$B$59,RANDBETWEEN(1,$E$3)),"")</x:f>
      </x:c>
      <x:c r="AN169" s="68" t="str">
        <x:f>IF(COLUMN()-2&lt;=$E$3,INDEX($B$10:$B$59,RANDBETWEEN(1,$E$3)),"")</x:f>
      </x:c>
      <x:c r="AO169" s="68" t="str">
        <x:f>IF(COLUMN()-2&lt;=$E$3,INDEX($B$10:$B$59,RANDBETWEEN(1,$E$3)),"")</x:f>
      </x:c>
      <x:c r="AP169" s="68" t="str">
        <x:f>IF(COLUMN()-2&lt;=$E$3,INDEX($B$10:$B$59,RANDBETWEEN(1,$E$3)),"")</x:f>
      </x:c>
      <x:c r="AQ169" s="68" t="str">
        <x:f>IF(COLUMN()-2&lt;=$E$3,INDEX($B$10:$B$59,RANDBETWEEN(1,$E$3)),"")</x:f>
      </x:c>
      <x:c r="AR169" s="68" t="str">
        <x:f>IF(COLUMN()-2&lt;=$E$3,INDEX($B$10:$B$59,RANDBETWEEN(1,$E$3)),"")</x:f>
      </x:c>
      <x:c r="AS169" s="68" t="str">
        <x:f>IF(COLUMN()-2&lt;=$E$3,INDEX($B$10:$B$59,RANDBETWEEN(1,$E$3)),"")</x:f>
      </x:c>
      <x:c r="AT169" s="68" t="str">
        <x:f>IF(COLUMN()-2&lt;=$E$3,INDEX($B$10:$B$59,RANDBETWEEN(1,$E$3)),"")</x:f>
      </x:c>
      <x:c r="AU169" s="68" t="str">
        <x:f>IF(COLUMN()-2&lt;=$E$3,INDEX($B$10:$B$59,RANDBETWEEN(1,$E$3)),"")</x:f>
      </x:c>
      <x:c r="AV169" s="68" t="str">
        <x:f>IF(COLUMN()-2&lt;=$E$3,INDEX($B$10:$B$59,RANDBETWEEN(1,$E$3)),"")</x:f>
      </x:c>
      <x:c r="AW169" s="68" t="str">
        <x:f>IF(COLUMN()-2&lt;=$E$3,INDEX($B$10:$B$59,RANDBETWEEN(1,$E$3)),"")</x:f>
      </x:c>
      <x:c r="AX169" s="68" t="str">
        <x:f>IF(COLUMN()-2&lt;=$E$3,INDEX($B$10:$B$59,RANDBETWEEN(1,$E$3)),"")</x:f>
      </x:c>
      <x:c r="AY169" s="68" t="str">
        <x:f>IF(COLUMN()-2&lt;=$E$3,INDEX($B$10:$B$59,RANDBETWEEN(1,$E$3)),"")</x:f>
      </x:c>
      <x:c r="AZ169" s="68" t="str">
        <x:f>IF(COLUMN()-2&lt;=$E$3,INDEX($B$10:$B$59,RANDBETWEEN(1,$E$3)),"")</x:f>
      </x:c>
      <x:c r="BA169" s="68" t="str">
        <x:f>IF($E$3=0,"",AVERAGE(C169:AZ169))</x:f>
      </x:c>
    </x:row>
    <x:row r="170">
      <x:c r="A170" t="n">
        <x:v>106</x:v>
      </x:c>
      <x:c r="C170" s="68" t="str">
        <x:f>IF(COLUMN()-2&lt;=$E$3,INDEX($B$10:$B$59,RANDBETWEEN(1,$E$3)),"")</x:f>
      </x:c>
      <x:c r="D170" s="68" t="str">
        <x:f>IF(COLUMN()-2&lt;=$E$3,INDEX($B$10:$B$59,RANDBETWEEN(1,$E$3)),"")</x:f>
      </x:c>
      <x:c r="E170" s="68" t="str">
        <x:f>IF(COLUMN()-2&lt;=$E$3,INDEX($B$10:$B$59,RANDBETWEEN(1,$E$3)),"")</x:f>
      </x:c>
      <x:c r="F170" s="68" t="str">
        <x:f>IF(COLUMN()-2&lt;=$E$3,INDEX($B$10:$B$59,RANDBETWEEN(1,$E$3)),"")</x:f>
      </x:c>
      <x:c r="G170" s="68" t="str">
        <x:f>IF(COLUMN()-2&lt;=$E$3,INDEX($B$10:$B$59,RANDBETWEEN(1,$E$3)),"")</x:f>
      </x:c>
      <x:c r="H170" s="68" t="str">
        <x:f>IF(COLUMN()-2&lt;=$E$3,INDEX($B$10:$B$59,RANDBETWEEN(1,$E$3)),"")</x:f>
      </x:c>
      <x:c r="I170" s="68" t="str">
        <x:f>IF(COLUMN()-2&lt;=$E$3,INDEX($B$10:$B$59,RANDBETWEEN(1,$E$3)),"")</x:f>
      </x:c>
      <x:c r="J170" s="68" t="str">
        <x:f>IF(COLUMN()-2&lt;=$E$3,INDEX($B$10:$B$59,RANDBETWEEN(1,$E$3)),"")</x:f>
      </x:c>
      <x:c r="K170" s="68" t="str">
        <x:f>IF(COLUMN()-2&lt;=$E$3,INDEX($B$10:$B$59,RANDBETWEEN(1,$E$3)),"")</x:f>
      </x:c>
      <x:c r="L170" s="68" t="str">
        <x:f>IF(COLUMN()-2&lt;=$E$3,INDEX($B$10:$B$59,RANDBETWEEN(1,$E$3)),"")</x:f>
      </x:c>
      <x:c r="M170" s="68" t="str">
        <x:f>IF(COLUMN()-2&lt;=$E$3,INDEX($B$10:$B$59,RANDBETWEEN(1,$E$3)),"")</x:f>
      </x:c>
      <x:c r="N170" s="68" t="str">
        <x:f>IF(COLUMN()-2&lt;=$E$3,INDEX($B$10:$B$59,RANDBETWEEN(1,$E$3)),"")</x:f>
      </x:c>
      <x:c r="O170" s="68" t="str">
        <x:f>IF(COLUMN()-2&lt;=$E$3,INDEX($B$10:$B$59,RANDBETWEEN(1,$E$3)),"")</x:f>
      </x:c>
      <x:c r="P170" s="68" t="str">
        <x:f>IF(COLUMN()-2&lt;=$E$3,INDEX($B$10:$B$59,RANDBETWEEN(1,$E$3)),"")</x:f>
      </x:c>
      <x:c r="Q170" s="68" t="str">
        <x:f>IF(COLUMN()-2&lt;=$E$3,INDEX($B$10:$B$59,RANDBETWEEN(1,$E$3)),"")</x:f>
      </x:c>
      <x:c r="R170" s="68" t="str">
        <x:f>IF(COLUMN()-2&lt;=$E$3,INDEX($B$10:$B$59,RANDBETWEEN(1,$E$3)),"")</x:f>
      </x:c>
      <x:c r="S170" s="68" t="str">
        <x:f>IF(COLUMN()-2&lt;=$E$3,INDEX($B$10:$B$59,RANDBETWEEN(1,$E$3)),"")</x:f>
      </x:c>
      <x:c r="T170" s="68" t="str">
        <x:f>IF(COLUMN()-2&lt;=$E$3,INDEX($B$10:$B$59,RANDBETWEEN(1,$E$3)),"")</x:f>
      </x:c>
      <x:c r="U170" s="68" t="str">
        <x:f>IF(COLUMN()-2&lt;=$E$3,INDEX($B$10:$B$59,RANDBETWEEN(1,$E$3)),"")</x:f>
      </x:c>
      <x:c r="V170" s="68" t="str">
        <x:f>IF(COLUMN()-2&lt;=$E$3,INDEX($B$10:$B$59,RANDBETWEEN(1,$E$3)),"")</x:f>
      </x:c>
      <x:c r="W170" s="68" t="str">
        <x:f>IF(COLUMN()-2&lt;=$E$3,INDEX($B$10:$B$59,RANDBETWEEN(1,$E$3)),"")</x:f>
      </x:c>
      <x:c r="X170" s="68" t="str">
        <x:f>IF(COLUMN()-2&lt;=$E$3,INDEX($B$10:$B$59,RANDBETWEEN(1,$E$3)),"")</x:f>
      </x:c>
      <x:c r="Y170" s="68" t="str">
        <x:f>IF(COLUMN()-2&lt;=$E$3,INDEX($B$10:$B$59,RANDBETWEEN(1,$E$3)),"")</x:f>
      </x:c>
      <x:c r="Z170" s="68" t="str">
        <x:f>IF(COLUMN()-2&lt;=$E$3,INDEX($B$10:$B$59,RANDBETWEEN(1,$E$3)),"")</x:f>
      </x:c>
      <x:c r="AA170" s="68" t="str">
        <x:f>IF(COLUMN()-2&lt;=$E$3,INDEX($B$10:$B$59,RANDBETWEEN(1,$E$3)),"")</x:f>
      </x:c>
      <x:c r="AB170" s="68" t="str">
        <x:f>IF(COLUMN()-2&lt;=$E$3,INDEX($B$10:$B$59,RANDBETWEEN(1,$E$3)),"")</x:f>
      </x:c>
      <x:c r="AC170" s="68" t="str">
        <x:f>IF(COLUMN()-2&lt;=$E$3,INDEX($B$10:$B$59,RANDBETWEEN(1,$E$3)),"")</x:f>
      </x:c>
      <x:c r="AD170" s="68" t="str">
        <x:f>IF(COLUMN()-2&lt;=$E$3,INDEX($B$10:$B$59,RANDBETWEEN(1,$E$3)),"")</x:f>
      </x:c>
      <x:c r="AE170" s="68" t="str">
        <x:f>IF(COLUMN()-2&lt;=$E$3,INDEX($B$10:$B$59,RANDBETWEEN(1,$E$3)),"")</x:f>
      </x:c>
      <x:c r="AF170" s="68" t="str">
        <x:f>IF(COLUMN()-2&lt;=$E$3,INDEX($B$10:$B$59,RANDBETWEEN(1,$E$3)),"")</x:f>
      </x:c>
      <x:c r="AG170" s="68" t="str">
        <x:f>IF(COLUMN()-2&lt;=$E$3,INDEX($B$10:$B$59,RANDBETWEEN(1,$E$3)),"")</x:f>
      </x:c>
      <x:c r="AH170" s="68" t="str">
        <x:f>IF(COLUMN()-2&lt;=$E$3,INDEX($B$10:$B$59,RANDBETWEEN(1,$E$3)),"")</x:f>
      </x:c>
      <x:c r="AI170" s="68" t="str">
        <x:f>IF(COLUMN()-2&lt;=$E$3,INDEX($B$10:$B$59,RANDBETWEEN(1,$E$3)),"")</x:f>
      </x:c>
      <x:c r="AJ170" s="68" t="str">
        <x:f>IF(COLUMN()-2&lt;=$E$3,INDEX($B$10:$B$59,RANDBETWEEN(1,$E$3)),"")</x:f>
      </x:c>
      <x:c r="AK170" s="68" t="str">
        <x:f>IF(COLUMN()-2&lt;=$E$3,INDEX($B$10:$B$59,RANDBETWEEN(1,$E$3)),"")</x:f>
      </x:c>
      <x:c r="AL170" s="68" t="str">
        <x:f>IF(COLUMN()-2&lt;=$E$3,INDEX($B$10:$B$59,RANDBETWEEN(1,$E$3)),"")</x:f>
      </x:c>
      <x:c r="AM170" s="68" t="str">
        <x:f>IF(COLUMN()-2&lt;=$E$3,INDEX($B$10:$B$59,RANDBETWEEN(1,$E$3)),"")</x:f>
      </x:c>
      <x:c r="AN170" s="68" t="str">
        <x:f>IF(COLUMN()-2&lt;=$E$3,INDEX($B$10:$B$59,RANDBETWEEN(1,$E$3)),"")</x:f>
      </x:c>
      <x:c r="AO170" s="68" t="str">
        <x:f>IF(COLUMN()-2&lt;=$E$3,INDEX($B$10:$B$59,RANDBETWEEN(1,$E$3)),"")</x:f>
      </x:c>
      <x:c r="AP170" s="68" t="str">
        <x:f>IF(COLUMN()-2&lt;=$E$3,INDEX($B$10:$B$59,RANDBETWEEN(1,$E$3)),"")</x:f>
      </x:c>
      <x:c r="AQ170" s="68" t="str">
        <x:f>IF(COLUMN()-2&lt;=$E$3,INDEX($B$10:$B$59,RANDBETWEEN(1,$E$3)),"")</x:f>
      </x:c>
      <x:c r="AR170" s="68" t="str">
        <x:f>IF(COLUMN()-2&lt;=$E$3,INDEX($B$10:$B$59,RANDBETWEEN(1,$E$3)),"")</x:f>
      </x:c>
      <x:c r="AS170" s="68" t="str">
        <x:f>IF(COLUMN()-2&lt;=$E$3,INDEX($B$10:$B$59,RANDBETWEEN(1,$E$3)),"")</x:f>
      </x:c>
      <x:c r="AT170" s="68" t="str">
        <x:f>IF(COLUMN()-2&lt;=$E$3,INDEX($B$10:$B$59,RANDBETWEEN(1,$E$3)),"")</x:f>
      </x:c>
      <x:c r="AU170" s="68" t="str">
        <x:f>IF(COLUMN()-2&lt;=$E$3,INDEX($B$10:$B$59,RANDBETWEEN(1,$E$3)),"")</x:f>
      </x:c>
      <x:c r="AV170" s="68" t="str">
        <x:f>IF(COLUMN()-2&lt;=$E$3,INDEX($B$10:$B$59,RANDBETWEEN(1,$E$3)),"")</x:f>
      </x:c>
      <x:c r="AW170" s="68" t="str">
        <x:f>IF(COLUMN()-2&lt;=$E$3,INDEX($B$10:$B$59,RANDBETWEEN(1,$E$3)),"")</x:f>
      </x:c>
      <x:c r="AX170" s="68" t="str">
        <x:f>IF(COLUMN()-2&lt;=$E$3,INDEX($B$10:$B$59,RANDBETWEEN(1,$E$3)),"")</x:f>
      </x:c>
      <x:c r="AY170" s="68" t="str">
        <x:f>IF(COLUMN()-2&lt;=$E$3,INDEX($B$10:$B$59,RANDBETWEEN(1,$E$3)),"")</x:f>
      </x:c>
      <x:c r="AZ170" s="68" t="str">
        <x:f>IF(COLUMN()-2&lt;=$E$3,INDEX($B$10:$B$59,RANDBETWEEN(1,$E$3)),"")</x:f>
      </x:c>
      <x:c r="BA170" s="68" t="str">
        <x:f>IF($E$3=0,"",AVERAGE(C170:AZ170))</x:f>
      </x:c>
    </x:row>
    <x:row r="171">
      <x:c r="A171" t="n">
        <x:v>107</x:v>
      </x:c>
      <x:c r="C171" s="68" t="str">
        <x:f>IF(COLUMN()-2&lt;=$E$3,INDEX($B$10:$B$59,RANDBETWEEN(1,$E$3)),"")</x:f>
      </x:c>
      <x:c r="D171" s="68" t="str">
        <x:f>IF(COLUMN()-2&lt;=$E$3,INDEX($B$10:$B$59,RANDBETWEEN(1,$E$3)),"")</x:f>
      </x:c>
      <x:c r="E171" s="68" t="str">
        <x:f>IF(COLUMN()-2&lt;=$E$3,INDEX($B$10:$B$59,RANDBETWEEN(1,$E$3)),"")</x:f>
      </x:c>
      <x:c r="F171" s="68" t="str">
        <x:f>IF(COLUMN()-2&lt;=$E$3,INDEX($B$10:$B$59,RANDBETWEEN(1,$E$3)),"")</x:f>
      </x:c>
      <x:c r="G171" s="68" t="str">
        <x:f>IF(COLUMN()-2&lt;=$E$3,INDEX($B$10:$B$59,RANDBETWEEN(1,$E$3)),"")</x:f>
      </x:c>
      <x:c r="H171" s="68" t="str">
        <x:f>IF(COLUMN()-2&lt;=$E$3,INDEX($B$10:$B$59,RANDBETWEEN(1,$E$3)),"")</x:f>
      </x:c>
      <x:c r="I171" s="68" t="str">
        <x:f>IF(COLUMN()-2&lt;=$E$3,INDEX($B$10:$B$59,RANDBETWEEN(1,$E$3)),"")</x:f>
      </x:c>
      <x:c r="J171" s="68" t="str">
        <x:f>IF(COLUMN()-2&lt;=$E$3,INDEX($B$10:$B$59,RANDBETWEEN(1,$E$3)),"")</x:f>
      </x:c>
      <x:c r="K171" s="68" t="str">
        <x:f>IF(COLUMN()-2&lt;=$E$3,INDEX($B$10:$B$59,RANDBETWEEN(1,$E$3)),"")</x:f>
      </x:c>
      <x:c r="L171" s="68" t="str">
        <x:f>IF(COLUMN()-2&lt;=$E$3,INDEX($B$10:$B$59,RANDBETWEEN(1,$E$3)),"")</x:f>
      </x:c>
      <x:c r="M171" s="68" t="str">
        <x:f>IF(COLUMN()-2&lt;=$E$3,INDEX($B$10:$B$59,RANDBETWEEN(1,$E$3)),"")</x:f>
      </x:c>
      <x:c r="N171" s="68" t="str">
        <x:f>IF(COLUMN()-2&lt;=$E$3,INDEX($B$10:$B$59,RANDBETWEEN(1,$E$3)),"")</x:f>
      </x:c>
      <x:c r="O171" s="68" t="str">
        <x:f>IF(COLUMN()-2&lt;=$E$3,INDEX($B$10:$B$59,RANDBETWEEN(1,$E$3)),"")</x:f>
      </x:c>
      <x:c r="P171" s="68" t="str">
        <x:f>IF(COLUMN()-2&lt;=$E$3,INDEX($B$10:$B$59,RANDBETWEEN(1,$E$3)),"")</x:f>
      </x:c>
      <x:c r="Q171" s="68" t="str">
        <x:f>IF(COLUMN()-2&lt;=$E$3,INDEX($B$10:$B$59,RANDBETWEEN(1,$E$3)),"")</x:f>
      </x:c>
      <x:c r="R171" s="68" t="str">
        <x:f>IF(COLUMN()-2&lt;=$E$3,INDEX($B$10:$B$59,RANDBETWEEN(1,$E$3)),"")</x:f>
      </x:c>
      <x:c r="S171" s="68" t="str">
        <x:f>IF(COLUMN()-2&lt;=$E$3,INDEX($B$10:$B$59,RANDBETWEEN(1,$E$3)),"")</x:f>
      </x:c>
      <x:c r="T171" s="68" t="str">
        <x:f>IF(COLUMN()-2&lt;=$E$3,INDEX($B$10:$B$59,RANDBETWEEN(1,$E$3)),"")</x:f>
      </x:c>
      <x:c r="U171" s="68" t="str">
        <x:f>IF(COLUMN()-2&lt;=$E$3,INDEX($B$10:$B$59,RANDBETWEEN(1,$E$3)),"")</x:f>
      </x:c>
      <x:c r="V171" s="68" t="str">
        <x:f>IF(COLUMN()-2&lt;=$E$3,INDEX($B$10:$B$59,RANDBETWEEN(1,$E$3)),"")</x:f>
      </x:c>
      <x:c r="W171" s="68" t="str">
        <x:f>IF(COLUMN()-2&lt;=$E$3,INDEX($B$10:$B$59,RANDBETWEEN(1,$E$3)),"")</x:f>
      </x:c>
      <x:c r="X171" s="68" t="str">
        <x:f>IF(COLUMN()-2&lt;=$E$3,INDEX($B$10:$B$59,RANDBETWEEN(1,$E$3)),"")</x:f>
      </x:c>
      <x:c r="Y171" s="68" t="str">
        <x:f>IF(COLUMN()-2&lt;=$E$3,INDEX($B$10:$B$59,RANDBETWEEN(1,$E$3)),"")</x:f>
      </x:c>
      <x:c r="Z171" s="68" t="str">
        <x:f>IF(COLUMN()-2&lt;=$E$3,INDEX($B$10:$B$59,RANDBETWEEN(1,$E$3)),"")</x:f>
      </x:c>
      <x:c r="AA171" s="68" t="str">
        <x:f>IF(COLUMN()-2&lt;=$E$3,INDEX($B$10:$B$59,RANDBETWEEN(1,$E$3)),"")</x:f>
      </x:c>
      <x:c r="AB171" s="68" t="str">
        <x:f>IF(COLUMN()-2&lt;=$E$3,INDEX($B$10:$B$59,RANDBETWEEN(1,$E$3)),"")</x:f>
      </x:c>
      <x:c r="AC171" s="68" t="str">
        <x:f>IF(COLUMN()-2&lt;=$E$3,INDEX($B$10:$B$59,RANDBETWEEN(1,$E$3)),"")</x:f>
      </x:c>
      <x:c r="AD171" s="68" t="str">
        <x:f>IF(COLUMN()-2&lt;=$E$3,INDEX($B$10:$B$59,RANDBETWEEN(1,$E$3)),"")</x:f>
      </x:c>
      <x:c r="AE171" s="68" t="str">
        <x:f>IF(COLUMN()-2&lt;=$E$3,INDEX($B$10:$B$59,RANDBETWEEN(1,$E$3)),"")</x:f>
      </x:c>
      <x:c r="AF171" s="68" t="str">
        <x:f>IF(COLUMN()-2&lt;=$E$3,INDEX($B$10:$B$59,RANDBETWEEN(1,$E$3)),"")</x:f>
      </x:c>
      <x:c r="AG171" s="68" t="str">
        <x:f>IF(COLUMN()-2&lt;=$E$3,INDEX($B$10:$B$59,RANDBETWEEN(1,$E$3)),"")</x:f>
      </x:c>
      <x:c r="AH171" s="68" t="str">
        <x:f>IF(COLUMN()-2&lt;=$E$3,INDEX($B$10:$B$59,RANDBETWEEN(1,$E$3)),"")</x:f>
      </x:c>
      <x:c r="AI171" s="68" t="str">
        <x:f>IF(COLUMN()-2&lt;=$E$3,INDEX($B$10:$B$59,RANDBETWEEN(1,$E$3)),"")</x:f>
      </x:c>
      <x:c r="AJ171" s="68" t="str">
        <x:f>IF(COLUMN()-2&lt;=$E$3,INDEX($B$10:$B$59,RANDBETWEEN(1,$E$3)),"")</x:f>
      </x:c>
      <x:c r="AK171" s="68" t="str">
        <x:f>IF(COLUMN()-2&lt;=$E$3,INDEX($B$10:$B$59,RANDBETWEEN(1,$E$3)),"")</x:f>
      </x:c>
      <x:c r="AL171" s="68" t="str">
        <x:f>IF(COLUMN()-2&lt;=$E$3,INDEX($B$10:$B$59,RANDBETWEEN(1,$E$3)),"")</x:f>
      </x:c>
      <x:c r="AM171" s="68" t="str">
        <x:f>IF(COLUMN()-2&lt;=$E$3,INDEX($B$10:$B$59,RANDBETWEEN(1,$E$3)),"")</x:f>
      </x:c>
      <x:c r="AN171" s="68" t="str">
        <x:f>IF(COLUMN()-2&lt;=$E$3,INDEX($B$10:$B$59,RANDBETWEEN(1,$E$3)),"")</x:f>
      </x:c>
      <x:c r="AO171" s="68" t="str">
        <x:f>IF(COLUMN()-2&lt;=$E$3,INDEX($B$10:$B$59,RANDBETWEEN(1,$E$3)),"")</x:f>
      </x:c>
      <x:c r="AP171" s="68" t="str">
        <x:f>IF(COLUMN()-2&lt;=$E$3,INDEX($B$10:$B$59,RANDBETWEEN(1,$E$3)),"")</x:f>
      </x:c>
      <x:c r="AQ171" s="68" t="str">
        <x:f>IF(COLUMN()-2&lt;=$E$3,INDEX($B$10:$B$59,RANDBETWEEN(1,$E$3)),"")</x:f>
      </x:c>
      <x:c r="AR171" s="68" t="str">
        <x:f>IF(COLUMN()-2&lt;=$E$3,INDEX($B$10:$B$59,RANDBETWEEN(1,$E$3)),"")</x:f>
      </x:c>
      <x:c r="AS171" s="68" t="str">
        <x:f>IF(COLUMN()-2&lt;=$E$3,INDEX($B$10:$B$59,RANDBETWEEN(1,$E$3)),"")</x:f>
      </x:c>
      <x:c r="AT171" s="68" t="str">
        <x:f>IF(COLUMN()-2&lt;=$E$3,INDEX($B$10:$B$59,RANDBETWEEN(1,$E$3)),"")</x:f>
      </x:c>
      <x:c r="AU171" s="68" t="str">
        <x:f>IF(COLUMN()-2&lt;=$E$3,INDEX($B$10:$B$59,RANDBETWEEN(1,$E$3)),"")</x:f>
      </x:c>
      <x:c r="AV171" s="68" t="str">
        <x:f>IF(COLUMN()-2&lt;=$E$3,INDEX($B$10:$B$59,RANDBETWEEN(1,$E$3)),"")</x:f>
      </x:c>
      <x:c r="AW171" s="68" t="str">
        <x:f>IF(COLUMN()-2&lt;=$E$3,INDEX($B$10:$B$59,RANDBETWEEN(1,$E$3)),"")</x:f>
      </x:c>
      <x:c r="AX171" s="68" t="str">
        <x:f>IF(COLUMN()-2&lt;=$E$3,INDEX($B$10:$B$59,RANDBETWEEN(1,$E$3)),"")</x:f>
      </x:c>
      <x:c r="AY171" s="68" t="str">
        <x:f>IF(COLUMN()-2&lt;=$E$3,INDEX($B$10:$B$59,RANDBETWEEN(1,$E$3)),"")</x:f>
      </x:c>
      <x:c r="AZ171" s="68" t="str">
        <x:f>IF(COLUMN()-2&lt;=$E$3,INDEX($B$10:$B$59,RANDBETWEEN(1,$E$3)),"")</x:f>
      </x:c>
      <x:c r="BA171" s="68" t="str">
        <x:f>IF($E$3=0,"",AVERAGE(C171:AZ171))</x:f>
      </x:c>
    </x:row>
    <x:row r="172">
      <x:c r="A172" t="n">
        <x:v>108</x:v>
      </x:c>
      <x:c r="C172" s="68" t="str">
        <x:f>IF(COLUMN()-2&lt;=$E$3,INDEX($B$10:$B$59,RANDBETWEEN(1,$E$3)),"")</x:f>
      </x:c>
      <x:c r="D172" s="68" t="str">
        <x:f>IF(COLUMN()-2&lt;=$E$3,INDEX($B$10:$B$59,RANDBETWEEN(1,$E$3)),"")</x:f>
      </x:c>
      <x:c r="E172" s="68" t="str">
        <x:f>IF(COLUMN()-2&lt;=$E$3,INDEX($B$10:$B$59,RANDBETWEEN(1,$E$3)),"")</x:f>
      </x:c>
      <x:c r="F172" s="68" t="str">
        <x:f>IF(COLUMN()-2&lt;=$E$3,INDEX($B$10:$B$59,RANDBETWEEN(1,$E$3)),"")</x:f>
      </x:c>
      <x:c r="G172" s="68" t="str">
        <x:f>IF(COLUMN()-2&lt;=$E$3,INDEX($B$10:$B$59,RANDBETWEEN(1,$E$3)),"")</x:f>
      </x:c>
      <x:c r="H172" s="68" t="str">
        <x:f>IF(COLUMN()-2&lt;=$E$3,INDEX($B$10:$B$59,RANDBETWEEN(1,$E$3)),"")</x:f>
      </x:c>
      <x:c r="I172" s="68" t="str">
        <x:f>IF(COLUMN()-2&lt;=$E$3,INDEX($B$10:$B$59,RANDBETWEEN(1,$E$3)),"")</x:f>
      </x:c>
      <x:c r="J172" s="68" t="str">
        <x:f>IF(COLUMN()-2&lt;=$E$3,INDEX($B$10:$B$59,RANDBETWEEN(1,$E$3)),"")</x:f>
      </x:c>
      <x:c r="K172" s="68" t="str">
        <x:f>IF(COLUMN()-2&lt;=$E$3,INDEX($B$10:$B$59,RANDBETWEEN(1,$E$3)),"")</x:f>
      </x:c>
      <x:c r="L172" s="68" t="str">
        <x:f>IF(COLUMN()-2&lt;=$E$3,INDEX($B$10:$B$59,RANDBETWEEN(1,$E$3)),"")</x:f>
      </x:c>
      <x:c r="M172" s="68" t="str">
        <x:f>IF(COLUMN()-2&lt;=$E$3,INDEX($B$10:$B$59,RANDBETWEEN(1,$E$3)),"")</x:f>
      </x:c>
      <x:c r="N172" s="68" t="str">
        <x:f>IF(COLUMN()-2&lt;=$E$3,INDEX($B$10:$B$59,RANDBETWEEN(1,$E$3)),"")</x:f>
      </x:c>
      <x:c r="O172" s="68" t="str">
        <x:f>IF(COLUMN()-2&lt;=$E$3,INDEX($B$10:$B$59,RANDBETWEEN(1,$E$3)),"")</x:f>
      </x:c>
      <x:c r="P172" s="68" t="str">
        <x:f>IF(COLUMN()-2&lt;=$E$3,INDEX($B$10:$B$59,RANDBETWEEN(1,$E$3)),"")</x:f>
      </x:c>
      <x:c r="Q172" s="68" t="str">
        <x:f>IF(COLUMN()-2&lt;=$E$3,INDEX($B$10:$B$59,RANDBETWEEN(1,$E$3)),"")</x:f>
      </x:c>
      <x:c r="R172" s="68" t="str">
        <x:f>IF(COLUMN()-2&lt;=$E$3,INDEX($B$10:$B$59,RANDBETWEEN(1,$E$3)),"")</x:f>
      </x:c>
      <x:c r="S172" s="68" t="str">
        <x:f>IF(COLUMN()-2&lt;=$E$3,INDEX($B$10:$B$59,RANDBETWEEN(1,$E$3)),"")</x:f>
      </x:c>
      <x:c r="T172" s="68" t="str">
        <x:f>IF(COLUMN()-2&lt;=$E$3,INDEX($B$10:$B$59,RANDBETWEEN(1,$E$3)),"")</x:f>
      </x:c>
      <x:c r="U172" s="68" t="str">
        <x:f>IF(COLUMN()-2&lt;=$E$3,INDEX($B$10:$B$59,RANDBETWEEN(1,$E$3)),"")</x:f>
      </x:c>
      <x:c r="V172" s="68" t="str">
        <x:f>IF(COLUMN()-2&lt;=$E$3,INDEX($B$10:$B$59,RANDBETWEEN(1,$E$3)),"")</x:f>
      </x:c>
      <x:c r="W172" s="68" t="str">
        <x:f>IF(COLUMN()-2&lt;=$E$3,INDEX($B$10:$B$59,RANDBETWEEN(1,$E$3)),"")</x:f>
      </x:c>
      <x:c r="X172" s="68" t="str">
        <x:f>IF(COLUMN()-2&lt;=$E$3,INDEX($B$10:$B$59,RANDBETWEEN(1,$E$3)),"")</x:f>
      </x:c>
      <x:c r="Y172" s="68" t="str">
        <x:f>IF(COLUMN()-2&lt;=$E$3,INDEX($B$10:$B$59,RANDBETWEEN(1,$E$3)),"")</x:f>
      </x:c>
      <x:c r="Z172" s="68" t="str">
        <x:f>IF(COLUMN()-2&lt;=$E$3,INDEX($B$10:$B$59,RANDBETWEEN(1,$E$3)),"")</x:f>
      </x:c>
      <x:c r="AA172" s="68" t="str">
        <x:f>IF(COLUMN()-2&lt;=$E$3,INDEX($B$10:$B$59,RANDBETWEEN(1,$E$3)),"")</x:f>
      </x:c>
      <x:c r="AB172" s="68" t="str">
        <x:f>IF(COLUMN()-2&lt;=$E$3,INDEX($B$10:$B$59,RANDBETWEEN(1,$E$3)),"")</x:f>
      </x:c>
      <x:c r="AC172" s="68" t="str">
        <x:f>IF(COLUMN()-2&lt;=$E$3,INDEX($B$10:$B$59,RANDBETWEEN(1,$E$3)),"")</x:f>
      </x:c>
      <x:c r="AD172" s="68" t="str">
        <x:f>IF(COLUMN()-2&lt;=$E$3,INDEX($B$10:$B$59,RANDBETWEEN(1,$E$3)),"")</x:f>
      </x:c>
      <x:c r="AE172" s="68" t="str">
        <x:f>IF(COLUMN()-2&lt;=$E$3,INDEX($B$10:$B$59,RANDBETWEEN(1,$E$3)),"")</x:f>
      </x:c>
      <x:c r="AF172" s="68" t="str">
        <x:f>IF(COLUMN()-2&lt;=$E$3,INDEX($B$10:$B$59,RANDBETWEEN(1,$E$3)),"")</x:f>
      </x:c>
      <x:c r="AG172" s="68" t="str">
        <x:f>IF(COLUMN()-2&lt;=$E$3,INDEX($B$10:$B$59,RANDBETWEEN(1,$E$3)),"")</x:f>
      </x:c>
      <x:c r="AH172" s="68" t="str">
        <x:f>IF(COLUMN()-2&lt;=$E$3,INDEX($B$10:$B$59,RANDBETWEEN(1,$E$3)),"")</x:f>
      </x:c>
      <x:c r="AI172" s="68" t="str">
        <x:f>IF(COLUMN()-2&lt;=$E$3,INDEX($B$10:$B$59,RANDBETWEEN(1,$E$3)),"")</x:f>
      </x:c>
      <x:c r="AJ172" s="68" t="str">
        <x:f>IF(COLUMN()-2&lt;=$E$3,INDEX($B$10:$B$59,RANDBETWEEN(1,$E$3)),"")</x:f>
      </x:c>
      <x:c r="AK172" s="68" t="str">
        <x:f>IF(COLUMN()-2&lt;=$E$3,INDEX($B$10:$B$59,RANDBETWEEN(1,$E$3)),"")</x:f>
      </x:c>
      <x:c r="AL172" s="68" t="str">
        <x:f>IF(COLUMN()-2&lt;=$E$3,INDEX($B$10:$B$59,RANDBETWEEN(1,$E$3)),"")</x:f>
      </x:c>
      <x:c r="AM172" s="68" t="str">
        <x:f>IF(COLUMN()-2&lt;=$E$3,INDEX($B$10:$B$59,RANDBETWEEN(1,$E$3)),"")</x:f>
      </x:c>
      <x:c r="AN172" s="68" t="str">
        <x:f>IF(COLUMN()-2&lt;=$E$3,INDEX($B$10:$B$59,RANDBETWEEN(1,$E$3)),"")</x:f>
      </x:c>
      <x:c r="AO172" s="68" t="str">
        <x:f>IF(COLUMN()-2&lt;=$E$3,INDEX($B$10:$B$59,RANDBETWEEN(1,$E$3)),"")</x:f>
      </x:c>
      <x:c r="AP172" s="68" t="str">
        <x:f>IF(COLUMN()-2&lt;=$E$3,INDEX($B$10:$B$59,RANDBETWEEN(1,$E$3)),"")</x:f>
      </x:c>
      <x:c r="AQ172" s="68" t="str">
        <x:f>IF(COLUMN()-2&lt;=$E$3,INDEX($B$10:$B$59,RANDBETWEEN(1,$E$3)),"")</x:f>
      </x:c>
      <x:c r="AR172" s="68" t="str">
        <x:f>IF(COLUMN()-2&lt;=$E$3,INDEX($B$10:$B$59,RANDBETWEEN(1,$E$3)),"")</x:f>
      </x:c>
      <x:c r="AS172" s="68" t="str">
        <x:f>IF(COLUMN()-2&lt;=$E$3,INDEX($B$10:$B$59,RANDBETWEEN(1,$E$3)),"")</x:f>
      </x:c>
      <x:c r="AT172" s="68" t="str">
        <x:f>IF(COLUMN()-2&lt;=$E$3,INDEX($B$10:$B$59,RANDBETWEEN(1,$E$3)),"")</x:f>
      </x:c>
      <x:c r="AU172" s="68" t="str">
        <x:f>IF(COLUMN()-2&lt;=$E$3,INDEX($B$10:$B$59,RANDBETWEEN(1,$E$3)),"")</x:f>
      </x:c>
      <x:c r="AV172" s="68" t="str">
        <x:f>IF(COLUMN()-2&lt;=$E$3,INDEX($B$10:$B$59,RANDBETWEEN(1,$E$3)),"")</x:f>
      </x:c>
      <x:c r="AW172" s="68" t="str">
        <x:f>IF(COLUMN()-2&lt;=$E$3,INDEX($B$10:$B$59,RANDBETWEEN(1,$E$3)),"")</x:f>
      </x:c>
      <x:c r="AX172" s="68" t="str">
        <x:f>IF(COLUMN()-2&lt;=$E$3,INDEX($B$10:$B$59,RANDBETWEEN(1,$E$3)),"")</x:f>
      </x:c>
      <x:c r="AY172" s="68" t="str">
        <x:f>IF(COLUMN()-2&lt;=$E$3,INDEX($B$10:$B$59,RANDBETWEEN(1,$E$3)),"")</x:f>
      </x:c>
      <x:c r="AZ172" s="68" t="str">
        <x:f>IF(COLUMN()-2&lt;=$E$3,INDEX($B$10:$B$59,RANDBETWEEN(1,$E$3)),"")</x:f>
      </x:c>
      <x:c r="BA172" s="68" t="str">
        <x:f>IF($E$3=0,"",AVERAGE(C172:AZ172))</x:f>
      </x:c>
    </x:row>
    <x:row r="173">
      <x:c r="A173" t="n">
        <x:v>109</x:v>
      </x:c>
      <x:c r="C173" s="68" t="str">
        <x:f>IF(COLUMN()-2&lt;=$E$3,INDEX($B$10:$B$59,RANDBETWEEN(1,$E$3)),"")</x:f>
      </x:c>
      <x:c r="D173" s="68" t="str">
        <x:f>IF(COLUMN()-2&lt;=$E$3,INDEX($B$10:$B$59,RANDBETWEEN(1,$E$3)),"")</x:f>
      </x:c>
      <x:c r="E173" s="68" t="str">
        <x:f>IF(COLUMN()-2&lt;=$E$3,INDEX($B$10:$B$59,RANDBETWEEN(1,$E$3)),"")</x:f>
      </x:c>
      <x:c r="F173" s="68" t="str">
        <x:f>IF(COLUMN()-2&lt;=$E$3,INDEX($B$10:$B$59,RANDBETWEEN(1,$E$3)),"")</x:f>
      </x:c>
      <x:c r="G173" s="68" t="str">
        <x:f>IF(COLUMN()-2&lt;=$E$3,INDEX($B$10:$B$59,RANDBETWEEN(1,$E$3)),"")</x:f>
      </x:c>
      <x:c r="H173" s="68" t="str">
        <x:f>IF(COLUMN()-2&lt;=$E$3,INDEX($B$10:$B$59,RANDBETWEEN(1,$E$3)),"")</x:f>
      </x:c>
      <x:c r="I173" s="68" t="str">
        <x:f>IF(COLUMN()-2&lt;=$E$3,INDEX($B$10:$B$59,RANDBETWEEN(1,$E$3)),"")</x:f>
      </x:c>
      <x:c r="J173" s="68" t="str">
        <x:f>IF(COLUMN()-2&lt;=$E$3,INDEX($B$10:$B$59,RANDBETWEEN(1,$E$3)),"")</x:f>
      </x:c>
      <x:c r="K173" s="68" t="str">
        <x:f>IF(COLUMN()-2&lt;=$E$3,INDEX($B$10:$B$59,RANDBETWEEN(1,$E$3)),"")</x:f>
      </x:c>
      <x:c r="L173" s="68" t="str">
        <x:f>IF(COLUMN()-2&lt;=$E$3,INDEX($B$10:$B$59,RANDBETWEEN(1,$E$3)),"")</x:f>
      </x:c>
      <x:c r="M173" s="68" t="str">
        <x:f>IF(COLUMN()-2&lt;=$E$3,INDEX($B$10:$B$59,RANDBETWEEN(1,$E$3)),"")</x:f>
      </x:c>
      <x:c r="N173" s="68" t="str">
        <x:f>IF(COLUMN()-2&lt;=$E$3,INDEX($B$10:$B$59,RANDBETWEEN(1,$E$3)),"")</x:f>
      </x:c>
      <x:c r="O173" s="68" t="str">
        <x:f>IF(COLUMN()-2&lt;=$E$3,INDEX($B$10:$B$59,RANDBETWEEN(1,$E$3)),"")</x:f>
      </x:c>
      <x:c r="P173" s="68" t="str">
        <x:f>IF(COLUMN()-2&lt;=$E$3,INDEX($B$10:$B$59,RANDBETWEEN(1,$E$3)),"")</x:f>
      </x:c>
      <x:c r="Q173" s="68" t="str">
        <x:f>IF(COLUMN()-2&lt;=$E$3,INDEX($B$10:$B$59,RANDBETWEEN(1,$E$3)),"")</x:f>
      </x:c>
      <x:c r="R173" s="68" t="str">
        <x:f>IF(COLUMN()-2&lt;=$E$3,INDEX($B$10:$B$59,RANDBETWEEN(1,$E$3)),"")</x:f>
      </x:c>
      <x:c r="S173" s="68" t="str">
        <x:f>IF(COLUMN()-2&lt;=$E$3,INDEX($B$10:$B$59,RANDBETWEEN(1,$E$3)),"")</x:f>
      </x:c>
      <x:c r="T173" s="68" t="str">
        <x:f>IF(COLUMN()-2&lt;=$E$3,INDEX($B$10:$B$59,RANDBETWEEN(1,$E$3)),"")</x:f>
      </x:c>
      <x:c r="U173" s="68" t="str">
        <x:f>IF(COLUMN()-2&lt;=$E$3,INDEX($B$10:$B$59,RANDBETWEEN(1,$E$3)),"")</x:f>
      </x:c>
      <x:c r="V173" s="68" t="str">
        <x:f>IF(COLUMN()-2&lt;=$E$3,INDEX($B$10:$B$59,RANDBETWEEN(1,$E$3)),"")</x:f>
      </x:c>
      <x:c r="W173" s="68" t="str">
        <x:f>IF(COLUMN()-2&lt;=$E$3,INDEX($B$10:$B$59,RANDBETWEEN(1,$E$3)),"")</x:f>
      </x:c>
      <x:c r="X173" s="68" t="str">
        <x:f>IF(COLUMN()-2&lt;=$E$3,INDEX($B$10:$B$59,RANDBETWEEN(1,$E$3)),"")</x:f>
      </x:c>
      <x:c r="Y173" s="68" t="str">
        <x:f>IF(COLUMN()-2&lt;=$E$3,INDEX($B$10:$B$59,RANDBETWEEN(1,$E$3)),"")</x:f>
      </x:c>
      <x:c r="Z173" s="68" t="str">
        <x:f>IF(COLUMN()-2&lt;=$E$3,INDEX($B$10:$B$59,RANDBETWEEN(1,$E$3)),"")</x:f>
      </x:c>
      <x:c r="AA173" s="68" t="str">
        <x:f>IF(COLUMN()-2&lt;=$E$3,INDEX($B$10:$B$59,RANDBETWEEN(1,$E$3)),"")</x:f>
      </x:c>
      <x:c r="AB173" s="68" t="str">
        <x:f>IF(COLUMN()-2&lt;=$E$3,INDEX($B$10:$B$59,RANDBETWEEN(1,$E$3)),"")</x:f>
      </x:c>
      <x:c r="AC173" s="68" t="str">
        <x:f>IF(COLUMN()-2&lt;=$E$3,INDEX($B$10:$B$59,RANDBETWEEN(1,$E$3)),"")</x:f>
      </x:c>
      <x:c r="AD173" s="68" t="str">
        <x:f>IF(COLUMN()-2&lt;=$E$3,INDEX($B$10:$B$59,RANDBETWEEN(1,$E$3)),"")</x:f>
      </x:c>
      <x:c r="AE173" s="68" t="str">
        <x:f>IF(COLUMN()-2&lt;=$E$3,INDEX($B$10:$B$59,RANDBETWEEN(1,$E$3)),"")</x:f>
      </x:c>
      <x:c r="AF173" s="68" t="str">
        <x:f>IF(COLUMN()-2&lt;=$E$3,INDEX($B$10:$B$59,RANDBETWEEN(1,$E$3)),"")</x:f>
      </x:c>
      <x:c r="AG173" s="68" t="str">
        <x:f>IF(COLUMN()-2&lt;=$E$3,INDEX($B$10:$B$59,RANDBETWEEN(1,$E$3)),"")</x:f>
      </x:c>
      <x:c r="AH173" s="68" t="str">
        <x:f>IF(COLUMN()-2&lt;=$E$3,INDEX($B$10:$B$59,RANDBETWEEN(1,$E$3)),"")</x:f>
      </x:c>
      <x:c r="AI173" s="68" t="str">
        <x:f>IF(COLUMN()-2&lt;=$E$3,INDEX($B$10:$B$59,RANDBETWEEN(1,$E$3)),"")</x:f>
      </x:c>
      <x:c r="AJ173" s="68" t="str">
        <x:f>IF(COLUMN()-2&lt;=$E$3,INDEX($B$10:$B$59,RANDBETWEEN(1,$E$3)),"")</x:f>
      </x:c>
      <x:c r="AK173" s="68" t="str">
        <x:f>IF(COLUMN()-2&lt;=$E$3,INDEX($B$10:$B$59,RANDBETWEEN(1,$E$3)),"")</x:f>
      </x:c>
      <x:c r="AL173" s="68" t="str">
        <x:f>IF(COLUMN()-2&lt;=$E$3,INDEX($B$10:$B$59,RANDBETWEEN(1,$E$3)),"")</x:f>
      </x:c>
      <x:c r="AM173" s="68" t="str">
        <x:f>IF(COLUMN()-2&lt;=$E$3,INDEX($B$10:$B$59,RANDBETWEEN(1,$E$3)),"")</x:f>
      </x:c>
      <x:c r="AN173" s="68" t="str">
        <x:f>IF(COLUMN()-2&lt;=$E$3,INDEX($B$10:$B$59,RANDBETWEEN(1,$E$3)),"")</x:f>
      </x:c>
      <x:c r="AO173" s="68" t="str">
        <x:f>IF(COLUMN()-2&lt;=$E$3,INDEX($B$10:$B$59,RANDBETWEEN(1,$E$3)),"")</x:f>
      </x:c>
      <x:c r="AP173" s="68" t="str">
        <x:f>IF(COLUMN()-2&lt;=$E$3,INDEX($B$10:$B$59,RANDBETWEEN(1,$E$3)),"")</x:f>
      </x:c>
      <x:c r="AQ173" s="68" t="str">
        <x:f>IF(COLUMN()-2&lt;=$E$3,INDEX($B$10:$B$59,RANDBETWEEN(1,$E$3)),"")</x:f>
      </x:c>
      <x:c r="AR173" s="68" t="str">
        <x:f>IF(COLUMN()-2&lt;=$E$3,INDEX($B$10:$B$59,RANDBETWEEN(1,$E$3)),"")</x:f>
      </x:c>
      <x:c r="AS173" s="68" t="str">
        <x:f>IF(COLUMN()-2&lt;=$E$3,INDEX($B$10:$B$59,RANDBETWEEN(1,$E$3)),"")</x:f>
      </x:c>
      <x:c r="AT173" s="68" t="str">
        <x:f>IF(COLUMN()-2&lt;=$E$3,INDEX($B$10:$B$59,RANDBETWEEN(1,$E$3)),"")</x:f>
      </x:c>
      <x:c r="AU173" s="68" t="str">
        <x:f>IF(COLUMN()-2&lt;=$E$3,INDEX($B$10:$B$59,RANDBETWEEN(1,$E$3)),"")</x:f>
      </x:c>
      <x:c r="AV173" s="68" t="str">
        <x:f>IF(COLUMN()-2&lt;=$E$3,INDEX($B$10:$B$59,RANDBETWEEN(1,$E$3)),"")</x:f>
      </x:c>
      <x:c r="AW173" s="68" t="str">
        <x:f>IF(COLUMN()-2&lt;=$E$3,INDEX($B$10:$B$59,RANDBETWEEN(1,$E$3)),"")</x:f>
      </x:c>
      <x:c r="AX173" s="68" t="str">
        <x:f>IF(COLUMN()-2&lt;=$E$3,INDEX($B$10:$B$59,RANDBETWEEN(1,$E$3)),"")</x:f>
      </x:c>
      <x:c r="AY173" s="68" t="str">
        <x:f>IF(COLUMN()-2&lt;=$E$3,INDEX($B$10:$B$59,RANDBETWEEN(1,$E$3)),"")</x:f>
      </x:c>
      <x:c r="AZ173" s="68" t="str">
        <x:f>IF(COLUMN()-2&lt;=$E$3,INDEX($B$10:$B$59,RANDBETWEEN(1,$E$3)),"")</x:f>
      </x:c>
      <x:c r="BA173" s="68" t="str">
        <x:f>IF($E$3=0,"",AVERAGE(C173:AZ173))</x:f>
      </x:c>
    </x:row>
    <x:row r="174">
      <x:c r="A174" t="n">
        <x:v>110</x:v>
      </x:c>
      <x:c r="C174" s="68" t="str">
        <x:f>IF(COLUMN()-2&lt;=$E$3,INDEX($B$10:$B$59,RANDBETWEEN(1,$E$3)),"")</x:f>
      </x:c>
      <x:c r="D174" s="68" t="str">
        <x:f>IF(COLUMN()-2&lt;=$E$3,INDEX($B$10:$B$59,RANDBETWEEN(1,$E$3)),"")</x:f>
      </x:c>
      <x:c r="E174" s="68" t="str">
        <x:f>IF(COLUMN()-2&lt;=$E$3,INDEX($B$10:$B$59,RANDBETWEEN(1,$E$3)),"")</x:f>
      </x:c>
      <x:c r="F174" s="68" t="str">
        <x:f>IF(COLUMN()-2&lt;=$E$3,INDEX($B$10:$B$59,RANDBETWEEN(1,$E$3)),"")</x:f>
      </x:c>
      <x:c r="G174" s="68" t="str">
        <x:f>IF(COLUMN()-2&lt;=$E$3,INDEX($B$10:$B$59,RANDBETWEEN(1,$E$3)),"")</x:f>
      </x:c>
      <x:c r="H174" s="68" t="str">
        <x:f>IF(COLUMN()-2&lt;=$E$3,INDEX($B$10:$B$59,RANDBETWEEN(1,$E$3)),"")</x:f>
      </x:c>
      <x:c r="I174" s="68" t="str">
        <x:f>IF(COLUMN()-2&lt;=$E$3,INDEX($B$10:$B$59,RANDBETWEEN(1,$E$3)),"")</x:f>
      </x:c>
      <x:c r="J174" s="68" t="str">
        <x:f>IF(COLUMN()-2&lt;=$E$3,INDEX($B$10:$B$59,RANDBETWEEN(1,$E$3)),"")</x:f>
      </x:c>
      <x:c r="K174" s="68" t="str">
        <x:f>IF(COLUMN()-2&lt;=$E$3,INDEX($B$10:$B$59,RANDBETWEEN(1,$E$3)),"")</x:f>
      </x:c>
      <x:c r="L174" s="68" t="str">
        <x:f>IF(COLUMN()-2&lt;=$E$3,INDEX($B$10:$B$59,RANDBETWEEN(1,$E$3)),"")</x:f>
      </x:c>
      <x:c r="M174" s="68" t="str">
        <x:f>IF(COLUMN()-2&lt;=$E$3,INDEX($B$10:$B$59,RANDBETWEEN(1,$E$3)),"")</x:f>
      </x:c>
      <x:c r="N174" s="68" t="str">
        <x:f>IF(COLUMN()-2&lt;=$E$3,INDEX($B$10:$B$59,RANDBETWEEN(1,$E$3)),"")</x:f>
      </x:c>
      <x:c r="O174" s="68" t="str">
        <x:f>IF(COLUMN()-2&lt;=$E$3,INDEX($B$10:$B$59,RANDBETWEEN(1,$E$3)),"")</x:f>
      </x:c>
      <x:c r="P174" s="68" t="str">
        <x:f>IF(COLUMN()-2&lt;=$E$3,INDEX($B$10:$B$59,RANDBETWEEN(1,$E$3)),"")</x:f>
      </x:c>
      <x:c r="Q174" s="68" t="str">
        <x:f>IF(COLUMN()-2&lt;=$E$3,INDEX($B$10:$B$59,RANDBETWEEN(1,$E$3)),"")</x:f>
      </x:c>
      <x:c r="R174" s="68" t="str">
        <x:f>IF(COLUMN()-2&lt;=$E$3,INDEX($B$10:$B$59,RANDBETWEEN(1,$E$3)),"")</x:f>
      </x:c>
      <x:c r="S174" s="68" t="str">
        <x:f>IF(COLUMN()-2&lt;=$E$3,INDEX($B$10:$B$59,RANDBETWEEN(1,$E$3)),"")</x:f>
      </x:c>
      <x:c r="T174" s="68" t="str">
        <x:f>IF(COLUMN()-2&lt;=$E$3,INDEX($B$10:$B$59,RANDBETWEEN(1,$E$3)),"")</x:f>
      </x:c>
      <x:c r="U174" s="68" t="str">
        <x:f>IF(COLUMN()-2&lt;=$E$3,INDEX($B$10:$B$59,RANDBETWEEN(1,$E$3)),"")</x:f>
      </x:c>
      <x:c r="V174" s="68" t="str">
        <x:f>IF(COLUMN()-2&lt;=$E$3,INDEX($B$10:$B$59,RANDBETWEEN(1,$E$3)),"")</x:f>
      </x:c>
      <x:c r="W174" s="68" t="str">
        <x:f>IF(COLUMN()-2&lt;=$E$3,INDEX($B$10:$B$59,RANDBETWEEN(1,$E$3)),"")</x:f>
      </x:c>
      <x:c r="X174" s="68" t="str">
        <x:f>IF(COLUMN()-2&lt;=$E$3,INDEX($B$10:$B$59,RANDBETWEEN(1,$E$3)),"")</x:f>
      </x:c>
      <x:c r="Y174" s="68" t="str">
        <x:f>IF(COLUMN()-2&lt;=$E$3,INDEX($B$10:$B$59,RANDBETWEEN(1,$E$3)),"")</x:f>
      </x:c>
      <x:c r="Z174" s="68" t="str">
        <x:f>IF(COLUMN()-2&lt;=$E$3,INDEX($B$10:$B$59,RANDBETWEEN(1,$E$3)),"")</x:f>
      </x:c>
      <x:c r="AA174" s="68" t="str">
        <x:f>IF(COLUMN()-2&lt;=$E$3,INDEX($B$10:$B$59,RANDBETWEEN(1,$E$3)),"")</x:f>
      </x:c>
      <x:c r="AB174" s="68" t="str">
        <x:f>IF(COLUMN()-2&lt;=$E$3,INDEX($B$10:$B$59,RANDBETWEEN(1,$E$3)),"")</x:f>
      </x:c>
      <x:c r="AC174" s="68" t="str">
        <x:f>IF(COLUMN()-2&lt;=$E$3,INDEX($B$10:$B$59,RANDBETWEEN(1,$E$3)),"")</x:f>
      </x:c>
      <x:c r="AD174" s="68" t="str">
        <x:f>IF(COLUMN()-2&lt;=$E$3,INDEX($B$10:$B$59,RANDBETWEEN(1,$E$3)),"")</x:f>
      </x:c>
      <x:c r="AE174" s="68" t="str">
        <x:f>IF(COLUMN()-2&lt;=$E$3,INDEX($B$10:$B$59,RANDBETWEEN(1,$E$3)),"")</x:f>
      </x:c>
      <x:c r="AF174" s="68" t="str">
        <x:f>IF(COLUMN()-2&lt;=$E$3,INDEX($B$10:$B$59,RANDBETWEEN(1,$E$3)),"")</x:f>
      </x:c>
      <x:c r="AG174" s="68" t="str">
        <x:f>IF(COLUMN()-2&lt;=$E$3,INDEX($B$10:$B$59,RANDBETWEEN(1,$E$3)),"")</x:f>
      </x:c>
      <x:c r="AH174" s="68" t="str">
        <x:f>IF(COLUMN()-2&lt;=$E$3,INDEX($B$10:$B$59,RANDBETWEEN(1,$E$3)),"")</x:f>
      </x:c>
      <x:c r="AI174" s="68" t="str">
        <x:f>IF(COLUMN()-2&lt;=$E$3,INDEX($B$10:$B$59,RANDBETWEEN(1,$E$3)),"")</x:f>
      </x:c>
      <x:c r="AJ174" s="68" t="str">
        <x:f>IF(COLUMN()-2&lt;=$E$3,INDEX($B$10:$B$59,RANDBETWEEN(1,$E$3)),"")</x:f>
      </x:c>
      <x:c r="AK174" s="68" t="str">
        <x:f>IF(COLUMN()-2&lt;=$E$3,INDEX($B$10:$B$59,RANDBETWEEN(1,$E$3)),"")</x:f>
      </x:c>
      <x:c r="AL174" s="68" t="str">
        <x:f>IF(COLUMN()-2&lt;=$E$3,INDEX($B$10:$B$59,RANDBETWEEN(1,$E$3)),"")</x:f>
      </x:c>
      <x:c r="AM174" s="68" t="str">
        <x:f>IF(COLUMN()-2&lt;=$E$3,INDEX($B$10:$B$59,RANDBETWEEN(1,$E$3)),"")</x:f>
      </x:c>
      <x:c r="AN174" s="68" t="str">
        <x:f>IF(COLUMN()-2&lt;=$E$3,INDEX($B$10:$B$59,RANDBETWEEN(1,$E$3)),"")</x:f>
      </x:c>
      <x:c r="AO174" s="68" t="str">
        <x:f>IF(COLUMN()-2&lt;=$E$3,INDEX($B$10:$B$59,RANDBETWEEN(1,$E$3)),"")</x:f>
      </x:c>
      <x:c r="AP174" s="68" t="str">
        <x:f>IF(COLUMN()-2&lt;=$E$3,INDEX($B$10:$B$59,RANDBETWEEN(1,$E$3)),"")</x:f>
      </x:c>
      <x:c r="AQ174" s="68" t="str">
        <x:f>IF(COLUMN()-2&lt;=$E$3,INDEX($B$10:$B$59,RANDBETWEEN(1,$E$3)),"")</x:f>
      </x:c>
      <x:c r="AR174" s="68" t="str">
        <x:f>IF(COLUMN()-2&lt;=$E$3,INDEX($B$10:$B$59,RANDBETWEEN(1,$E$3)),"")</x:f>
      </x:c>
      <x:c r="AS174" s="68" t="str">
        <x:f>IF(COLUMN()-2&lt;=$E$3,INDEX($B$10:$B$59,RANDBETWEEN(1,$E$3)),"")</x:f>
      </x:c>
      <x:c r="AT174" s="68" t="str">
        <x:f>IF(COLUMN()-2&lt;=$E$3,INDEX($B$10:$B$59,RANDBETWEEN(1,$E$3)),"")</x:f>
      </x:c>
      <x:c r="AU174" s="68" t="str">
        <x:f>IF(COLUMN()-2&lt;=$E$3,INDEX($B$10:$B$59,RANDBETWEEN(1,$E$3)),"")</x:f>
      </x:c>
      <x:c r="AV174" s="68" t="str">
        <x:f>IF(COLUMN()-2&lt;=$E$3,INDEX($B$10:$B$59,RANDBETWEEN(1,$E$3)),"")</x:f>
      </x:c>
      <x:c r="AW174" s="68" t="str">
        <x:f>IF(COLUMN()-2&lt;=$E$3,INDEX($B$10:$B$59,RANDBETWEEN(1,$E$3)),"")</x:f>
      </x:c>
      <x:c r="AX174" s="68" t="str">
        <x:f>IF(COLUMN()-2&lt;=$E$3,INDEX($B$10:$B$59,RANDBETWEEN(1,$E$3)),"")</x:f>
      </x:c>
      <x:c r="AY174" s="68" t="str">
        <x:f>IF(COLUMN()-2&lt;=$E$3,INDEX($B$10:$B$59,RANDBETWEEN(1,$E$3)),"")</x:f>
      </x:c>
      <x:c r="AZ174" s="68" t="str">
        <x:f>IF(COLUMN()-2&lt;=$E$3,INDEX($B$10:$B$59,RANDBETWEEN(1,$E$3)),"")</x:f>
      </x:c>
      <x:c r="BA174" s="68" t="str">
        <x:f>IF($E$3=0,"",AVERAGE(C174:AZ174))</x:f>
      </x:c>
    </x:row>
    <x:row r="175">
      <x:c r="A175" t="n">
        <x:v>111</x:v>
      </x:c>
      <x:c r="C175" s="68" t="str">
        <x:f>IF(COLUMN()-2&lt;=$E$3,INDEX($B$10:$B$59,RANDBETWEEN(1,$E$3)),"")</x:f>
      </x:c>
      <x:c r="D175" s="68" t="str">
        <x:f>IF(COLUMN()-2&lt;=$E$3,INDEX($B$10:$B$59,RANDBETWEEN(1,$E$3)),"")</x:f>
      </x:c>
      <x:c r="E175" s="68" t="str">
        <x:f>IF(COLUMN()-2&lt;=$E$3,INDEX($B$10:$B$59,RANDBETWEEN(1,$E$3)),"")</x:f>
      </x:c>
      <x:c r="F175" s="68" t="str">
        <x:f>IF(COLUMN()-2&lt;=$E$3,INDEX($B$10:$B$59,RANDBETWEEN(1,$E$3)),"")</x:f>
      </x:c>
      <x:c r="G175" s="68" t="str">
        <x:f>IF(COLUMN()-2&lt;=$E$3,INDEX($B$10:$B$59,RANDBETWEEN(1,$E$3)),"")</x:f>
      </x:c>
      <x:c r="H175" s="68" t="str">
        <x:f>IF(COLUMN()-2&lt;=$E$3,INDEX($B$10:$B$59,RANDBETWEEN(1,$E$3)),"")</x:f>
      </x:c>
      <x:c r="I175" s="68" t="str">
        <x:f>IF(COLUMN()-2&lt;=$E$3,INDEX($B$10:$B$59,RANDBETWEEN(1,$E$3)),"")</x:f>
      </x:c>
      <x:c r="J175" s="68" t="str">
        <x:f>IF(COLUMN()-2&lt;=$E$3,INDEX($B$10:$B$59,RANDBETWEEN(1,$E$3)),"")</x:f>
      </x:c>
      <x:c r="K175" s="68" t="str">
        <x:f>IF(COLUMN()-2&lt;=$E$3,INDEX($B$10:$B$59,RANDBETWEEN(1,$E$3)),"")</x:f>
      </x:c>
      <x:c r="L175" s="68" t="str">
        <x:f>IF(COLUMN()-2&lt;=$E$3,INDEX($B$10:$B$59,RANDBETWEEN(1,$E$3)),"")</x:f>
      </x:c>
      <x:c r="M175" s="68" t="str">
        <x:f>IF(COLUMN()-2&lt;=$E$3,INDEX($B$10:$B$59,RANDBETWEEN(1,$E$3)),"")</x:f>
      </x:c>
      <x:c r="N175" s="68" t="str">
        <x:f>IF(COLUMN()-2&lt;=$E$3,INDEX($B$10:$B$59,RANDBETWEEN(1,$E$3)),"")</x:f>
      </x:c>
      <x:c r="O175" s="68" t="str">
        <x:f>IF(COLUMN()-2&lt;=$E$3,INDEX($B$10:$B$59,RANDBETWEEN(1,$E$3)),"")</x:f>
      </x:c>
      <x:c r="P175" s="68" t="str">
        <x:f>IF(COLUMN()-2&lt;=$E$3,INDEX($B$10:$B$59,RANDBETWEEN(1,$E$3)),"")</x:f>
      </x:c>
      <x:c r="Q175" s="68" t="str">
        <x:f>IF(COLUMN()-2&lt;=$E$3,INDEX($B$10:$B$59,RANDBETWEEN(1,$E$3)),"")</x:f>
      </x:c>
      <x:c r="R175" s="68" t="str">
        <x:f>IF(COLUMN()-2&lt;=$E$3,INDEX($B$10:$B$59,RANDBETWEEN(1,$E$3)),"")</x:f>
      </x:c>
      <x:c r="S175" s="68" t="str">
        <x:f>IF(COLUMN()-2&lt;=$E$3,INDEX($B$10:$B$59,RANDBETWEEN(1,$E$3)),"")</x:f>
      </x:c>
      <x:c r="T175" s="68" t="str">
        <x:f>IF(COLUMN()-2&lt;=$E$3,INDEX($B$10:$B$59,RANDBETWEEN(1,$E$3)),"")</x:f>
      </x:c>
      <x:c r="U175" s="68" t="str">
        <x:f>IF(COLUMN()-2&lt;=$E$3,INDEX($B$10:$B$59,RANDBETWEEN(1,$E$3)),"")</x:f>
      </x:c>
      <x:c r="V175" s="68" t="str">
        <x:f>IF(COLUMN()-2&lt;=$E$3,INDEX($B$10:$B$59,RANDBETWEEN(1,$E$3)),"")</x:f>
      </x:c>
      <x:c r="W175" s="68" t="str">
        <x:f>IF(COLUMN()-2&lt;=$E$3,INDEX($B$10:$B$59,RANDBETWEEN(1,$E$3)),"")</x:f>
      </x:c>
      <x:c r="X175" s="68" t="str">
        <x:f>IF(COLUMN()-2&lt;=$E$3,INDEX($B$10:$B$59,RANDBETWEEN(1,$E$3)),"")</x:f>
      </x:c>
      <x:c r="Y175" s="68" t="str">
        <x:f>IF(COLUMN()-2&lt;=$E$3,INDEX($B$10:$B$59,RANDBETWEEN(1,$E$3)),"")</x:f>
      </x:c>
      <x:c r="Z175" s="68" t="str">
        <x:f>IF(COLUMN()-2&lt;=$E$3,INDEX($B$10:$B$59,RANDBETWEEN(1,$E$3)),"")</x:f>
      </x:c>
      <x:c r="AA175" s="68" t="str">
        <x:f>IF(COLUMN()-2&lt;=$E$3,INDEX($B$10:$B$59,RANDBETWEEN(1,$E$3)),"")</x:f>
      </x:c>
      <x:c r="AB175" s="68" t="str">
        <x:f>IF(COLUMN()-2&lt;=$E$3,INDEX($B$10:$B$59,RANDBETWEEN(1,$E$3)),"")</x:f>
      </x:c>
      <x:c r="AC175" s="68" t="str">
        <x:f>IF(COLUMN()-2&lt;=$E$3,INDEX($B$10:$B$59,RANDBETWEEN(1,$E$3)),"")</x:f>
      </x:c>
      <x:c r="AD175" s="68" t="str">
        <x:f>IF(COLUMN()-2&lt;=$E$3,INDEX($B$10:$B$59,RANDBETWEEN(1,$E$3)),"")</x:f>
      </x:c>
      <x:c r="AE175" s="68" t="str">
        <x:f>IF(COLUMN()-2&lt;=$E$3,INDEX($B$10:$B$59,RANDBETWEEN(1,$E$3)),"")</x:f>
      </x:c>
      <x:c r="AF175" s="68" t="str">
        <x:f>IF(COLUMN()-2&lt;=$E$3,INDEX($B$10:$B$59,RANDBETWEEN(1,$E$3)),"")</x:f>
      </x:c>
      <x:c r="AG175" s="68" t="str">
        <x:f>IF(COLUMN()-2&lt;=$E$3,INDEX($B$10:$B$59,RANDBETWEEN(1,$E$3)),"")</x:f>
      </x:c>
      <x:c r="AH175" s="68" t="str">
        <x:f>IF(COLUMN()-2&lt;=$E$3,INDEX($B$10:$B$59,RANDBETWEEN(1,$E$3)),"")</x:f>
      </x:c>
      <x:c r="AI175" s="68" t="str">
        <x:f>IF(COLUMN()-2&lt;=$E$3,INDEX($B$10:$B$59,RANDBETWEEN(1,$E$3)),"")</x:f>
      </x:c>
      <x:c r="AJ175" s="68" t="str">
        <x:f>IF(COLUMN()-2&lt;=$E$3,INDEX($B$10:$B$59,RANDBETWEEN(1,$E$3)),"")</x:f>
      </x:c>
      <x:c r="AK175" s="68" t="str">
        <x:f>IF(COLUMN()-2&lt;=$E$3,INDEX($B$10:$B$59,RANDBETWEEN(1,$E$3)),"")</x:f>
      </x:c>
      <x:c r="AL175" s="68" t="str">
        <x:f>IF(COLUMN()-2&lt;=$E$3,INDEX($B$10:$B$59,RANDBETWEEN(1,$E$3)),"")</x:f>
      </x:c>
      <x:c r="AM175" s="68" t="str">
        <x:f>IF(COLUMN()-2&lt;=$E$3,INDEX($B$10:$B$59,RANDBETWEEN(1,$E$3)),"")</x:f>
      </x:c>
      <x:c r="AN175" s="68" t="str">
        <x:f>IF(COLUMN()-2&lt;=$E$3,INDEX($B$10:$B$59,RANDBETWEEN(1,$E$3)),"")</x:f>
      </x:c>
      <x:c r="AO175" s="68" t="str">
        <x:f>IF(COLUMN()-2&lt;=$E$3,INDEX($B$10:$B$59,RANDBETWEEN(1,$E$3)),"")</x:f>
      </x:c>
      <x:c r="AP175" s="68" t="str">
        <x:f>IF(COLUMN()-2&lt;=$E$3,INDEX($B$10:$B$59,RANDBETWEEN(1,$E$3)),"")</x:f>
      </x:c>
      <x:c r="AQ175" s="68" t="str">
        <x:f>IF(COLUMN()-2&lt;=$E$3,INDEX($B$10:$B$59,RANDBETWEEN(1,$E$3)),"")</x:f>
      </x:c>
      <x:c r="AR175" s="68" t="str">
        <x:f>IF(COLUMN()-2&lt;=$E$3,INDEX($B$10:$B$59,RANDBETWEEN(1,$E$3)),"")</x:f>
      </x:c>
      <x:c r="AS175" s="68" t="str">
        <x:f>IF(COLUMN()-2&lt;=$E$3,INDEX($B$10:$B$59,RANDBETWEEN(1,$E$3)),"")</x:f>
      </x:c>
      <x:c r="AT175" s="68" t="str">
        <x:f>IF(COLUMN()-2&lt;=$E$3,INDEX($B$10:$B$59,RANDBETWEEN(1,$E$3)),"")</x:f>
      </x:c>
      <x:c r="AU175" s="68" t="str">
        <x:f>IF(COLUMN()-2&lt;=$E$3,INDEX($B$10:$B$59,RANDBETWEEN(1,$E$3)),"")</x:f>
      </x:c>
      <x:c r="AV175" s="68" t="str">
        <x:f>IF(COLUMN()-2&lt;=$E$3,INDEX($B$10:$B$59,RANDBETWEEN(1,$E$3)),"")</x:f>
      </x:c>
      <x:c r="AW175" s="68" t="str">
        <x:f>IF(COLUMN()-2&lt;=$E$3,INDEX($B$10:$B$59,RANDBETWEEN(1,$E$3)),"")</x:f>
      </x:c>
      <x:c r="AX175" s="68" t="str">
        <x:f>IF(COLUMN()-2&lt;=$E$3,INDEX($B$10:$B$59,RANDBETWEEN(1,$E$3)),"")</x:f>
      </x:c>
      <x:c r="AY175" s="68" t="str">
        <x:f>IF(COLUMN()-2&lt;=$E$3,INDEX($B$10:$B$59,RANDBETWEEN(1,$E$3)),"")</x:f>
      </x:c>
      <x:c r="AZ175" s="68" t="str">
        <x:f>IF(COLUMN()-2&lt;=$E$3,INDEX($B$10:$B$59,RANDBETWEEN(1,$E$3)),"")</x:f>
      </x:c>
      <x:c r="BA175" s="68" t="str">
        <x:f>IF($E$3=0,"",AVERAGE(C175:AZ175))</x:f>
      </x:c>
    </x:row>
    <x:row r="176">
      <x:c r="A176" t="n">
        <x:v>112</x:v>
      </x:c>
      <x:c r="C176" s="68" t="str">
        <x:f>IF(COLUMN()-2&lt;=$E$3,INDEX($B$10:$B$59,RANDBETWEEN(1,$E$3)),"")</x:f>
      </x:c>
      <x:c r="D176" s="68" t="str">
        <x:f>IF(COLUMN()-2&lt;=$E$3,INDEX($B$10:$B$59,RANDBETWEEN(1,$E$3)),"")</x:f>
      </x:c>
      <x:c r="E176" s="68" t="str">
        <x:f>IF(COLUMN()-2&lt;=$E$3,INDEX($B$10:$B$59,RANDBETWEEN(1,$E$3)),"")</x:f>
      </x:c>
      <x:c r="F176" s="68" t="str">
        <x:f>IF(COLUMN()-2&lt;=$E$3,INDEX($B$10:$B$59,RANDBETWEEN(1,$E$3)),"")</x:f>
      </x:c>
      <x:c r="G176" s="68" t="str">
        <x:f>IF(COLUMN()-2&lt;=$E$3,INDEX($B$10:$B$59,RANDBETWEEN(1,$E$3)),"")</x:f>
      </x:c>
      <x:c r="H176" s="68" t="str">
        <x:f>IF(COLUMN()-2&lt;=$E$3,INDEX($B$10:$B$59,RANDBETWEEN(1,$E$3)),"")</x:f>
      </x:c>
      <x:c r="I176" s="68" t="str">
        <x:f>IF(COLUMN()-2&lt;=$E$3,INDEX($B$10:$B$59,RANDBETWEEN(1,$E$3)),"")</x:f>
      </x:c>
      <x:c r="J176" s="68" t="str">
        <x:f>IF(COLUMN()-2&lt;=$E$3,INDEX($B$10:$B$59,RANDBETWEEN(1,$E$3)),"")</x:f>
      </x:c>
      <x:c r="K176" s="68" t="str">
        <x:f>IF(COLUMN()-2&lt;=$E$3,INDEX($B$10:$B$59,RANDBETWEEN(1,$E$3)),"")</x:f>
      </x:c>
      <x:c r="L176" s="68" t="str">
        <x:f>IF(COLUMN()-2&lt;=$E$3,INDEX($B$10:$B$59,RANDBETWEEN(1,$E$3)),"")</x:f>
      </x:c>
      <x:c r="M176" s="68" t="str">
        <x:f>IF(COLUMN()-2&lt;=$E$3,INDEX($B$10:$B$59,RANDBETWEEN(1,$E$3)),"")</x:f>
      </x:c>
      <x:c r="N176" s="68" t="str">
        <x:f>IF(COLUMN()-2&lt;=$E$3,INDEX($B$10:$B$59,RANDBETWEEN(1,$E$3)),"")</x:f>
      </x:c>
      <x:c r="O176" s="68" t="str">
        <x:f>IF(COLUMN()-2&lt;=$E$3,INDEX($B$10:$B$59,RANDBETWEEN(1,$E$3)),"")</x:f>
      </x:c>
      <x:c r="P176" s="68" t="str">
        <x:f>IF(COLUMN()-2&lt;=$E$3,INDEX($B$10:$B$59,RANDBETWEEN(1,$E$3)),"")</x:f>
      </x:c>
      <x:c r="Q176" s="68" t="str">
        <x:f>IF(COLUMN()-2&lt;=$E$3,INDEX($B$10:$B$59,RANDBETWEEN(1,$E$3)),"")</x:f>
      </x:c>
      <x:c r="R176" s="68" t="str">
        <x:f>IF(COLUMN()-2&lt;=$E$3,INDEX($B$10:$B$59,RANDBETWEEN(1,$E$3)),"")</x:f>
      </x:c>
      <x:c r="S176" s="68" t="str">
        <x:f>IF(COLUMN()-2&lt;=$E$3,INDEX($B$10:$B$59,RANDBETWEEN(1,$E$3)),"")</x:f>
      </x:c>
      <x:c r="T176" s="68" t="str">
        <x:f>IF(COLUMN()-2&lt;=$E$3,INDEX($B$10:$B$59,RANDBETWEEN(1,$E$3)),"")</x:f>
      </x:c>
      <x:c r="U176" s="68" t="str">
        <x:f>IF(COLUMN()-2&lt;=$E$3,INDEX($B$10:$B$59,RANDBETWEEN(1,$E$3)),"")</x:f>
      </x:c>
      <x:c r="V176" s="68" t="str">
        <x:f>IF(COLUMN()-2&lt;=$E$3,INDEX($B$10:$B$59,RANDBETWEEN(1,$E$3)),"")</x:f>
      </x:c>
      <x:c r="W176" s="68" t="str">
        <x:f>IF(COLUMN()-2&lt;=$E$3,INDEX($B$10:$B$59,RANDBETWEEN(1,$E$3)),"")</x:f>
      </x:c>
      <x:c r="X176" s="68" t="str">
        <x:f>IF(COLUMN()-2&lt;=$E$3,INDEX($B$10:$B$59,RANDBETWEEN(1,$E$3)),"")</x:f>
      </x:c>
      <x:c r="Y176" s="68" t="str">
        <x:f>IF(COLUMN()-2&lt;=$E$3,INDEX($B$10:$B$59,RANDBETWEEN(1,$E$3)),"")</x:f>
      </x:c>
      <x:c r="Z176" s="68" t="str">
        <x:f>IF(COLUMN()-2&lt;=$E$3,INDEX($B$10:$B$59,RANDBETWEEN(1,$E$3)),"")</x:f>
      </x:c>
      <x:c r="AA176" s="68" t="str">
        <x:f>IF(COLUMN()-2&lt;=$E$3,INDEX($B$10:$B$59,RANDBETWEEN(1,$E$3)),"")</x:f>
      </x:c>
      <x:c r="AB176" s="68" t="str">
        <x:f>IF(COLUMN()-2&lt;=$E$3,INDEX($B$10:$B$59,RANDBETWEEN(1,$E$3)),"")</x:f>
      </x:c>
      <x:c r="AC176" s="68" t="str">
        <x:f>IF(COLUMN()-2&lt;=$E$3,INDEX($B$10:$B$59,RANDBETWEEN(1,$E$3)),"")</x:f>
      </x:c>
      <x:c r="AD176" s="68" t="str">
        <x:f>IF(COLUMN()-2&lt;=$E$3,INDEX($B$10:$B$59,RANDBETWEEN(1,$E$3)),"")</x:f>
      </x:c>
      <x:c r="AE176" s="68" t="str">
        <x:f>IF(COLUMN()-2&lt;=$E$3,INDEX($B$10:$B$59,RANDBETWEEN(1,$E$3)),"")</x:f>
      </x:c>
      <x:c r="AF176" s="68" t="str">
        <x:f>IF(COLUMN()-2&lt;=$E$3,INDEX($B$10:$B$59,RANDBETWEEN(1,$E$3)),"")</x:f>
      </x:c>
      <x:c r="AG176" s="68" t="str">
        <x:f>IF(COLUMN()-2&lt;=$E$3,INDEX($B$10:$B$59,RANDBETWEEN(1,$E$3)),"")</x:f>
      </x:c>
      <x:c r="AH176" s="68" t="str">
        <x:f>IF(COLUMN()-2&lt;=$E$3,INDEX($B$10:$B$59,RANDBETWEEN(1,$E$3)),"")</x:f>
      </x:c>
      <x:c r="AI176" s="68" t="str">
        <x:f>IF(COLUMN()-2&lt;=$E$3,INDEX($B$10:$B$59,RANDBETWEEN(1,$E$3)),"")</x:f>
      </x:c>
      <x:c r="AJ176" s="68" t="str">
        <x:f>IF(COLUMN()-2&lt;=$E$3,INDEX($B$10:$B$59,RANDBETWEEN(1,$E$3)),"")</x:f>
      </x:c>
      <x:c r="AK176" s="68" t="str">
        <x:f>IF(COLUMN()-2&lt;=$E$3,INDEX($B$10:$B$59,RANDBETWEEN(1,$E$3)),"")</x:f>
      </x:c>
      <x:c r="AL176" s="68" t="str">
        <x:f>IF(COLUMN()-2&lt;=$E$3,INDEX($B$10:$B$59,RANDBETWEEN(1,$E$3)),"")</x:f>
      </x:c>
      <x:c r="AM176" s="68" t="str">
        <x:f>IF(COLUMN()-2&lt;=$E$3,INDEX($B$10:$B$59,RANDBETWEEN(1,$E$3)),"")</x:f>
      </x:c>
      <x:c r="AN176" s="68" t="str">
        <x:f>IF(COLUMN()-2&lt;=$E$3,INDEX($B$10:$B$59,RANDBETWEEN(1,$E$3)),"")</x:f>
      </x:c>
      <x:c r="AO176" s="68" t="str">
        <x:f>IF(COLUMN()-2&lt;=$E$3,INDEX($B$10:$B$59,RANDBETWEEN(1,$E$3)),"")</x:f>
      </x:c>
      <x:c r="AP176" s="68" t="str">
        <x:f>IF(COLUMN()-2&lt;=$E$3,INDEX($B$10:$B$59,RANDBETWEEN(1,$E$3)),"")</x:f>
      </x:c>
      <x:c r="AQ176" s="68" t="str">
        <x:f>IF(COLUMN()-2&lt;=$E$3,INDEX($B$10:$B$59,RANDBETWEEN(1,$E$3)),"")</x:f>
      </x:c>
      <x:c r="AR176" s="68" t="str">
        <x:f>IF(COLUMN()-2&lt;=$E$3,INDEX($B$10:$B$59,RANDBETWEEN(1,$E$3)),"")</x:f>
      </x:c>
      <x:c r="AS176" s="68" t="str">
        <x:f>IF(COLUMN()-2&lt;=$E$3,INDEX($B$10:$B$59,RANDBETWEEN(1,$E$3)),"")</x:f>
      </x:c>
      <x:c r="AT176" s="68" t="str">
        <x:f>IF(COLUMN()-2&lt;=$E$3,INDEX($B$10:$B$59,RANDBETWEEN(1,$E$3)),"")</x:f>
      </x:c>
      <x:c r="AU176" s="68" t="str">
        <x:f>IF(COLUMN()-2&lt;=$E$3,INDEX($B$10:$B$59,RANDBETWEEN(1,$E$3)),"")</x:f>
      </x:c>
      <x:c r="AV176" s="68" t="str">
        <x:f>IF(COLUMN()-2&lt;=$E$3,INDEX($B$10:$B$59,RANDBETWEEN(1,$E$3)),"")</x:f>
      </x:c>
      <x:c r="AW176" s="68" t="str">
        <x:f>IF(COLUMN()-2&lt;=$E$3,INDEX($B$10:$B$59,RANDBETWEEN(1,$E$3)),"")</x:f>
      </x:c>
      <x:c r="AX176" s="68" t="str">
        <x:f>IF(COLUMN()-2&lt;=$E$3,INDEX($B$10:$B$59,RANDBETWEEN(1,$E$3)),"")</x:f>
      </x:c>
      <x:c r="AY176" s="68" t="str">
        <x:f>IF(COLUMN()-2&lt;=$E$3,INDEX($B$10:$B$59,RANDBETWEEN(1,$E$3)),"")</x:f>
      </x:c>
      <x:c r="AZ176" s="68" t="str">
        <x:f>IF(COLUMN()-2&lt;=$E$3,INDEX($B$10:$B$59,RANDBETWEEN(1,$E$3)),"")</x:f>
      </x:c>
      <x:c r="BA176" s="68" t="str">
        <x:f>IF($E$3=0,"",AVERAGE(C176:AZ176))</x:f>
      </x:c>
    </x:row>
    <x:row r="177">
      <x:c r="A177" t="n">
        <x:v>113</x:v>
      </x:c>
      <x:c r="C177" s="68" t="str">
        <x:f>IF(COLUMN()-2&lt;=$E$3,INDEX($B$10:$B$59,RANDBETWEEN(1,$E$3)),"")</x:f>
      </x:c>
      <x:c r="D177" s="68" t="str">
        <x:f>IF(COLUMN()-2&lt;=$E$3,INDEX($B$10:$B$59,RANDBETWEEN(1,$E$3)),"")</x:f>
      </x:c>
      <x:c r="E177" s="68" t="str">
        <x:f>IF(COLUMN()-2&lt;=$E$3,INDEX($B$10:$B$59,RANDBETWEEN(1,$E$3)),"")</x:f>
      </x:c>
      <x:c r="F177" s="68" t="str">
        <x:f>IF(COLUMN()-2&lt;=$E$3,INDEX($B$10:$B$59,RANDBETWEEN(1,$E$3)),"")</x:f>
      </x:c>
      <x:c r="G177" s="68" t="str">
        <x:f>IF(COLUMN()-2&lt;=$E$3,INDEX($B$10:$B$59,RANDBETWEEN(1,$E$3)),"")</x:f>
      </x:c>
      <x:c r="H177" s="68" t="str">
        <x:f>IF(COLUMN()-2&lt;=$E$3,INDEX($B$10:$B$59,RANDBETWEEN(1,$E$3)),"")</x:f>
      </x:c>
      <x:c r="I177" s="68" t="str">
        <x:f>IF(COLUMN()-2&lt;=$E$3,INDEX($B$10:$B$59,RANDBETWEEN(1,$E$3)),"")</x:f>
      </x:c>
      <x:c r="J177" s="68" t="str">
        <x:f>IF(COLUMN()-2&lt;=$E$3,INDEX($B$10:$B$59,RANDBETWEEN(1,$E$3)),"")</x:f>
      </x:c>
      <x:c r="K177" s="68" t="str">
        <x:f>IF(COLUMN()-2&lt;=$E$3,INDEX($B$10:$B$59,RANDBETWEEN(1,$E$3)),"")</x:f>
      </x:c>
      <x:c r="L177" s="68" t="str">
        <x:f>IF(COLUMN()-2&lt;=$E$3,INDEX($B$10:$B$59,RANDBETWEEN(1,$E$3)),"")</x:f>
      </x:c>
      <x:c r="M177" s="68" t="str">
        <x:f>IF(COLUMN()-2&lt;=$E$3,INDEX($B$10:$B$59,RANDBETWEEN(1,$E$3)),"")</x:f>
      </x:c>
      <x:c r="N177" s="68" t="str">
        <x:f>IF(COLUMN()-2&lt;=$E$3,INDEX($B$10:$B$59,RANDBETWEEN(1,$E$3)),"")</x:f>
      </x:c>
      <x:c r="O177" s="68" t="str">
        <x:f>IF(COLUMN()-2&lt;=$E$3,INDEX($B$10:$B$59,RANDBETWEEN(1,$E$3)),"")</x:f>
      </x:c>
      <x:c r="P177" s="68" t="str">
        <x:f>IF(COLUMN()-2&lt;=$E$3,INDEX($B$10:$B$59,RANDBETWEEN(1,$E$3)),"")</x:f>
      </x:c>
      <x:c r="Q177" s="68" t="str">
        <x:f>IF(COLUMN()-2&lt;=$E$3,INDEX($B$10:$B$59,RANDBETWEEN(1,$E$3)),"")</x:f>
      </x:c>
      <x:c r="R177" s="68" t="str">
        <x:f>IF(COLUMN()-2&lt;=$E$3,INDEX($B$10:$B$59,RANDBETWEEN(1,$E$3)),"")</x:f>
      </x:c>
      <x:c r="S177" s="68" t="str">
        <x:f>IF(COLUMN()-2&lt;=$E$3,INDEX($B$10:$B$59,RANDBETWEEN(1,$E$3)),"")</x:f>
      </x:c>
      <x:c r="T177" s="68" t="str">
        <x:f>IF(COLUMN()-2&lt;=$E$3,INDEX($B$10:$B$59,RANDBETWEEN(1,$E$3)),"")</x:f>
      </x:c>
      <x:c r="U177" s="68" t="str">
        <x:f>IF(COLUMN()-2&lt;=$E$3,INDEX($B$10:$B$59,RANDBETWEEN(1,$E$3)),"")</x:f>
      </x:c>
      <x:c r="V177" s="68" t="str">
        <x:f>IF(COLUMN()-2&lt;=$E$3,INDEX($B$10:$B$59,RANDBETWEEN(1,$E$3)),"")</x:f>
      </x:c>
      <x:c r="W177" s="68" t="str">
        <x:f>IF(COLUMN()-2&lt;=$E$3,INDEX($B$10:$B$59,RANDBETWEEN(1,$E$3)),"")</x:f>
      </x:c>
      <x:c r="X177" s="68" t="str">
        <x:f>IF(COLUMN()-2&lt;=$E$3,INDEX($B$10:$B$59,RANDBETWEEN(1,$E$3)),"")</x:f>
      </x:c>
      <x:c r="Y177" s="68" t="str">
        <x:f>IF(COLUMN()-2&lt;=$E$3,INDEX($B$10:$B$59,RANDBETWEEN(1,$E$3)),"")</x:f>
      </x:c>
      <x:c r="Z177" s="68" t="str">
        <x:f>IF(COLUMN()-2&lt;=$E$3,INDEX($B$10:$B$59,RANDBETWEEN(1,$E$3)),"")</x:f>
      </x:c>
      <x:c r="AA177" s="68" t="str">
        <x:f>IF(COLUMN()-2&lt;=$E$3,INDEX($B$10:$B$59,RANDBETWEEN(1,$E$3)),"")</x:f>
      </x:c>
      <x:c r="AB177" s="68" t="str">
        <x:f>IF(COLUMN()-2&lt;=$E$3,INDEX($B$10:$B$59,RANDBETWEEN(1,$E$3)),"")</x:f>
      </x:c>
      <x:c r="AC177" s="68" t="str">
        <x:f>IF(COLUMN()-2&lt;=$E$3,INDEX($B$10:$B$59,RANDBETWEEN(1,$E$3)),"")</x:f>
      </x:c>
      <x:c r="AD177" s="68" t="str">
        <x:f>IF(COLUMN()-2&lt;=$E$3,INDEX($B$10:$B$59,RANDBETWEEN(1,$E$3)),"")</x:f>
      </x:c>
      <x:c r="AE177" s="68" t="str">
        <x:f>IF(COLUMN()-2&lt;=$E$3,INDEX($B$10:$B$59,RANDBETWEEN(1,$E$3)),"")</x:f>
      </x:c>
      <x:c r="AF177" s="68" t="str">
        <x:f>IF(COLUMN()-2&lt;=$E$3,INDEX($B$10:$B$59,RANDBETWEEN(1,$E$3)),"")</x:f>
      </x:c>
      <x:c r="AG177" s="68" t="str">
        <x:f>IF(COLUMN()-2&lt;=$E$3,INDEX($B$10:$B$59,RANDBETWEEN(1,$E$3)),"")</x:f>
      </x:c>
      <x:c r="AH177" s="68" t="str">
        <x:f>IF(COLUMN()-2&lt;=$E$3,INDEX($B$10:$B$59,RANDBETWEEN(1,$E$3)),"")</x:f>
      </x:c>
      <x:c r="AI177" s="68" t="str">
        <x:f>IF(COLUMN()-2&lt;=$E$3,INDEX($B$10:$B$59,RANDBETWEEN(1,$E$3)),"")</x:f>
      </x:c>
      <x:c r="AJ177" s="68" t="str">
        <x:f>IF(COLUMN()-2&lt;=$E$3,INDEX($B$10:$B$59,RANDBETWEEN(1,$E$3)),"")</x:f>
      </x:c>
      <x:c r="AK177" s="68" t="str">
        <x:f>IF(COLUMN()-2&lt;=$E$3,INDEX($B$10:$B$59,RANDBETWEEN(1,$E$3)),"")</x:f>
      </x:c>
      <x:c r="AL177" s="68" t="str">
        <x:f>IF(COLUMN()-2&lt;=$E$3,INDEX($B$10:$B$59,RANDBETWEEN(1,$E$3)),"")</x:f>
      </x:c>
      <x:c r="AM177" s="68" t="str">
        <x:f>IF(COLUMN()-2&lt;=$E$3,INDEX($B$10:$B$59,RANDBETWEEN(1,$E$3)),"")</x:f>
      </x:c>
      <x:c r="AN177" s="68" t="str">
        <x:f>IF(COLUMN()-2&lt;=$E$3,INDEX($B$10:$B$59,RANDBETWEEN(1,$E$3)),"")</x:f>
      </x:c>
      <x:c r="AO177" s="68" t="str">
        <x:f>IF(COLUMN()-2&lt;=$E$3,INDEX($B$10:$B$59,RANDBETWEEN(1,$E$3)),"")</x:f>
      </x:c>
      <x:c r="AP177" s="68" t="str">
        <x:f>IF(COLUMN()-2&lt;=$E$3,INDEX($B$10:$B$59,RANDBETWEEN(1,$E$3)),"")</x:f>
      </x:c>
      <x:c r="AQ177" s="68" t="str">
        <x:f>IF(COLUMN()-2&lt;=$E$3,INDEX($B$10:$B$59,RANDBETWEEN(1,$E$3)),"")</x:f>
      </x:c>
      <x:c r="AR177" s="68" t="str">
        <x:f>IF(COLUMN()-2&lt;=$E$3,INDEX($B$10:$B$59,RANDBETWEEN(1,$E$3)),"")</x:f>
      </x:c>
      <x:c r="AS177" s="68" t="str">
        <x:f>IF(COLUMN()-2&lt;=$E$3,INDEX($B$10:$B$59,RANDBETWEEN(1,$E$3)),"")</x:f>
      </x:c>
      <x:c r="AT177" s="68" t="str">
        <x:f>IF(COLUMN()-2&lt;=$E$3,INDEX($B$10:$B$59,RANDBETWEEN(1,$E$3)),"")</x:f>
      </x:c>
      <x:c r="AU177" s="68" t="str">
        <x:f>IF(COLUMN()-2&lt;=$E$3,INDEX($B$10:$B$59,RANDBETWEEN(1,$E$3)),"")</x:f>
      </x:c>
      <x:c r="AV177" s="68" t="str">
        <x:f>IF(COLUMN()-2&lt;=$E$3,INDEX($B$10:$B$59,RANDBETWEEN(1,$E$3)),"")</x:f>
      </x:c>
      <x:c r="AW177" s="68" t="str">
        <x:f>IF(COLUMN()-2&lt;=$E$3,INDEX($B$10:$B$59,RANDBETWEEN(1,$E$3)),"")</x:f>
      </x:c>
      <x:c r="AX177" s="68" t="str">
        <x:f>IF(COLUMN()-2&lt;=$E$3,INDEX($B$10:$B$59,RANDBETWEEN(1,$E$3)),"")</x:f>
      </x:c>
      <x:c r="AY177" s="68" t="str">
        <x:f>IF(COLUMN()-2&lt;=$E$3,INDEX($B$10:$B$59,RANDBETWEEN(1,$E$3)),"")</x:f>
      </x:c>
      <x:c r="AZ177" s="68" t="str">
        <x:f>IF(COLUMN()-2&lt;=$E$3,INDEX($B$10:$B$59,RANDBETWEEN(1,$E$3)),"")</x:f>
      </x:c>
      <x:c r="BA177" s="68" t="str">
        <x:f>IF($E$3=0,"",AVERAGE(C177:AZ177))</x:f>
      </x:c>
    </x:row>
    <x:row r="178">
      <x:c r="A178" t="n">
        <x:v>114</x:v>
      </x:c>
      <x:c r="C178" s="68" t="str">
        <x:f>IF(COLUMN()-2&lt;=$E$3,INDEX($B$10:$B$59,RANDBETWEEN(1,$E$3)),"")</x:f>
      </x:c>
      <x:c r="D178" s="68" t="str">
        <x:f>IF(COLUMN()-2&lt;=$E$3,INDEX($B$10:$B$59,RANDBETWEEN(1,$E$3)),"")</x:f>
      </x:c>
      <x:c r="E178" s="68" t="str">
        <x:f>IF(COLUMN()-2&lt;=$E$3,INDEX($B$10:$B$59,RANDBETWEEN(1,$E$3)),"")</x:f>
      </x:c>
      <x:c r="F178" s="68" t="str">
        <x:f>IF(COLUMN()-2&lt;=$E$3,INDEX($B$10:$B$59,RANDBETWEEN(1,$E$3)),"")</x:f>
      </x:c>
      <x:c r="G178" s="68" t="str">
        <x:f>IF(COLUMN()-2&lt;=$E$3,INDEX($B$10:$B$59,RANDBETWEEN(1,$E$3)),"")</x:f>
      </x:c>
      <x:c r="H178" s="68" t="str">
        <x:f>IF(COLUMN()-2&lt;=$E$3,INDEX($B$10:$B$59,RANDBETWEEN(1,$E$3)),"")</x:f>
      </x:c>
      <x:c r="I178" s="68" t="str">
        <x:f>IF(COLUMN()-2&lt;=$E$3,INDEX($B$10:$B$59,RANDBETWEEN(1,$E$3)),"")</x:f>
      </x:c>
      <x:c r="J178" s="68" t="str">
        <x:f>IF(COLUMN()-2&lt;=$E$3,INDEX($B$10:$B$59,RANDBETWEEN(1,$E$3)),"")</x:f>
      </x:c>
      <x:c r="K178" s="68" t="str">
        <x:f>IF(COLUMN()-2&lt;=$E$3,INDEX($B$10:$B$59,RANDBETWEEN(1,$E$3)),"")</x:f>
      </x:c>
      <x:c r="L178" s="68" t="str">
        <x:f>IF(COLUMN()-2&lt;=$E$3,INDEX($B$10:$B$59,RANDBETWEEN(1,$E$3)),"")</x:f>
      </x:c>
      <x:c r="M178" s="68" t="str">
        <x:f>IF(COLUMN()-2&lt;=$E$3,INDEX($B$10:$B$59,RANDBETWEEN(1,$E$3)),"")</x:f>
      </x:c>
      <x:c r="N178" s="68" t="str">
        <x:f>IF(COLUMN()-2&lt;=$E$3,INDEX($B$10:$B$59,RANDBETWEEN(1,$E$3)),"")</x:f>
      </x:c>
      <x:c r="O178" s="68" t="str">
        <x:f>IF(COLUMN()-2&lt;=$E$3,INDEX($B$10:$B$59,RANDBETWEEN(1,$E$3)),"")</x:f>
      </x:c>
      <x:c r="P178" s="68" t="str">
        <x:f>IF(COLUMN()-2&lt;=$E$3,INDEX($B$10:$B$59,RANDBETWEEN(1,$E$3)),"")</x:f>
      </x:c>
      <x:c r="Q178" s="68" t="str">
        <x:f>IF(COLUMN()-2&lt;=$E$3,INDEX($B$10:$B$59,RANDBETWEEN(1,$E$3)),"")</x:f>
      </x:c>
      <x:c r="R178" s="68" t="str">
        <x:f>IF(COLUMN()-2&lt;=$E$3,INDEX($B$10:$B$59,RANDBETWEEN(1,$E$3)),"")</x:f>
      </x:c>
      <x:c r="S178" s="68" t="str">
        <x:f>IF(COLUMN()-2&lt;=$E$3,INDEX($B$10:$B$59,RANDBETWEEN(1,$E$3)),"")</x:f>
      </x:c>
      <x:c r="T178" s="68" t="str">
        <x:f>IF(COLUMN()-2&lt;=$E$3,INDEX($B$10:$B$59,RANDBETWEEN(1,$E$3)),"")</x:f>
      </x:c>
      <x:c r="U178" s="68" t="str">
        <x:f>IF(COLUMN()-2&lt;=$E$3,INDEX($B$10:$B$59,RANDBETWEEN(1,$E$3)),"")</x:f>
      </x:c>
      <x:c r="V178" s="68" t="str">
        <x:f>IF(COLUMN()-2&lt;=$E$3,INDEX($B$10:$B$59,RANDBETWEEN(1,$E$3)),"")</x:f>
      </x:c>
      <x:c r="W178" s="68" t="str">
        <x:f>IF(COLUMN()-2&lt;=$E$3,INDEX($B$10:$B$59,RANDBETWEEN(1,$E$3)),"")</x:f>
      </x:c>
      <x:c r="X178" s="68" t="str">
        <x:f>IF(COLUMN()-2&lt;=$E$3,INDEX($B$10:$B$59,RANDBETWEEN(1,$E$3)),"")</x:f>
      </x:c>
      <x:c r="Y178" s="68" t="str">
        <x:f>IF(COLUMN()-2&lt;=$E$3,INDEX($B$10:$B$59,RANDBETWEEN(1,$E$3)),"")</x:f>
      </x:c>
      <x:c r="Z178" s="68" t="str">
        <x:f>IF(COLUMN()-2&lt;=$E$3,INDEX($B$10:$B$59,RANDBETWEEN(1,$E$3)),"")</x:f>
      </x:c>
      <x:c r="AA178" s="68" t="str">
        <x:f>IF(COLUMN()-2&lt;=$E$3,INDEX($B$10:$B$59,RANDBETWEEN(1,$E$3)),"")</x:f>
      </x:c>
      <x:c r="AB178" s="68" t="str">
        <x:f>IF(COLUMN()-2&lt;=$E$3,INDEX($B$10:$B$59,RANDBETWEEN(1,$E$3)),"")</x:f>
      </x:c>
      <x:c r="AC178" s="68" t="str">
        <x:f>IF(COLUMN()-2&lt;=$E$3,INDEX($B$10:$B$59,RANDBETWEEN(1,$E$3)),"")</x:f>
      </x:c>
      <x:c r="AD178" s="68" t="str">
        <x:f>IF(COLUMN()-2&lt;=$E$3,INDEX($B$10:$B$59,RANDBETWEEN(1,$E$3)),"")</x:f>
      </x:c>
      <x:c r="AE178" s="68" t="str">
        <x:f>IF(COLUMN()-2&lt;=$E$3,INDEX($B$10:$B$59,RANDBETWEEN(1,$E$3)),"")</x:f>
      </x:c>
      <x:c r="AF178" s="68" t="str">
        <x:f>IF(COLUMN()-2&lt;=$E$3,INDEX($B$10:$B$59,RANDBETWEEN(1,$E$3)),"")</x:f>
      </x:c>
      <x:c r="AG178" s="68" t="str">
        <x:f>IF(COLUMN()-2&lt;=$E$3,INDEX($B$10:$B$59,RANDBETWEEN(1,$E$3)),"")</x:f>
      </x:c>
      <x:c r="AH178" s="68" t="str">
        <x:f>IF(COLUMN()-2&lt;=$E$3,INDEX($B$10:$B$59,RANDBETWEEN(1,$E$3)),"")</x:f>
      </x:c>
      <x:c r="AI178" s="68" t="str">
        <x:f>IF(COLUMN()-2&lt;=$E$3,INDEX($B$10:$B$59,RANDBETWEEN(1,$E$3)),"")</x:f>
      </x:c>
      <x:c r="AJ178" s="68" t="str">
        <x:f>IF(COLUMN()-2&lt;=$E$3,INDEX($B$10:$B$59,RANDBETWEEN(1,$E$3)),"")</x:f>
      </x:c>
      <x:c r="AK178" s="68" t="str">
        <x:f>IF(COLUMN()-2&lt;=$E$3,INDEX($B$10:$B$59,RANDBETWEEN(1,$E$3)),"")</x:f>
      </x:c>
      <x:c r="AL178" s="68" t="str">
        <x:f>IF(COLUMN()-2&lt;=$E$3,INDEX($B$10:$B$59,RANDBETWEEN(1,$E$3)),"")</x:f>
      </x:c>
      <x:c r="AM178" s="68" t="str">
        <x:f>IF(COLUMN()-2&lt;=$E$3,INDEX($B$10:$B$59,RANDBETWEEN(1,$E$3)),"")</x:f>
      </x:c>
      <x:c r="AN178" s="68" t="str">
        <x:f>IF(COLUMN()-2&lt;=$E$3,INDEX($B$10:$B$59,RANDBETWEEN(1,$E$3)),"")</x:f>
      </x:c>
      <x:c r="AO178" s="68" t="str">
        <x:f>IF(COLUMN()-2&lt;=$E$3,INDEX($B$10:$B$59,RANDBETWEEN(1,$E$3)),"")</x:f>
      </x:c>
      <x:c r="AP178" s="68" t="str">
        <x:f>IF(COLUMN()-2&lt;=$E$3,INDEX($B$10:$B$59,RANDBETWEEN(1,$E$3)),"")</x:f>
      </x:c>
      <x:c r="AQ178" s="68" t="str">
        <x:f>IF(COLUMN()-2&lt;=$E$3,INDEX($B$10:$B$59,RANDBETWEEN(1,$E$3)),"")</x:f>
      </x:c>
      <x:c r="AR178" s="68" t="str">
        <x:f>IF(COLUMN()-2&lt;=$E$3,INDEX($B$10:$B$59,RANDBETWEEN(1,$E$3)),"")</x:f>
      </x:c>
      <x:c r="AS178" s="68" t="str">
        <x:f>IF(COLUMN()-2&lt;=$E$3,INDEX($B$10:$B$59,RANDBETWEEN(1,$E$3)),"")</x:f>
      </x:c>
      <x:c r="AT178" s="68" t="str">
        <x:f>IF(COLUMN()-2&lt;=$E$3,INDEX($B$10:$B$59,RANDBETWEEN(1,$E$3)),"")</x:f>
      </x:c>
      <x:c r="AU178" s="68" t="str">
        <x:f>IF(COLUMN()-2&lt;=$E$3,INDEX($B$10:$B$59,RANDBETWEEN(1,$E$3)),"")</x:f>
      </x:c>
      <x:c r="AV178" s="68" t="str">
        <x:f>IF(COLUMN()-2&lt;=$E$3,INDEX($B$10:$B$59,RANDBETWEEN(1,$E$3)),"")</x:f>
      </x:c>
      <x:c r="AW178" s="68" t="str">
        <x:f>IF(COLUMN()-2&lt;=$E$3,INDEX($B$10:$B$59,RANDBETWEEN(1,$E$3)),"")</x:f>
      </x:c>
      <x:c r="AX178" s="68" t="str">
        <x:f>IF(COLUMN()-2&lt;=$E$3,INDEX($B$10:$B$59,RANDBETWEEN(1,$E$3)),"")</x:f>
      </x:c>
      <x:c r="AY178" s="68" t="str">
        <x:f>IF(COLUMN()-2&lt;=$E$3,INDEX($B$10:$B$59,RANDBETWEEN(1,$E$3)),"")</x:f>
      </x:c>
      <x:c r="AZ178" s="68" t="str">
        <x:f>IF(COLUMN()-2&lt;=$E$3,INDEX($B$10:$B$59,RANDBETWEEN(1,$E$3)),"")</x:f>
      </x:c>
      <x:c r="BA178" s="68" t="str">
        <x:f>IF($E$3=0,"",AVERAGE(C178:AZ178))</x:f>
      </x:c>
    </x:row>
    <x:row r="179">
      <x:c r="A179" t="n">
        <x:v>115</x:v>
      </x:c>
      <x:c r="C179" s="68" t="str">
        <x:f>IF(COLUMN()-2&lt;=$E$3,INDEX($B$10:$B$59,RANDBETWEEN(1,$E$3)),"")</x:f>
      </x:c>
      <x:c r="D179" s="68" t="str">
        <x:f>IF(COLUMN()-2&lt;=$E$3,INDEX($B$10:$B$59,RANDBETWEEN(1,$E$3)),"")</x:f>
      </x:c>
      <x:c r="E179" s="68" t="str">
        <x:f>IF(COLUMN()-2&lt;=$E$3,INDEX($B$10:$B$59,RANDBETWEEN(1,$E$3)),"")</x:f>
      </x:c>
      <x:c r="F179" s="68" t="str">
        <x:f>IF(COLUMN()-2&lt;=$E$3,INDEX($B$10:$B$59,RANDBETWEEN(1,$E$3)),"")</x:f>
      </x:c>
      <x:c r="G179" s="68" t="str">
        <x:f>IF(COLUMN()-2&lt;=$E$3,INDEX($B$10:$B$59,RANDBETWEEN(1,$E$3)),"")</x:f>
      </x:c>
      <x:c r="H179" s="68" t="str">
        <x:f>IF(COLUMN()-2&lt;=$E$3,INDEX($B$10:$B$59,RANDBETWEEN(1,$E$3)),"")</x:f>
      </x:c>
      <x:c r="I179" s="68" t="str">
        <x:f>IF(COLUMN()-2&lt;=$E$3,INDEX($B$10:$B$59,RANDBETWEEN(1,$E$3)),"")</x:f>
      </x:c>
      <x:c r="J179" s="68" t="str">
        <x:f>IF(COLUMN()-2&lt;=$E$3,INDEX($B$10:$B$59,RANDBETWEEN(1,$E$3)),"")</x:f>
      </x:c>
      <x:c r="K179" s="68" t="str">
        <x:f>IF(COLUMN()-2&lt;=$E$3,INDEX($B$10:$B$59,RANDBETWEEN(1,$E$3)),"")</x:f>
      </x:c>
      <x:c r="L179" s="68" t="str">
        <x:f>IF(COLUMN()-2&lt;=$E$3,INDEX($B$10:$B$59,RANDBETWEEN(1,$E$3)),"")</x:f>
      </x:c>
      <x:c r="M179" s="68" t="str">
        <x:f>IF(COLUMN()-2&lt;=$E$3,INDEX($B$10:$B$59,RANDBETWEEN(1,$E$3)),"")</x:f>
      </x:c>
      <x:c r="N179" s="68" t="str">
        <x:f>IF(COLUMN()-2&lt;=$E$3,INDEX($B$10:$B$59,RANDBETWEEN(1,$E$3)),"")</x:f>
      </x:c>
      <x:c r="O179" s="68" t="str">
        <x:f>IF(COLUMN()-2&lt;=$E$3,INDEX($B$10:$B$59,RANDBETWEEN(1,$E$3)),"")</x:f>
      </x:c>
      <x:c r="P179" s="68" t="str">
        <x:f>IF(COLUMN()-2&lt;=$E$3,INDEX($B$10:$B$59,RANDBETWEEN(1,$E$3)),"")</x:f>
      </x:c>
      <x:c r="Q179" s="68" t="str">
        <x:f>IF(COLUMN()-2&lt;=$E$3,INDEX($B$10:$B$59,RANDBETWEEN(1,$E$3)),"")</x:f>
      </x:c>
      <x:c r="R179" s="68" t="str">
        <x:f>IF(COLUMN()-2&lt;=$E$3,INDEX($B$10:$B$59,RANDBETWEEN(1,$E$3)),"")</x:f>
      </x:c>
      <x:c r="S179" s="68" t="str">
        <x:f>IF(COLUMN()-2&lt;=$E$3,INDEX($B$10:$B$59,RANDBETWEEN(1,$E$3)),"")</x:f>
      </x:c>
      <x:c r="T179" s="68" t="str">
        <x:f>IF(COLUMN()-2&lt;=$E$3,INDEX($B$10:$B$59,RANDBETWEEN(1,$E$3)),"")</x:f>
      </x:c>
      <x:c r="U179" s="68" t="str">
        <x:f>IF(COLUMN()-2&lt;=$E$3,INDEX($B$10:$B$59,RANDBETWEEN(1,$E$3)),"")</x:f>
      </x:c>
      <x:c r="V179" s="68" t="str">
        <x:f>IF(COLUMN()-2&lt;=$E$3,INDEX($B$10:$B$59,RANDBETWEEN(1,$E$3)),"")</x:f>
      </x:c>
      <x:c r="W179" s="68" t="str">
        <x:f>IF(COLUMN()-2&lt;=$E$3,INDEX($B$10:$B$59,RANDBETWEEN(1,$E$3)),"")</x:f>
      </x:c>
      <x:c r="X179" s="68" t="str">
        <x:f>IF(COLUMN()-2&lt;=$E$3,INDEX($B$10:$B$59,RANDBETWEEN(1,$E$3)),"")</x:f>
      </x:c>
      <x:c r="Y179" s="68" t="str">
        <x:f>IF(COLUMN()-2&lt;=$E$3,INDEX($B$10:$B$59,RANDBETWEEN(1,$E$3)),"")</x:f>
      </x:c>
      <x:c r="Z179" s="68" t="str">
        <x:f>IF(COLUMN()-2&lt;=$E$3,INDEX($B$10:$B$59,RANDBETWEEN(1,$E$3)),"")</x:f>
      </x:c>
      <x:c r="AA179" s="68" t="str">
        <x:f>IF(COLUMN()-2&lt;=$E$3,INDEX($B$10:$B$59,RANDBETWEEN(1,$E$3)),"")</x:f>
      </x:c>
      <x:c r="AB179" s="68" t="str">
        <x:f>IF(COLUMN()-2&lt;=$E$3,INDEX($B$10:$B$59,RANDBETWEEN(1,$E$3)),"")</x:f>
      </x:c>
      <x:c r="AC179" s="68" t="str">
        <x:f>IF(COLUMN()-2&lt;=$E$3,INDEX($B$10:$B$59,RANDBETWEEN(1,$E$3)),"")</x:f>
      </x:c>
      <x:c r="AD179" s="68" t="str">
        <x:f>IF(COLUMN()-2&lt;=$E$3,INDEX($B$10:$B$59,RANDBETWEEN(1,$E$3)),"")</x:f>
      </x:c>
      <x:c r="AE179" s="68" t="str">
        <x:f>IF(COLUMN()-2&lt;=$E$3,INDEX($B$10:$B$59,RANDBETWEEN(1,$E$3)),"")</x:f>
      </x:c>
      <x:c r="AF179" s="68" t="str">
        <x:f>IF(COLUMN()-2&lt;=$E$3,INDEX($B$10:$B$59,RANDBETWEEN(1,$E$3)),"")</x:f>
      </x:c>
      <x:c r="AG179" s="68" t="str">
        <x:f>IF(COLUMN()-2&lt;=$E$3,INDEX($B$10:$B$59,RANDBETWEEN(1,$E$3)),"")</x:f>
      </x:c>
      <x:c r="AH179" s="68" t="str">
        <x:f>IF(COLUMN()-2&lt;=$E$3,INDEX($B$10:$B$59,RANDBETWEEN(1,$E$3)),"")</x:f>
      </x:c>
      <x:c r="AI179" s="68" t="str">
        <x:f>IF(COLUMN()-2&lt;=$E$3,INDEX($B$10:$B$59,RANDBETWEEN(1,$E$3)),"")</x:f>
      </x:c>
      <x:c r="AJ179" s="68" t="str">
        <x:f>IF(COLUMN()-2&lt;=$E$3,INDEX($B$10:$B$59,RANDBETWEEN(1,$E$3)),"")</x:f>
      </x:c>
      <x:c r="AK179" s="68" t="str">
        <x:f>IF(COLUMN()-2&lt;=$E$3,INDEX($B$10:$B$59,RANDBETWEEN(1,$E$3)),"")</x:f>
      </x:c>
      <x:c r="AL179" s="68" t="str">
        <x:f>IF(COLUMN()-2&lt;=$E$3,INDEX($B$10:$B$59,RANDBETWEEN(1,$E$3)),"")</x:f>
      </x:c>
      <x:c r="AM179" s="68" t="str">
        <x:f>IF(COLUMN()-2&lt;=$E$3,INDEX($B$10:$B$59,RANDBETWEEN(1,$E$3)),"")</x:f>
      </x:c>
      <x:c r="AN179" s="68" t="str">
        <x:f>IF(COLUMN()-2&lt;=$E$3,INDEX($B$10:$B$59,RANDBETWEEN(1,$E$3)),"")</x:f>
      </x:c>
      <x:c r="AO179" s="68" t="str">
        <x:f>IF(COLUMN()-2&lt;=$E$3,INDEX($B$10:$B$59,RANDBETWEEN(1,$E$3)),"")</x:f>
      </x:c>
      <x:c r="AP179" s="68" t="str">
        <x:f>IF(COLUMN()-2&lt;=$E$3,INDEX($B$10:$B$59,RANDBETWEEN(1,$E$3)),"")</x:f>
      </x:c>
      <x:c r="AQ179" s="68" t="str">
        <x:f>IF(COLUMN()-2&lt;=$E$3,INDEX($B$10:$B$59,RANDBETWEEN(1,$E$3)),"")</x:f>
      </x:c>
      <x:c r="AR179" s="68" t="str">
        <x:f>IF(COLUMN()-2&lt;=$E$3,INDEX($B$10:$B$59,RANDBETWEEN(1,$E$3)),"")</x:f>
      </x:c>
      <x:c r="AS179" s="68" t="str">
        <x:f>IF(COLUMN()-2&lt;=$E$3,INDEX($B$10:$B$59,RANDBETWEEN(1,$E$3)),"")</x:f>
      </x:c>
      <x:c r="AT179" s="68" t="str">
        <x:f>IF(COLUMN()-2&lt;=$E$3,INDEX($B$10:$B$59,RANDBETWEEN(1,$E$3)),"")</x:f>
      </x:c>
      <x:c r="AU179" s="68" t="str">
        <x:f>IF(COLUMN()-2&lt;=$E$3,INDEX($B$10:$B$59,RANDBETWEEN(1,$E$3)),"")</x:f>
      </x:c>
      <x:c r="AV179" s="68" t="str">
        <x:f>IF(COLUMN()-2&lt;=$E$3,INDEX($B$10:$B$59,RANDBETWEEN(1,$E$3)),"")</x:f>
      </x:c>
      <x:c r="AW179" s="68" t="str">
        <x:f>IF(COLUMN()-2&lt;=$E$3,INDEX($B$10:$B$59,RANDBETWEEN(1,$E$3)),"")</x:f>
      </x:c>
      <x:c r="AX179" s="68" t="str">
        <x:f>IF(COLUMN()-2&lt;=$E$3,INDEX($B$10:$B$59,RANDBETWEEN(1,$E$3)),"")</x:f>
      </x:c>
      <x:c r="AY179" s="68" t="str">
        <x:f>IF(COLUMN()-2&lt;=$E$3,INDEX($B$10:$B$59,RANDBETWEEN(1,$E$3)),"")</x:f>
      </x:c>
      <x:c r="AZ179" s="68" t="str">
        <x:f>IF(COLUMN()-2&lt;=$E$3,INDEX($B$10:$B$59,RANDBETWEEN(1,$E$3)),"")</x:f>
      </x:c>
      <x:c r="BA179" s="68" t="str">
        <x:f>IF($E$3=0,"",AVERAGE(C179:AZ179))</x:f>
      </x:c>
    </x:row>
    <x:row r="180">
      <x:c r="A180" t="n">
        <x:v>116</x:v>
      </x:c>
      <x:c r="C180" s="68" t="str">
        <x:f>IF(COLUMN()-2&lt;=$E$3,INDEX($B$10:$B$59,RANDBETWEEN(1,$E$3)),"")</x:f>
      </x:c>
      <x:c r="D180" s="68" t="str">
        <x:f>IF(COLUMN()-2&lt;=$E$3,INDEX($B$10:$B$59,RANDBETWEEN(1,$E$3)),"")</x:f>
      </x:c>
      <x:c r="E180" s="68" t="str">
        <x:f>IF(COLUMN()-2&lt;=$E$3,INDEX($B$10:$B$59,RANDBETWEEN(1,$E$3)),"")</x:f>
      </x:c>
      <x:c r="F180" s="68" t="str">
        <x:f>IF(COLUMN()-2&lt;=$E$3,INDEX($B$10:$B$59,RANDBETWEEN(1,$E$3)),"")</x:f>
      </x:c>
      <x:c r="G180" s="68" t="str">
        <x:f>IF(COLUMN()-2&lt;=$E$3,INDEX($B$10:$B$59,RANDBETWEEN(1,$E$3)),"")</x:f>
      </x:c>
      <x:c r="H180" s="68" t="str">
        <x:f>IF(COLUMN()-2&lt;=$E$3,INDEX($B$10:$B$59,RANDBETWEEN(1,$E$3)),"")</x:f>
      </x:c>
      <x:c r="I180" s="68" t="str">
        <x:f>IF(COLUMN()-2&lt;=$E$3,INDEX($B$10:$B$59,RANDBETWEEN(1,$E$3)),"")</x:f>
      </x:c>
      <x:c r="J180" s="68" t="str">
        <x:f>IF(COLUMN()-2&lt;=$E$3,INDEX($B$10:$B$59,RANDBETWEEN(1,$E$3)),"")</x:f>
      </x:c>
      <x:c r="K180" s="68" t="str">
        <x:f>IF(COLUMN()-2&lt;=$E$3,INDEX($B$10:$B$59,RANDBETWEEN(1,$E$3)),"")</x:f>
      </x:c>
      <x:c r="L180" s="68" t="str">
        <x:f>IF(COLUMN()-2&lt;=$E$3,INDEX($B$10:$B$59,RANDBETWEEN(1,$E$3)),"")</x:f>
      </x:c>
      <x:c r="M180" s="68" t="str">
        <x:f>IF(COLUMN()-2&lt;=$E$3,INDEX($B$10:$B$59,RANDBETWEEN(1,$E$3)),"")</x:f>
      </x:c>
      <x:c r="N180" s="68" t="str">
        <x:f>IF(COLUMN()-2&lt;=$E$3,INDEX($B$10:$B$59,RANDBETWEEN(1,$E$3)),"")</x:f>
      </x:c>
      <x:c r="O180" s="68" t="str">
        <x:f>IF(COLUMN()-2&lt;=$E$3,INDEX($B$10:$B$59,RANDBETWEEN(1,$E$3)),"")</x:f>
      </x:c>
      <x:c r="P180" s="68" t="str">
        <x:f>IF(COLUMN()-2&lt;=$E$3,INDEX($B$10:$B$59,RANDBETWEEN(1,$E$3)),"")</x:f>
      </x:c>
      <x:c r="Q180" s="68" t="str">
        <x:f>IF(COLUMN()-2&lt;=$E$3,INDEX($B$10:$B$59,RANDBETWEEN(1,$E$3)),"")</x:f>
      </x:c>
      <x:c r="R180" s="68" t="str">
        <x:f>IF(COLUMN()-2&lt;=$E$3,INDEX($B$10:$B$59,RANDBETWEEN(1,$E$3)),"")</x:f>
      </x:c>
      <x:c r="S180" s="68" t="str">
        <x:f>IF(COLUMN()-2&lt;=$E$3,INDEX($B$10:$B$59,RANDBETWEEN(1,$E$3)),"")</x:f>
      </x:c>
      <x:c r="T180" s="68" t="str">
        <x:f>IF(COLUMN()-2&lt;=$E$3,INDEX($B$10:$B$59,RANDBETWEEN(1,$E$3)),"")</x:f>
      </x:c>
      <x:c r="U180" s="68" t="str">
        <x:f>IF(COLUMN()-2&lt;=$E$3,INDEX($B$10:$B$59,RANDBETWEEN(1,$E$3)),"")</x:f>
      </x:c>
      <x:c r="V180" s="68" t="str">
        <x:f>IF(COLUMN()-2&lt;=$E$3,INDEX($B$10:$B$59,RANDBETWEEN(1,$E$3)),"")</x:f>
      </x:c>
      <x:c r="W180" s="68" t="str">
        <x:f>IF(COLUMN()-2&lt;=$E$3,INDEX($B$10:$B$59,RANDBETWEEN(1,$E$3)),"")</x:f>
      </x:c>
      <x:c r="X180" s="68" t="str">
        <x:f>IF(COLUMN()-2&lt;=$E$3,INDEX($B$10:$B$59,RANDBETWEEN(1,$E$3)),"")</x:f>
      </x:c>
      <x:c r="Y180" s="68" t="str">
        <x:f>IF(COLUMN()-2&lt;=$E$3,INDEX($B$10:$B$59,RANDBETWEEN(1,$E$3)),"")</x:f>
      </x:c>
      <x:c r="Z180" s="68" t="str">
        <x:f>IF(COLUMN()-2&lt;=$E$3,INDEX($B$10:$B$59,RANDBETWEEN(1,$E$3)),"")</x:f>
      </x:c>
      <x:c r="AA180" s="68" t="str">
        <x:f>IF(COLUMN()-2&lt;=$E$3,INDEX($B$10:$B$59,RANDBETWEEN(1,$E$3)),"")</x:f>
      </x:c>
      <x:c r="AB180" s="68" t="str">
        <x:f>IF(COLUMN()-2&lt;=$E$3,INDEX($B$10:$B$59,RANDBETWEEN(1,$E$3)),"")</x:f>
      </x:c>
      <x:c r="AC180" s="68" t="str">
        <x:f>IF(COLUMN()-2&lt;=$E$3,INDEX($B$10:$B$59,RANDBETWEEN(1,$E$3)),"")</x:f>
      </x:c>
      <x:c r="AD180" s="68" t="str">
        <x:f>IF(COLUMN()-2&lt;=$E$3,INDEX($B$10:$B$59,RANDBETWEEN(1,$E$3)),"")</x:f>
      </x:c>
      <x:c r="AE180" s="68" t="str">
        <x:f>IF(COLUMN()-2&lt;=$E$3,INDEX($B$10:$B$59,RANDBETWEEN(1,$E$3)),"")</x:f>
      </x:c>
      <x:c r="AF180" s="68" t="str">
        <x:f>IF(COLUMN()-2&lt;=$E$3,INDEX($B$10:$B$59,RANDBETWEEN(1,$E$3)),"")</x:f>
      </x:c>
      <x:c r="AG180" s="68" t="str">
        <x:f>IF(COLUMN()-2&lt;=$E$3,INDEX($B$10:$B$59,RANDBETWEEN(1,$E$3)),"")</x:f>
      </x:c>
      <x:c r="AH180" s="68" t="str">
        <x:f>IF(COLUMN()-2&lt;=$E$3,INDEX($B$10:$B$59,RANDBETWEEN(1,$E$3)),"")</x:f>
      </x:c>
      <x:c r="AI180" s="68" t="str">
        <x:f>IF(COLUMN()-2&lt;=$E$3,INDEX($B$10:$B$59,RANDBETWEEN(1,$E$3)),"")</x:f>
      </x:c>
      <x:c r="AJ180" s="68" t="str">
        <x:f>IF(COLUMN()-2&lt;=$E$3,INDEX($B$10:$B$59,RANDBETWEEN(1,$E$3)),"")</x:f>
      </x:c>
      <x:c r="AK180" s="68" t="str">
        <x:f>IF(COLUMN()-2&lt;=$E$3,INDEX($B$10:$B$59,RANDBETWEEN(1,$E$3)),"")</x:f>
      </x:c>
      <x:c r="AL180" s="68" t="str">
        <x:f>IF(COLUMN()-2&lt;=$E$3,INDEX($B$10:$B$59,RANDBETWEEN(1,$E$3)),"")</x:f>
      </x:c>
      <x:c r="AM180" s="68" t="str">
        <x:f>IF(COLUMN()-2&lt;=$E$3,INDEX($B$10:$B$59,RANDBETWEEN(1,$E$3)),"")</x:f>
      </x:c>
      <x:c r="AN180" s="68" t="str">
        <x:f>IF(COLUMN()-2&lt;=$E$3,INDEX($B$10:$B$59,RANDBETWEEN(1,$E$3)),"")</x:f>
      </x:c>
      <x:c r="AO180" s="68" t="str">
        <x:f>IF(COLUMN()-2&lt;=$E$3,INDEX($B$10:$B$59,RANDBETWEEN(1,$E$3)),"")</x:f>
      </x:c>
      <x:c r="AP180" s="68" t="str">
        <x:f>IF(COLUMN()-2&lt;=$E$3,INDEX($B$10:$B$59,RANDBETWEEN(1,$E$3)),"")</x:f>
      </x:c>
      <x:c r="AQ180" s="68" t="str">
        <x:f>IF(COLUMN()-2&lt;=$E$3,INDEX($B$10:$B$59,RANDBETWEEN(1,$E$3)),"")</x:f>
      </x:c>
      <x:c r="AR180" s="68" t="str">
        <x:f>IF(COLUMN()-2&lt;=$E$3,INDEX($B$10:$B$59,RANDBETWEEN(1,$E$3)),"")</x:f>
      </x:c>
      <x:c r="AS180" s="68" t="str">
        <x:f>IF(COLUMN()-2&lt;=$E$3,INDEX($B$10:$B$59,RANDBETWEEN(1,$E$3)),"")</x:f>
      </x:c>
      <x:c r="AT180" s="68" t="str">
        <x:f>IF(COLUMN()-2&lt;=$E$3,INDEX($B$10:$B$59,RANDBETWEEN(1,$E$3)),"")</x:f>
      </x:c>
      <x:c r="AU180" s="68" t="str">
        <x:f>IF(COLUMN()-2&lt;=$E$3,INDEX($B$10:$B$59,RANDBETWEEN(1,$E$3)),"")</x:f>
      </x:c>
      <x:c r="AV180" s="68" t="str">
        <x:f>IF(COLUMN()-2&lt;=$E$3,INDEX($B$10:$B$59,RANDBETWEEN(1,$E$3)),"")</x:f>
      </x:c>
      <x:c r="AW180" s="68" t="str">
        <x:f>IF(COLUMN()-2&lt;=$E$3,INDEX($B$10:$B$59,RANDBETWEEN(1,$E$3)),"")</x:f>
      </x:c>
      <x:c r="AX180" s="68" t="str">
        <x:f>IF(COLUMN()-2&lt;=$E$3,INDEX($B$10:$B$59,RANDBETWEEN(1,$E$3)),"")</x:f>
      </x:c>
      <x:c r="AY180" s="68" t="str">
        <x:f>IF(COLUMN()-2&lt;=$E$3,INDEX($B$10:$B$59,RANDBETWEEN(1,$E$3)),"")</x:f>
      </x:c>
      <x:c r="AZ180" s="68" t="str">
        <x:f>IF(COLUMN()-2&lt;=$E$3,INDEX($B$10:$B$59,RANDBETWEEN(1,$E$3)),"")</x:f>
      </x:c>
      <x:c r="BA180" s="68" t="str">
        <x:f>IF($E$3=0,"",AVERAGE(C180:AZ180))</x:f>
      </x:c>
    </x:row>
    <x:row r="181">
      <x:c r="A181" t="n">
        <x:v>117</x:v>
      </x:c>
      <x:c r="C181" s="68" t="str">
        <x:f>IF(COLUMN()-2&lt;=$E$3,INDEX($B$10:$B$59,RANDBETWEEN(1,$E$3)),"")</x:f>
      </x:c>
      <x:c r="D181" s="68" t="str">
        <x:f>IF(COLUMN()-2&lt;=$E$3,INDEX($B$10:$B$59,RANDBETWEEN(1,$E$3)),"")</x:f>
      </x:c>
      <x:c r="E181" s="68" t="str">
        <x:f>IF(COLUMN()-2&lt;=$E$3,INDEX($B$10:$B$59,RANDBETWEEN(1,$E$3)),"")</x:f>
      </x:c>
      <x:c r="F181" s="68" t="str">
        <x:f>IF(COLUMN()-2&lt;=$E$3,INDEX($B$10:$B$59,RANDBETWEEN(1,$E$3)),"")</x:f>
      </x:c>
      <x:c r="G181" s="68" t="str">
        <x:f>IF(COLUMN()-2&lt;=$E$3,INDEX($B$10:$B$59,RANDBETWEEN(1,$E$3)),"")</x:f>
      </x:c>
      <x:c r="H181" s="68" t="str">
        <x:f>IF(COLUMN()-2&lt;=$E$3,INDEX($B$10:$B$59,RANDBETWEEN(1,$E$3)),"")</x:f>
      </x:c>
      <x:c r="I181" s="68" t="str">
        <x:f>IF(COLUMN()-2&lt;=$E$3,INDEX($B$10:$B$59,RANDBETWEEN(1,$E$3)),"")</x:f>
      </x:c>
      <x:c r="J181" s="68" t="str">
        <x:f>IF(COLUMN()-2&lt;=$E$3,INDEX($B$10:$B$59,RANDBETWEEN(1,$E$3)),"")</x:f>
      </x:c>
      <x:c r="K181" s="68" t="str">
        <x:f>IF(COLUMN()-2&lt;=$E$3,INDEX($B$10:$B$59,RANDBETWEEN(1,$E$3)),"")</x:f>
      </x:c>
      <x:c r="L181" s="68" t="str">
        <x:f>IF(COLUMN()-2&lt;=$E$3,INDEX($B$10:$B$59,RANDBETWEEN(1,$E$3)),"")</x:f>
      </x:c>
      <x:c r="M181" s="68" t="str">
        <x:f>IF(COLUMN()-2&lt;=$E$3,INDEX($B$10:$B$59,RANDBETWEEN(1,$E$3)),"")</x:f>
      </x:c>
      <x:c r="N181" s="68" t="str">
        <x:f>IF(COLUMN()-2&lt;=$E$3,INDEX($B$10:$B$59,RANDBETWEEN(1,$E$3)),"")</x:f>
      </x:c>
      <x:c r="O181" s="68" t="str">
        <x:f>IF(COLUMN()-2&lt;=$E$3,INDEX($B$10:$B$59,RANDBETWEEN(1,$E$3)),"")</x:f>
      </x:c>
      <x:c r="P181" s="68" t="str">
        <x:f>IF(COLUMN()-2&lt;=$E$3,INDEX($B$10:$B$59,RANDBETWEEN(1,$E$3)),"")</x:f>
      </x:c>
      <x:c r="Q181" s="68" t="str">
        <x:f>IF(COLUMN()-2&lt;=$E$3,INDEX($B$10:$B$59,RANDBETWEEN(1,$E$3)),"")</x:f>
      </x:c>
      <x:c r="R181" s="68" t="str">
        <x:f>IF(COLUMN()-2&lt;=$E$3,INDEX($B$10:$B$59,RANDBETWEEN(1,$E$3)),"")</x:f>
      </x:c>
      <x:c r="S181" s="68" t="str">
        <x:f>IF(COLUMN()-2&lt;=$E$3,INDEX($B$10:$B$59,RANDBETWEEN(1,$E$3)),"")</x:f>
      </x:c>
      <x:c r="T181" s="68" t="str">
        <x:f>IF(COLUMN()-2&lt;=$E$3,INDEX($B$10:$B$59,RANDBETWEEN(1,$E$3)),"")</x:f>
      </x:c>
      <x:c r="U181" s="68" t="str">
        <x:f>IF(COLUMN()-2&lt;=$E$3,INDEX($B$10:$B$59,RANDBETWEEN(1,$E$3)),"")</x:f>
      </x:c>
      <x:c r="V181" s="68" t="str">
        <x:f>IF(COLUMN()-2&lt;=$E$3,INDEX($B$10:$B$59,RANDBETWEEN(1,$E$3)),"")</x:f>
      </x:c>
      <x:c r="W181" s="68" t="str">
        <x:f>IF(COLUMN()-2&lt;=$E$3,INDEX($B$10:$B$59,RANDBETWEEN(1,$E$3)),"")</x:f>
      </x:c>
      <x:c r="X181" s="68" t="str">
        <x:f>IF(COLUMN()-2&lt;=$E$3,INDEX($B$10:$B$59,RANDBETWEEN(1,$E$3)),"")</x:f>
      </x:c>
      <x:c r="Y181" s="68" t="str">
        <x:f>IF(COLUMN()-2&lt;=$E$3,INDEX($B$10:$B$59,RANDBETWEEN(1,$E$3)),"")</x:f>
      </x:c>
      <x:c r="Z181" s="68" t="str">
        <x:f>IF(COLUMN()-2&lt;=$E$3,INDEX($B$10:$B$59,RANDBETWEEN(1,$E$3)),"")</x:f>
      </x:c>
      <x:c r="AA181" s="68" t="str">
        <x:f>IF(COLUMN()-2&lt;=$E$3,INDEX($B$10:$B$59,RANDBETWEEN(1,$E$3)),"")</x:f>
      </x:c>
      <x:c r="AB181" s="68" t="str">
        <x:f>IF(COLUMN()-2&lt;=$E$3,INDEX($B$10:$B$59,RANDBETWEEN(1,$E$3)),"")</x:f>
      </x:c>
      <x:c r="AC181" s="68" t="str">
        <x:f>IF(COLUMN()-2&lt;=$E$3,INDEX($B$10:$B$59,RANDBETWEEN(1,$E$3)),"")</x:f>
      </x:c>
      <x:c r="AD181" s="68" t="str">
        <x:f>IF(COLUMN()-2&lt;=$E$3,INDEX($B$10:$B$59,RANDBETWEEN(1,$E$3)),"")</x:f>
      </x:c>
      <x:c r="AE181" s="68" t="str">
        <x:f>IF(COLUMN()-2&lt;=$E$3,INDEX($B$10:$B$59,RANDBETWEEN(1,$E$3)),"")</x:f>
      </x:c>
      <x:c r="AF181" s="68" t="str">
        <x:f>IF(COLUMN()-2&lt;=$E$3,INDEX($B$10:$B$59,RANDBETWEEN(1,$E$3)),"")</x:f>
      </x:c>
      <x:c r="AG181" s="68" t="str">
        <x:f>IF(COLUMN()-2&lt;=$E$3,INDEX($B$10:$B$59,RANDBETWEEN(1,$E$3)),"")</x:f>
      </x:c>
      <x:c r="AH181" s="68" t="str">
        <x:f>IF(COLUMN()-2&lt;=$E$3,INDEX($B$10:$B$59,RANDBETWEEN(1,$E$3)),"")</x:f>
      </x:c>
      <x:c r="AI181" s="68" t="str">
        <x:f>IF(COLUMN()-2&lt;=$E$3,INDEX($B$10:$B$59,RANDBETWEEN(1,$E$3)),"")</x:f>
      </x:c>
      <x:c r="AJ181" s="68" t="str">
        <x:f>IF(COLUMN()-2&lt;=$E$3,INDEX($B$10:$B$59,RANDBETWEEN(1,$E$3)),"")</x:f>
      </x:c>
      <x:c r="AK181" s="68" t="str">
        <x:f>IF(COLUMN()-2&lt;=$E$3,INDEX($B$10:$B$59,RANDBETWEEN(1,$E$3)),"")</x:f>
      </x:c>
      <x:c r="AL181" s="68" t="str">
        <x:f>IF(COLUMN()-2&lt;=$E$3,INDEX($B$10:$B$59,RANDBETWEEN(1,$E$3)),"")</x:f>
      </x:c>
      <x:c r="AM181" s="68" t="str">
        <x:f>IF(COLUMN()-2&lt;=$E$3,INDEX($B$10:$B$59,RANDBETWEEN(1,$E$3)),"")</x:f>
      </x:c>
      <x:c r="AN181" s="68" t="str">
        <x:f>IF(COLUMN()-2&lt;=$E$3,INDEX($B$10:$B$59,RANDBETWEEN(1,$E$3)),"")</x:f>
      </x:c>
      <x:c r="AO181" s="68" t="str">
        <x:f>IF(COLUMN()-2&lt;=$E$3,INDEX($B$10:$B$59,RANDBETWEEN(1,$E$3)),"")</x:f>
      </x:c>
      <x:c r="AP181" s="68" t="str">
        <x:f>IF(COLUMN()-2&lt;=$E$3,INDEX($B$10:$B$59,RANDBETWEEN(1,$E$3)),"")</x:f>
      </x:c>
      <x:c r="AQ181" s="68" t="str">
        <x:f>IF(COLUMN()-2&lt;=$E$3,INDEX($B$10:$B$59,RANDBETWEEN(1,$E$3)),"")</x:f>
      </x:c>
      <x:c r="AR181" s="68" t="str">
        <x:f>IF(COLUMN()-2&lt;=$E$3,INDEX($B$10:$B$59,RANDBETWEEN(1,$E$3)),"")</x:f>
      </x:c>
      <x:c r="AS181" s="68" t="str">
        <x:f>IF(COLUMN()-2&lt;=$E$3,INDEX($B$10:$B$59,RANDBETWEEN(1,$E$3)),"")</x:f>
      </x:c>
      <x:c r="AT181" s="68" t="str">
        <x:f>IF(COLUMN()-2&lt;=$E$3,INDEX($B$10:$B$59,RANDBETWEEN(1,$E$3)),"")</x:f>
      </x:c>
      <x:c r="AU181" s="68" t="str">
        <x:f>IF(COLUMN()-2&lt;=$E$3,INDEX($B$10:$B$59,RANDBETWEEN(1,$E$3)),"")</x:f>
      </x:c>
      <x:c r="AV181" s="68" t="str">
        <x:f>IF(COLUMN()-2&lt;=$E$3,INDEX($B$10:$B$59,RANDBETWEEN(1,$E$3)),"")</x:f>
      </x:c>
      <x:c r="AW181" s="68" t="str">
        <x:f>IF(COLUMN()-2&lt;=$E$3,INDEX($B$10:$B$59,RANDBETWEEN(1,$E$3)),"")</x:f>
      </x:c>
      <x:c r="AX181" s="68" t="str">
        <x:f>IF(COLUMN()-2&lt;=$E$3,INDEX($B$10:$B$59,RANDBETWEEN(1,$E$3)),"")</x:f>
      </x:c>
      <x:c r="AY181" s="68" t="str">
        <x:f>IF(COLUMN()-2&lt;=$E$3,INDEX($B$10:$B$59,RANDBETWEEN(1,$E$3)),"")</x:f>
      </x:c>
      <x:c r="AZ181" s="68" t="str">
        <x:f>IF(COLUMN()-2&lt;=$E$3,INDEX($B$10:$B$59,RANDBETWEEN(1,$E$3)),"")</x:f>
      </x:c>
      <x:c r="BA181" s="68" t="str">
        <x:f>IF($E$3=0,"",AVERAGE(C181:AZ181))</x:f>
      </x:c>
    </x:row>
    <x:row r="182">
      <x:c r="A182" t="n">
        <x:v>118</x:v>
      </x:c>
      <x:c r="C182" s="68" t="str">
        <x:f>IF(COLUMN()-2&lt;=$E$3,INDEX($B$10:$B$59,RANDBETWEEN(1,$E$3)),"")</x:f>
      </x:c>
      <x:c r="D182" s="68" t="str">
        <x:f>IF(COLUMN()-2&lt;=$E$3,INDEX($B$10:$B$59,RANDBETWEEN(1,$E$3)),"")</x:f>
      </x:c>
      <x:c r="E182" s="68" t="str">
        <x:f>IF(COLUMN()-2&lt;=$E$3,INDEX($B$10:$B$59,RANDBETWEEN(1,$E$3)),"")</x:f>
      </x:c>
      <x:c r="F182" s="68" t="str">
        <x:f>IF(COLUMN()-2&lt;=$E$3,INDEX($B$10:$B$59,RANDBETWEEN(1,$E$3)),"")</x:f>
      </x:c>
      <x:c r="G182" s="68" t="str">
        <x:f>IF(COLUMN()-2&lt;=$E$3,INDEX($B$10:$B$59,RANDBETWEEN(1,$E$3)),"")</x:f>
      </x:c>
      <x:c r="H182" s="68" t="str">
        <x:f>IF(COLUMN()-2&lt;=$E$3,INDEX($B$10:$B$59,RANDBETWEEN(1,$E$3)),"")</x:f>
      </x:c>
      <x:c r="I182" s="68" t="str">
        <x:f>IF(COLUMN()-2&lt;=$E$3,INDEX($B$10:$B$59,RANDBETWEEN(1,$E$3)),"")</x:f>
      </x:c>
      <x:c r="J182" s="68" t="str">
        <x:f>IF(COLUMN()-2&lt;=$E$3,INDEX($B$10:$B$59,RANDBETWEEN(1,$E$3)),"")</x:f>
      </x:c>
      <x:c r="K182" s="68" t="str">
        <x:f>IF(COLUMN()-2&lt;=$E$3,INDEX($B$10:$B$59,RANDBETWEEN(1,$E$3)),"")</x:f>
      </x:c>
      <x:c r="L182" s="68" t="str">
        <x:f>IF(COLUMN()-2&lt;=$E$3,INDEX($B$10:$B$59,RANDBETWEEN(1,$E$3)),"")</x:f>
      </x:c>
      <x:c r="M182" s="68" t="str">
        <x:f>IF(COLUMN()-2&lt;=$E$3,INDEX($B$10:$B$59,RANDBETWEEN(1,$E$3)),"")</x:f>
      </x:c>
      <x:c r="N182" s="68" t="str">
        <x:f>IF(COLUMN()-2&lt;=$E$3,INDEX($B$10:$B$59,RANDBETWEEN(1,$E$3)),"")</x:f>
      </x:c>
      <x:c r="O182" s="68" t="str">
        <x:f>IF(COLUMN()-2&lt;=$E$3,INDEX($B$10:$B$59,RANDBETWEEN(1,$E$3)),"")</x:f>
      </x:c>
      <x:c r="P182" s="68" t="str">
        <x:f>IF(COLUMN()-2&lt;=$E$3,INDEX($B$10:$B$59,RANDBETWEEN(1,$E$3)),"")</x:f>
      </x:c>
      <x:c r="Q182" s="68" t="str">
        <x:f>IF(COLUMN()-2&lt;=$E$3,INDEX($B$10:$B$59,RANDBETWEEN(1,$E$3)),"")</x:f>
      </x:c>
      <x:c r="R182" s="68" t="str">
        <x:f>IF(COLUMN()-2&lt;=$E$3,INDEX($B$10:$B$59,RANDBETWEEN(1,$E$3)),"")</x:f>
      </x:c>
      <x:c r="S182" s="68" t="str">
        <x:f>IF(COLUMN()-2&lt;=$E$3,INDEX($B$10:$B$59,RANDBETWEEN(1,$E$3)),"")</x:f>
      </x:c>
      <x:c r="T182" s="68" t="str">
        <x:f>IF(COLUMN()-2&lt;=$E$3,INDEX($B$10:$B$59,RANDBETWEEN(1,$E$3)),"")</x:f>
      </x:c>
      <x:c r="U182" s="68" t="str">
        <x:f>IF(COLUMN()-2&lt;=$E$3,INDEX($B$10:$B$59,RANDBETWEEN(1,$E$3)),"")</x:f>
      </x:c>
      <x:c r="V182" s="68" t="str">
        <x:f>IF(COLUMN()-2&lt;=$E$3,INDEX($B$10:$B$59,RANDBETWEEN(1,$E$3)),"")</x:f>
      </x:c>
      <x:c r="W182" s="68" t="str">
        <x:f>IF(COLUMN()-2&lt;=$E$3,INDEX($B$10:$B$59,RANDBETWEEN(1,$E$3)),"")</x:f>
      </x:c>
      <x:c r="X182" s="68" t="str">
        <x:f>IF(COLUMN()-2&lt;=$E$3,INDEX($B$10:$B$59,RANDBETWEEN(1,$E$3)),"")</x:f>
      </x:c>
      <x:c r="Y182" s="68" t="str">
        <x:f>IF(COLUMN()-2&lt;=$E$3,INDEX($B$10:$B$59,RANDBETWEEN(1,$E$3)),"")</x:f>
      </x:c>
      <x:c r="Z182" s="68" t="str">
        <x:f>IF(COLUMN()-2&lt;=$E$3,INDEX($B$10:$B$59,RANDBETWEEN(1,$E$3)),"")</x:f>
      </x:c>
      <x:c r="AA182" s="68" t="str">
        <x:f>IF(COLUMN()-2&lt;=$E$3,INDEX($B$10:$B$59,RANDBETWEEN(1,$E$3)),"")</x:f>
      </x:c>
      <x:c r="AB182" s="68" t="str">
        <x:f>IF(COLUMN()-2&lt;=$E$3,INDEX($B$10:$B$59,RANDBETWEEN(1,$E$3)),"")</x:f>
      </x:c>
      <x:c r="AC182" s="68" t="str">
        <x:f>IF(COLUMN()-2&lt;=$E$3,INDEX($B$10:$B$59,RANDBETWEEN(1,$E$3)),"")</x:f>
      </x:c>
      <x:c r="AD182" s="68" t="str">
        <x:f>IF(COLUMN()-2&lt;=$E$3,INDEX($B$10:$B$59,RANDBETWEEN(1,$E$3)),"")</x:f>
      </x:c>
      <x:c r="AE182" s="68" t="str">
        <x:f>IF(COLUMN()-2&lt;=$E$3,INDEX($B$10:$B$59,RANDBETWEEN(1,$E$3)),"")</x:f>
      </x:c>
      <x:c r="AF182" s="68" t="str">
        <x:f>IF(COLUMN()-2&lt;=$E$3,INDEX($B$10:$B$59,RANDBETWEEN(1,$E$3)),"")</x:f>
      </x:c>
      <x:c r="AG182" s="68" t="str">
        <x:f>IF(COLUMN()-2&lt;=$E$3,INDEX($B$10:$B$59,RANDBETWEEN(1,$E$3)),"")</x:f>
      </x:c>
      <x:c r="AH182" s="68" t="str">
        <x:f>IF(COLUMN()-2&lt;=$E$3,INDEX($B$10:$B$59,RANDBETWEEN(1,$E$3)),"")</x:f>
      </x:c>
      <x:c r="AI182" s="68" t="str">
        <x:f>IF(COLUMN()-2&lt;=$E$3,INDEX($B$10:$B$59,RANDBETWEEN(1,$E$3)),"")</x:f>
      </x:c>
      <x:c r="AJ182" s="68" t="str">
        <x:f>IF(COLUMN()-2&lt;=$E$3,INDEX($B$10:$B$59,RANDBETWEEN(1,$E$3)),"")</x:f>
      </x:c>
      <x:c r="AK182" s="68" t="str">
        <x:f>IF(COLUMN()-2&lt;=$E$3,INDEX($B$10:$B$59,RANDBETWEEN(1,$E$3)),"")</x:f>
      </x:c>
      <x:c r="AL182" s="68" t="str">
        <x:f>IF(COLUMN()-2&lt;=$E$3,INDEX($B$10:$B$59,RANDBETWEEN(1,$E$3)),"")</x:f>
      </x:c>
      <x:c r="AM182" s="68" t="str">
        <x:f>IF(COLUMN()-2&lt;=$E$3,INDEX($B$10:$B$59,RANDBETWEEN(1,$E$3)),"")</x:f>
      </x:c>
      <x:c r="AN182" s="68" t="str">
        <x:f>IF(COLUMN()-2&lt;=$E$3,INDEX($B$10:$B$59,RANDBETWEEN(1,$E$3)),"")</x:f>
      </x:c>
      <x:c r="AO182" s="68" t="str">
        <x:f>IF(COLUMN()-2&lt;=$E$3,INDEX($B$10:$B$59,RANDBETWEEN(1,$E$3)),"")</x:f>
      </x:c>
      <x:c r="AP182" s="68" t="str">
        <x:f>IF(COLUMN()-2&lt;=$E$3,INDEX($B$10:$B$59,RANDBETWEEN(1,$E$3)),"")</x:f>
      </x:c>
      <x:c r="AQ182" s="68" t="str">
        <x:f>IF(COLUMN()-2&lt;=$E$3,INDEX($B$10:$B$59,RANDBETWEEN(1,$E$3)),"")</x:f>
      </x:c>
      <x:c r="AR182" s="68" t="str">
        <x:f>IF(COLUMN()-2&lt;=$E$3,INDEX($B$10:$B$59,RANDBETWEEN(1,$E$3)),"")</x:f>
      </x:c>
      <x:c r="AS182" s="68" t="str">
        <x:f>IF(COLUMN()-2&lt;=$E$3,INDEX($B$10:$B$59,RANDBETWEEN(1,$E$3)),"")</x:f>
      </x:c>
      <x:c r="AT182" s="68" t="str">
        <x:f>IF(COLUMN()-2&lt;=$E$3,INDEX($B$10:$B$59,RANDBETWEEN(1,$E$3)),"")</x:f>
      </x:c>
      <x:c r="AU182" s="68" t="str">
        <x:f>IF(COLUMN()-2&lt;=$E$3,INDEX($B$10:$B$59,RANDBETWEEN(1,$E$3)),"")</x:f>
      </x:c>
      <x:c r="AV182" s="68" t="str">
        <x:f>IF(COLUMN()-2&lt;=$E$3,INDEX($B$10:$B$59,RANDBETWEEN(1,$E$3)),"")</x:f>
      </x:c>
      <x:c r="AW182" s="68" t="str">
        <x:f>IF(COLUMN()-2&lt;=$E$3,INDEX($B$10:$B$59,RANDBETWEEN(1,$E$3)),"")</x:f>
      </x:c>
      <x:c r="AX182" s="68" t="str">
        <x:f>IF(COLUMN()-2&lt;=$E$3,INDEX($B$10:$B$59,RANDBETWEEN(1,$E$3)),"")</x:f>
      </x:c>
      <x:c r="AY182" s="68" t="str">
        <x:f>IF(COLUMN()-2&lt;=$E$3,INDEX($B$10:$B$59,RANDBETWEEN(1,$E$3)),"")</x:f>
      </x:c>
      <x:c r="AZ182" s="68" t="str">
        <x:f>IF(COLUMN()-2&lt;=$E$3,INDEX($B$10:$B$59,RANDBETWEEN(1,$E$3)),"")</x:f>
      </x:c>
      <x:c r="BA182" s="68" t="str">
        <x:f>IF($E$3=0,"",AVERAGE(C182:AZ182))</x:f>
      </x:c>
    </x:row>
    <x:row r="183">
      <x:c r="A183" t="n">
        <x:v>119</x:v>
      </x:c>
      <x:c r="C183" s="68" t="str">
        <x:f>IF(COLUMN()-2&lt;=$E$3,INDEX($B$10:$B$59,RANDBETWEEN(1,$E$3)),"")</x:f>
      </x:c>
      <x:c r="D183" s="68" t="str">
        <x:f>IF(COLUMN()-2&lt;=$E$3,INDEX($B$10:$B$59,RANDBETWEEN(1,$E$3)),"")</x:f>
      </x:c>
      <x:c r="E183" s="68" t="str">
        <x:f>IF(COLUMN()-2&lt;=$E$3,INDEX($B$10:$B$59,RANDBETWEEN(1,$E$3)),"")</x:f>
      </x:c>
      <x:c r="F183" s="68" t="str">
        <x:f>IF(COLUMN()-2&lt;=$E$3,INDEX($B$10:$B$59,RANDBETWEEN(1,$E$3)),"")</x:f>
      </x:c>
      <x:c r="G183" s="68" t="str">
        <x:f>IF(COLUMN()-2&lt;=$E$3,INDEX($B$10:$B$59,RANDBETWEEN(1,$E$3)),"")</x:f>
      </x:c>
      <x:c r="H183" s="68" t="str">
        <x:f>IF(COLUMN()-2&lt;=$E$3,INDEX($B$10:$B$59,RANDBETWEEN(1,$E$3)),"")</x:f>
      </x:c>
      <x:c r="I183" s="68" t="str">
        <x:f>IF(COLUMN()-2&lt;=$E$3,INDEX($B$10:$B$59,RANDBETWEEN(1,$E$3)),"")</x:f>
      </x:c>
      <x:c r="J183" s="68" t="str">
        <x:f>IF(COLUMN()-2&lt;=$E$3,INDEX($B$10:$B$59,RANDBETWEEN(1,$E$3)),"")</x:f>
      </x:c>
      <x:c r="K183" s="68" t="str">
        <x:f>IF(COLUMN()-2&lt;=$E$3,INDEX($B$10:$B$59,RANDBETWEEN(1,$E$3)),"")</x:f>
      </x:c>
      <x:c r="L183" s="68" t="str">
        <x:f>IF(COLUMN()-2&lt;=$E$3,INDEX($B$10:$B$59,RANDBETWEEN(1,$E$3)),"")</x:f>
      </x:c>
      <x:c r="M183" s="68" t="str">
        <x:f>IF(COLUMN()-2&lt;=$E$3,INDEX($B$10:$B$59,RANDBETWEEN(1,$E$3)),"")</x:f>
      </x:c>
      <x:c r="N183" s="68" t="str">
        <x:f>IF(COLUMN()-2&lt;=$E$3,INDEX($B$10:$B$59,RANDBETWEEN(1,$E$3)),"")</x:f>
      </x:c>
      <x:c r="O183" s="68" t="str">
        <x:f>IF(COLUMN()-2&lt;=$E$3,INDEX($B$10:$B$59,RANDBETWEEN(1,$E$3)),"")</x:f>
      </x:c>
      <x:c r="P183" s="68" t="str">
        <x:f>IF(COLUMN()-2&lt;=$E$3,INDEX($B$10:$B$59,RANDBETWEEN(1,$E$3)),"")</x:f>
      </x:c>
      <x:c r="Q183" s="68" t="str">
        <x:f>IF(COLUMN()-2&lt;=$E$3,INDEX($B$10:$B$59,RANDBETWEEN(1,$E$3)),"")</x:f>
      </x:c>
      <x:c r="R183" s="68" t="str">
        <x:f>IF(COLUMN()-2&lt;=$E$3,INDEX($B$10:$B$59,RANDBETWEEN(1,$E$3)),"")</x:f>
      </x:c>
      <x:c r="S183" s="68" t="str">
        <x:f>IF(COLUMN()-2&lt;=$E$3,INDEX($B$10:$B$59,RANDBETWEEN(1,$E$3)),"")</x:f>
      </x:c>
      <x:c r="T183" s="68" t="str">
        <x:f>IF(COLUMN()-2&lt;=$E$3,INDEX($B$10:$B$59,RANDBETWEEN(1,$E$3)),"")</x:f>
      </x:c>
      <x:c r="U183" s="68" t="str">
        <x:f>IF(COLUMN()-2&lt;=$E$3,INDEX($B$10:$B$59,RANDBETWEEN(1,$E$3)),"")</x:f>
      </x:c>
      <x:c r="V183" s="68" t="str">
        <x:f>IF(COLUMN()-2&lt;=$E$3,INDEX($B$10:$B$59,RANDBETWEEN(1,$E$3)),"")</x:f>
      </x:c>
      <x:c r="W183" s="68" t="str">
        <x:f>IF(COLUMN()-2&lt;=$E$3,INDEX($B$10:$B$59,RANDBETWEEN(1,$E$3)),"")</x:f>
      </x:c>
      <x:c r="X183" s="68" t="str">
        <x:f>IF(COLUMN()-2&lt;=$E$3,INDEX($B$10:$B$59,RANDBETWEEN(1,$E$3)),"")</x:f>
      </x:c>
      <x:c r="Y183" s="68" t="str">
        <x:f>IF(COLUMN()-2&lt;=$E$3,INDEX($B$10:$B$59,RANDBETWEEN(1,$E$3)),"")</x:f>
      </x:c>
      <x:c r="Z183" s="68" t="str">
        <x:f>IF(COLUMN()-2&lt;=$E$3,INDEX($B$10:$B$59,RANDBETWEEN(1,$E$3)),"")</x:f>
      </x:c>
      <x:c r="AA183" s="68" t="str">
        <x:f>IF(COLUMN()-2&lt;=$E$3,INDEX($B$10:$B$59,RANDBETWEEN(1,$E$3)),"")</x:f>
      </x:c>
      <x:c r="AB183" s="68" t="str">
        <x:f>IF(COLUMN()-2&lt;=$E$3,INDEX($B$10:$B$59,RANDBETWEEN(1,$E$3)),"")</x:f>
      </x:c>
      <x:c r="AC183" s="68" t="str">
        <x:f>IF(COLUMN()-2&lt;=$E$3,INDEX($B$10:$B$59,RANDBETWEEN(1,$E$3)),"")</x:f>
      </x:c>
      <x:c r="AD183" s="68" t="str">
        <x:f>IF(COLUMN()-2&lt;=$E$3,INDEX($B$10:$B$59,RANDBETWEEN(1,$E$3)),"")</x:f>
      </x:c>
      <x:c r="AE183" s="68" t="str">
        <x:f>IF(COLUMN()-2&lt;=$E$3,INDEX($B$10:$B$59,RANDBETWEEN(1,$E$3)),"")</x:f>
      </x:c>
      <x:c r="AF183" s="68" t="str">
        <x:f>IF(COLUMN()-2&lt;=$E$3,INDEX($B$10:$B$59,RANDBETWEEN(1,$E$3)),"")</x:f>
      </x:c>
      <x:c r="AG183" s="68" t="str">
        <x:f>IF(COLUMN()-2&lt;=$E$3,INDEX($B$10:$B$59,RANDBETWEEN(1,$E$3)),"")</x:f>
      </x:c>
      <x:c r="AH183" s="68" t="str">
        <x:f>IF(COLUMN()-2&lt;=$E$3,INDEX($B$10:$B$59,RANDBETWEEN(1,$E$3)),"")</x:f>
      </x:c>
      <x:c r="AI183" s="68" t="str">
        <x:f>IF(COLUMN()-2&lt;=$E$3,INDEX($B$10:$B$59,RANDBETWEEN(1,$E$3)),"")</x:f>
      </x:c>
      <x:c r="AJ183" s="68" t="str">
        <x:f>IF(COLUMN()-2&lt;=$E$3,INDEX($B$10:$B$59,RANDBETWEEN(1,$E$3)),"")</x:f>
      </x:c>
      <x:c r="AK183" s="68" t="str">
        <x:f>IF(COLUMN()-2&lt;=$E$3,INDEX($B$10:$B$59,RANDBETWEEN(1,$E$3)),"")</x:f>
      </x:c>
      <x:c r="AL183" s="68" t="str">
        <x:f>IF(COLUMN()-2&lt;=$E$3,INDEX($B$10:$B$59,RANDBETWEEN(1,$E$3)),"")</x:f>
      </x:c>
      <x:c r="AM183" s="68" t="str">
        <x:f>IF(COLUMN()-2&lt;=$E$3,INDEX($B$10:$B$59,RANDBETWEEN(1,$E$3)),"")</x:f>
      </x:c>
      <x:c r="AN183" s="68" t="str">
        <x:f>IF(COLUMN()-2&lt;=$E$3,INDEX($B$10:$B$59,RANDBETWEEN(1,$E$3)),"")</x:f>
      </x:c>
      <x:c r="AO183" s="68" t="str">
        <x:f>IF(COLUMN()-2&lt;=$E$3,INDEX($B$10:$B$59,RANDBETWEEN(1,$E$3)),"")</x:f>
      </x:c>
      <x:c r="AP183" s="68" t="str">
        <x:f>IF(COLUMN()-2&lt;=$E$3,INDEX($B$10:$B$59,RANDBETWEEN(1,$E$3)),"")</x:f>
      </x:c>
      <x:c r="AQ183" s="68" t="str">
        <x:f>IF(COLUMN()-2&lt;=$E$3,INDEX($B$10:$B$59,RANDBETWEEN(1,$E$3)),"")</x:f>
      </x:c>
      <x:c r="AR183" s="68" t="str">
        <x:f>IF(COLUMN()-2&lt;=$E$3,INDEX($B$10:$B$59,RANDBETWEEN(1,$E$3)),"")</x:f>
      </x:c>
      <x:c r="AS183" s="68" t="str">
        <x:f>IF(COLUMN()-2&lt;=$E$3,INDEX($B$10:$B$59,RANDBETWEEN(1,$E$3)),"")</x:f>
      </x:c>
      <x:c r="AT183" s="68" t="str">
        <x:f>IF(COLUMN()-2&lt;=$E$3,INDEX($B$10:$B$59,RANDBETWEEN(1,$E$3)),"")</x:f>
      </x:c>
      <x:c r="AU183" s="68" t="str">
        <x:f>IF(COLUMN()-2&lt;=$E$3,INDEX($B$10:$B$59,RANDBETWEEN(1,$E$3)),"")</x:f>
      </x:c>
      <x:c r="AV183" s="68" t="str">
        <x:f>IF(COLUMN()-2&lt;=$E$3,INDEX($B$10:$B$59,RANDBETWEEN(1,$E$3)),"")</x:f>
      </x:c>
      <x:c r="AW183" s="68" t="str">
        <x:f>IF(COLUMN()-2&lt;=$E$3,INDEX($B$10:$B$59,RANDBETWEEN(1,$E$3)),"")</x:f>
      </x:c>
      <x:c r="AX183" s="68" t="str">
        <x:f>IF(COLUMN()-2&lt;=$E$3,INDEX($B$10:$B$59,RANDBETWEEN(1,$E$3)),"")</x:f>
      </x:c>
      <x:c r="AY183" s="68" t="str">
        <x:f>IF(COLUMN()-2&lt;=$E$3,INDEX($B$10:$B$59,RANDBETWEEN(1,$E$3)),"")</x:f>
      </x:c>
      <x:c r="AZ183" s="68" t="str">
        <x:f>IF(COLUMN()-2&lt;=$E$3,INDEX($B$10:$B$59,RANDBETWEEN(1,$E$3)),"")</x:f>
      </x:c>
      <x:c r="BA183" s="68" t="str">
        <x:f>IF($E$3=0,"",AVERAGE(C183:AZ183))</x:f>
      </x:c>
    </x:row>
    <x:row r="184">
      <x:c r="A184" t="n">
        <x:v>120</x:v>
      </x:c>
      <x:c r="C184" s="68" t="str">
        <x:f>IF(COLUMN()-2&lt;=$E$3,INDEX($B$10:$B$59,RANDBETWEEN(1,$E$3)),"")</x:f>
      </x:c>
      <x:c r="D184" s="68" t="str">
        <x:f>IF(COLUMN()-2&lt;=$E$3,INDEX($B$10:$B$59,RANDBETWEEN(1,$E$3)),"")</x:f>
      </x:c>
      <x:c r="E184" s="68" t="str">
        <x:f>IF(COLUMN()-2&lt;=$E$3,INDEX($B$10:$B$59,RANDBETWEEN(1,$E$3)),"")</x:f>
      </x:c>
      <x:c r="F184" s="68" t="str">
        <x:f>IF(COLUMN()-2&lt;=$E$3,INDEX($B$10:$B$59,RANDBETWEEN(1,$E$3)),"")</x:f>
      </x:c>
      <x:c r="G184" s="68" t="str">
        <x:f>IF(COLUMN()-2&lt;=$E$3,INDEX($B$10:$B$59,RANDBETWEEN(1,$E$3)),"")</x:f>
      </x:c>
      <x:c r="H184" s="68" t="str">
        <x:f>IF(COLUMN()-2&lt;=$E$3,INDEX($B$10:$B$59,RANDBETWEEN(1,$E$3)),"")</x:f>
      </x:c>
      <x:c r="I184" s="68" t="str">
        <x:f>IF(COLUMN()-2&lt;=$E$3,INDEX($B$10:$B$59,RANDBETWEEN(1,$E$3)),"")</x:f>
      </x:c>
      <x:c r="J184" s="68" t="str">
        <x:f>IF(COLUMN()-2&lt;=$E$3,INDEX($B$10:$B$59,RANDBETWEEN(1,$E$3)),"")</x:f>
      </x:c>
      <x:c r="K184" s="68" t="str">
        <x:f>IF(COLUMN()-2&lt;=$E$3,INDEX($B$10:$B$59,RANDBETWEEN(1,$E$3)),"")</x:f>
      </x:c>
      <x:c r="L184" s="68" t="str">
        <x:f>IF(COLUMN()-2&lt;=$E$3,INDEX($B$10:$B$59,RANDBETWEEN(1,$E$3)),"")</x:f>
      </x:c>
      <x:c r="M184" s="68" t="str">
        <x:f>IF(COLUMN()-2&lt;=$E$3,INDEX($B$10:$B$59,RANDBETWEEN(1,$E$3)),"")</x:f>
      </x:c>
      <x:c r="N184" s="68" t="str">
        <x:f>IF(COLUMN()-2&lt;=$E$3,INDEX($B$10:$B$59,RANDBETWEEN(1,$E$3)),"")</x:f>
      </x:c>
      <x:c r="O184" s="68" t="str">
        <x:f>IF(COLUMN()-2&lt;=$E$3,INDEX($B$10:$B$59,RANDBETWEEN(1,$E$3)),"")</x:f>
      </x:c>
      <x:c r="P184" s="68" t="str">
        <x:f>IF(COLUMN()-2&lt;=$E$3,INDEX($B$10:$B$59,RANDBETWEEN(1,$E$3)),"")</x:f>
      </x:c>
      <x:c r="Q184" s="68" t="str">
        <x:f>IF(COLUMN()-2&lt;=$E$3,INDEX($B$10:$B$59,RANDBETWEEN(1,$E$3)),"")</x:f>
      </x:c>
      <x:c r="R184" s="68" t="str">
        <x:f>IF(COLUMN()-2&lt;=$E$3,INDEX($B$10:$B$59,RANDBETWEEN(1,$E$3)),"")</x:f>
      </x:c>
      <x:c r="S184" s="68" t="str">
        <x:f>IF(COLUMN()-2&lt;=$E$3,INDEX($B$10:$B$59,RANDBETWEEN(1,$E$3)),"")</x:f>
      </x:c>
      <x:c r="T184" s="68" t="str">
        <x:f>IF(COLUMN()-2&lt;=$E$3,INDEX($B$10:$B$59,RANDBETWEEN(1,$E$3)),"")</x:f>
      </x:c>
      <x:c r="U184" s="68" t="str">
        <x:f>IF(COLUMN()-2&lt;=$E$3,INDEX($B$10:$B$59,RANDBETWEEN(1,$E$3)),"")</x:f>
      </x:c>
      <x:c r="V184" s="68" t="str">
        <x:f>IF(COLUMN()-2&lt;=$E$3,INDEX($B$10:$B$59,RANDBETWEEN(1,$E$3)),"")</x:f>
      </x:c>
      <x:c r="W184" s="68" t="str">
        <x:f>IF(COLUMN()-2&lt;=$E$3,INDEX($B$10:$B$59,RANDBETWEEN(1,$E$3)),"")</x:f>
      </x:c>
      <x:c r="X184" s="68" t="str">
        <x:f>IF(COLUMN()-2&lt;=$E$3,INDEX($B$10:$B$59,RANDBETWEEN(1,$E$3)),"")</x:f>
      </x:c>
      <x:c r="Y184" s="68" t="str">
        <x:f>IF(COLUMN()-2&lt;=$E$3,INDEX($B$10:$B$59,RANDBETWEEN(1,$E$3)),"")</x:f>
      </x:c>
      <x:c r="Z184" s="68" t="str">
        <x:f>IF(COLUMN()-2&lt;=$E$3,INDEX($B$10:$B$59,RANDBETWEEN(1,$E$3)),"")</x:f>
      </x:c>
      <x:c r="AA184" s="68" t="str">
        <x:f>IF(COLUMN()-2&lt;=$E$3,INDEX($B$10:$B$59,RANDBETWEEN(1,$E$3)),"")</x:f>
      </x:c>
      <x:c r="AB184" s="68" t="str">
        <x:f>IF(COLUMN()-2&lt;=$E$3,INDEX($B$10:$B$59,RANDBETWEEN(1,$E$3)),"")</x:f>
      </x:c>
      <x:c r="AC184" s="68" t="str">
        <x:f>IF(COLUMN()-2&lt;=$E$3,INDEX($B$10:$B$59,RANDBETWEEN(1,$E$3)),"")</x:f>
      </x:c>
      <x:c r="AD184" s="68" t="str">
        <x:f>IF(COLUMN()-2&lt;=$E$3,INDEX($B$10:$B$59,RANDBETWEEN(1,$E$3)),"")</x:f>
      </x:c>
      <x:c r="AE184" s="68" t="str">
        <x:f>IF(COLUMN()-2&lt;=$E$3,INDEX($B$10:$B$59,RANDBETWEEN(1,$E$3)),"")</x:f>
      </x:c>
      <x:c r="AF184" s="68" t="str">
        <x:f>IF(COLUMN()-2&lt;=$E$3,INDEX($B$10:$B$59,RANDBETWEEN(1,$E$3)),"")</x:f>
      </x:c>
      <x:c r="AG184" s="68" t="str">
        <x:f>IF(COLUMN()-2&lt;=$E$3,INDEX($B$10:$B$59,RANDBETWEEN(1,$E$3)),"")</x:f>
      </x:c>
      <x:c r="AH184" s="68" t="str">
        <x:f>IF(COLUMN()-2&lt;=$E$3,INDEX($B$10:$B$59,RANDBETWEEN(1,$E$3)),"")</x:f>
      </x:c>
      <x:c r="AI184" s="68" t="str">
        <x:f>IF(COLUMN()-2&lt;=$E$3,INDEX($B$10:$B$59,RANDBETWEEN(1,$E$3)),"")</x:f>
      </x:c>
      <x:c r="AJ184" s="68" t="str">
        <x:f>IF(COLUMN()-2&lt;=$E$3,INDEX($B$10:$B$59,RANDBETWEEN(1,$E$3)),"")</x:f>
      </x:c>
      <x:c r="AK184" s="68" t="str">
        <x:f>IF(COLUMN()-2&lt;=$E$3,INDEX($B$10:$B$59,RANDBETWEEN(1,$E$3)),"")</x:f>
      </x:c>
      <x:c r="AL184" s="68" t="str">
        <x:f>IF(COLUMN()-2&lt;=$E$3,INDEX($B$10:$B$59,RANDBETWEEN(1,$E$3)),"")</x:f>
      </x:c>
      <x:c r="AM184" s="68" t="str">
        <x:f>IF(COLUMN()-2&lt;=$E$3,INDEX($B$10:$B$59,RANDBETWEEN(1,$E$3)),"")</x:f>
      </x:c>
      <x:c r="AN184" s="68" t="str">
        <x:f>IF(COLUMN()-2&lt;=$E$3,INDEX($B$10:$B$59,RANDBETWEEN(1,$E$3)),"")</x:f>
      </x:c>
      <x:c r="AO184" s="68" t="str">
        <x:f>IF(COLUMN()-2&lt;=$E$3,INDEX($B$10:$B$59,RANDBETWEEN(1,$E$3)),"")</x:f>
      </x:c>
      <x:c r="AP184" s="68" t="str">
        <x:f>IF(COLUMN()-2&lt;=$E$3,INDEX($B$10:$B$59,RANDBETWEEN(1,$E$3)),"")</x:f>
      </x:c>
      <x:c r="AQ184" s="68" t="str">
        <x:f>IF(COLUMN()-2&lt;=$E$3,INDEX($B$10:$B$59,RANDBETWEEN(1,$E$3)),"")</x:f>
      </x:c>
      <x:c r="AR184" s="68" t="str">
        <x:f>IF(COLUMN()-2&lt;=$E$3,INDEX($B$10:$B$59,RANDBETWEEN(1,$E$3)),"")</x:f>
      </x:c>
      <x:c r="AS184" s="68" t="str">
        <x:f>IF(COLUMN()-2&lt;=$E$3,INDEX($B$10:$B$59,RANDBETWEEN(1,$E$3)),"")</x:f>
      </x:c>
      <x:c r="AT184" s="68" t="str">
        <x:f>IF(COLUMN()-2&lt;=$E$3,INDEX($B$10:$B$59,RANDBETWEEN(1,$E$3)),"")</x:f>
      </x:c>
      <x:c r="AU184" s="68" t="str">
        <x:f>IF(COLUMN()-2&lt;=$E$3,INDEX($B$10:$B$59,RANDBETWEEN(1,$E$3)),"")</x:f>
      </x:c>
      <x:c r="AV184" s="68" t="str">
        <x:f>IF(COLUMN()-2&lt;=$E$3,INDEX($B$10:$B$59,RANDBETWEEN(1,$E$3)),"")</x:f>
      </x:c>
      <x:c r="AW184" s="68" t="str">
        <x:f>IF(COLUMN()-2&lt;=$E$3,INDEX($B$10:$B$59,RANDBETWEEN(1,$E$3)),"")</x:f>
      </x:c>
      <x:c r="AX184" s="68" t="str">
        <x:f>IF(COLUMN()-2&lt;=$E$3,INDEX($B$10:$B$59,RANDBETWEEN(1,$E$3)),"")</x:f>
      </x:c>
      <x:c r="AY184" s="68" t="str">
        <x:f>IF(COLUMN()-2&lt;=$E$3,INDEX($B$10:$B$59,RANDBETWEEN(1,$E$3)),"")</x:f>
      </x:c>
      <x:c r="AZ184" s="68" t="str">
        <x:f>IF(COLUMN()-2&lt;=$E$3,INDEX($B$10:$B$59,RANDBETWEEN(1,$E$3)),"")</x:f>
      </x:c>
      <x:c r="BA184" s="68" t="str">
        <x:f>IF($E$3=0,"",AVERAGE(C184:AZ184))</x:f>
      </x:c>
    </x:row>
    <x:row r="185">
      <x:c r="A185" t="n">
        <x:v>121</x:v>
      </x:c>
      <x:c r="C185" s="68" t="str">
        <x:f>IF(COLUMN()-2&lt;=$E$3,INDEX($B$10:$B$59,RANDBETWEEN(1,$E$3)),"")</x:f>
      </x:c>
      <x:c r="D185" s="68" t="str">
        <x:f>IF(COLUMN()-2&lt;=$E$3,INDEX($B$10:$B$59,RANDBETWEEN(1,$E$3)),"")</x:f>
      </x:c>
      <x:c r="E185" s="68" t="str">
        <x:f>IF(COLUMN()-2&lt;=$E$3,INDEX($B$10:$B$59,RANDBETWEEN(1,$E$3)),"")</x:f>
      </x:c>
      <x:c r="F185" s="68" t="str">
        <x:f>IF(COLUMN()-2&lt;=$E$3,INDEX($B$10:$B$59,RANDBETWEEN(1,$E$3)),"")</x:f>
      </x:c>
      <x:c r="G185" s="68" t="str">
        <x:f>IF(COLUMN()-2&lt;=$E$3,INDEX($B$10:$B$59,RANDBETWEEN(1,$E$3)),"")</x:f>
      </x:c>
      <x:c r="H185" s="68" t="str">
        <x:f>IF(COLUMN()-2&lt;=$E$3,INDEX($B$10:$B$59,RANDBETWEEN(1,$E$3)),"")</x:f>
      </x:c>
      <x:c r="I185" s="68" t="str">
        <x:f>IF(COLUMN()-2&lt;=$E$3,INDEX($B$10:$B$59,RANDBETWEEN(1,$E$3)),"")</x:f>
      </x:c>
      <x:c r="J185" s="68" t="str">
        <x:f>IF(COLUMN()-2&lt;=$E$3,INDEX($B$10:$B$59,RANDBETWEEN(1,$E$3)),"")</x:f>
      </x:c>
      <x:c r="K185" s="68" t="str">
        <x:f>IF(COLUMN()-2&lt;=$E$3,INDEX($B$10:$B$59,RANDBETWEEN(1,$E$3)),"")</x:f>
      </x:c>
      <x:c r="L185" s="68" t="str">
        <x:f>IF(COLUMN()-2&lt;=$E$3,INDEX($B$10:$B$59,RANDBETWEEN(1,$E$3)),"")</x:f>
      </x:c>
      <x:c r="M185" s="68" t="str">
        <x:f>IF(COLUMN()-2&lt;=$E$3,INDEX($B$10:$B$59,RANDBETWEEN(1,$E$3)),"")</x:f>
      </x:c>
      <x:c r="N185" s="68" t="str">
        <x:f>IF(COLUMN()-2&lt;=$E$3,INDEX($B$10:$B$59,RANDBETWEEN(1,$E$3)),"")</x:f>
      </x:c>
      <x:c r="O185" s="68" t="str">
        <x:f>IF(COLUMN()-2&lt;=$E$3,INDEX($B$10:$B$59,RANDBETWEEN(1,$E$3)),"")</x:f>
      </x:c>
      <x:c r="P185" s="68" t="str">
        <x:f>IF(COLUMN()-2&lt;=$E$3,INDEX($B$10:$B$59,RANDBETWEEN(1,$E$3)),"")</x:f>
      </x:c>
      <x:c r="Q185" s="68" t="str">
        <x:f>IF(COLUMN()-2&lt;=$E$3,INDEX($B$10:$B$59,RANDBETWEEN(1,$E$3)),"")</x:f>
      </x:c>
      <x:c r="R185" s="68" t="str">
        <x:f>IF(COLUMN()-2&lt;=$E$3,INDEX($B$10:$B$59,RANDBETWEEN(1,$E$3)),"")</x:f>
      </x:c>
      <x:c r="S185" s="68" t="str">
        <x:f>IF(COLUMN()-2&lt;=$E$3,INDEX($B$10:$B$59,RANDBETWEEN(1,$E$3)),"")</x:f>
      </x:c>
      <x:c r="T185" s="68" t="str">
        <x:f>IF(COLUMN()-2&lt;=$E$3,INDEX($B$10:$B$59,RANDBETWEEN(1,$E$3)),"")</x:f>
      </x:c>
      <x:c r="U185" s="68" t="str">
        <x:f>IF(COLUMN()-2&lt;=$E$3,INDEX($B$10:$B$59,RANDBETWEEN(1,$E$3)),"")</x:f>
      </x:c>
      <x:c r="V185" s="68" t="str">
        <x:f>IF(COLUMN()-2&lt;=$E$3,INDEX($B$10:$B$59,RANDBETWEEN(1,$E$3)),"")</x:f>
      </x:c>
      <x:c r="W185" s="68" t="str">
        <x:f>IF(COLUMN()-2&lt;=$E$3,INDEX($B$10:$B$59,RANDBETWEEN(1,$E$3)),"")</x:f>
      </x:c>
      <x:c r="X185" s="68" t="str">
        <x:f>IF(COLUMN()-2&lt;=$E$3,INDEX($B$10:$B$59,RANDBETWEEN(1,$E$3)),"")</x:f>
      </x:c>
      <x:c r="Y185" s="68" t="str">
        <x:f>IF(COLUMN()-2&lt;=$E$3,INDEX($B$10:$B$59,RANDBETWEEN(1,$E$3)),"")</x:f>
      </x:c>
      <x:c r="Z185" s="68" t="str">
        <x:f>IF(COLUMN()-2&lt;=$E$3,INDEX($B$10:$B$59,RANDBETWEEN(1,$E$3)),"")</x:f>
      </x:c>
      <x:c r="AA185" s="68" t="str">
        <x:f>IF(COLUMN()-2&lt;=$E$3,INDEX($B$10:$B$59,RANDBETWEEN(1,$E$3)),"")</x:f>
      </x:c>
      <x:c r="AB185" s="68" t="str">
        <x:f>IF(COLUMN()-2&lt;=$E$3,INDEX($B$10:$B$59,RANDBETWEEN(1,$E$3)),"")</x:f>
      </x:c>
      <x:c r="AC185" s="68" t="str">
        <x:f>IF(COLUMN()-2&lt;=$E$3,INDEX($B$10:$B$59,RANDBETWEEN(1,$E$3)),"")</x:f>
      </x:c>
      <x:c r="AD185" s="68" t="str">
        <x:f>IF(COLUMN()-2&lt;=$E$3,INDEX($B$10:$B$59,RANDBETWEEN(1,$E$3)),"")</x:f>
      </x:c>
      <x:c r="AE185" s="68" t="str">
        <x:f>IF(COLUMN()-2&lt;=$E$3,INDEX($B$10:$B$59,RANDBETWEEN(1,$E$3)),"")</x:f>
      </x:c>
      <x:c r="AF185" s="68" t="str">
        <x:f>IF(COLUMN()-2&lt;=$E$3,INDEX($B$10:$B$59,RANDBETWEEN(1,$E$3)),"")</x:f>
      </x:c>
      <x:c r="AG185" s="68" t="str">
        <x:f>IF(COLUMN()-2&lt;=$E$3,INDEX($B$10:$B$59,RANDBETWEEN(1,$E$3)),"")</x:f>
      </x:c>
      <x:c r="AH185" s="68" t="str">
        <x:f>IF(COLUMN()-2&lt;=$E$3,INDEX($B$10:$B$59,RANDBETWEEN(1,$E$3)),"")</x:f>
      </x:c>
      <x:c r="AI185" s="68" t="str">
        <x:f>IF(COLUMN()-2&lt;=$E$3,INDEX($B$10:$B$59,RANDBETWEEN(1,$E$3)),"")</x:f>
      </x:c>
      <x:c r="AJ185" s="68" t="str">
        <x:f>IF(COLUMN()-2&lt;=$E$3,INDEX($B$10:$B$59,RANDBETWEEN(1,$E$3)),"")</x:f>
      </x:c>
      <x:c r="AK185" s="68" t="str">
        <x:f>IF(COLUMN()-2&lt;=$E$3,INDEX($B$10:$B$59,RANDBETWEEN(1,$E$3)),"")</x:f>
      </x:c>
      <x:c r="AL185" s="68" t="str">
        <x:f>IF(COLUMN()-2&lt;=$E$3,INDEX($B$10:$B$59,RANDBETWEEN(1,$E$3)),"")</x:f>
      </x:c>
      <x:c r="AM185" s="68" t="str">
        <x:f>IF(COLUMN()-2&lt;=$E$3,INDEX($B$10:$B$59,RANDBETWEEN(1,$E$3)),"")</x:f>
      </x:c>
      <x:c r="AN185" s="68" t="str">
        <x:f>IF(COLUMN()-2&lt;=$E$3,INDEX($B$10:$B$59,RANDBETWEEN(1,$E$3)),"")</x:f>
      </x:c>
      <x:c r="AO185" s="68" t="str">
        <x:f>IF(COLUMN()-2&lt;=$E$3,INDEX($B$10:$B$59,RANDBETWEEN(1,$E$3)),"")</x:f>
      </x:c>
      <x:c r="AP185" s="68" t="str">
        <x:f>IF(COLUMN()-2&lt;=$E$3,INDEX($B$10:$B$59,RANDBETWEEN(1,$E$3)),"")</x:f>
      </x:c>
      <x:c r="AQ185" s="68" t="str">
        <x:f>IF(COLUMN()-2&lt;=$E$3,INDEX($B$10:$B$59,RANDBETWEEN(1,$E$3)),"")</x:f>
      </x:c>
      <x:c r="AR185" s="68" t="str">
        <x:f>IF(COLUMN()-2&lt;=$E$3,INDEX($B$10:$B$59,RANDBETWEEN(1,$E$3)),"")</x:f>
      </x:c>
      <x:c r="AS185" s="68" t="str">
        <x:f>IF(COLUMN()-2&lt;=$E$3,INDEX($B$10:$B$59,RANDBETWEEN(1,$E$3)),"")</x:f>
      </x:c>
      <x:c r="AT185" s="68" t="str">
        <x:f>IF(COLUMN()-2&lt;=$E$3,INDEX($B$10:$B$59,RANDBETWEEN(1,$E$3)),"")</x:f>
      </x:c>
      <x:c r="AU185" s="68" t="str">
        <x:f>IF(COLUMN()-2&lt;=$E$3,INDEX($B$10:$B$59,RANDBETWEEN(1,$E$3)),"")</x:f>
      </x:c>
      <x:c r="AV185" s="68" t="str">
        <x:f>IF(COLUMN()-2&lt;=$E$3,INDEX($B$10:$B$59,RANDBETWEEN(1,$E$3)),"")</x:f>
      </x:c>
      <x:c r="AW185" s="68" t="str">
        <x:f>IF(COLUMN()-2&lt;=$E$3,INDEX($B$10:$B$59,RANDBETWEEN(1,$E$3)),"")</x:f>
      </x:c>
      <x:c r="AX185" s="68" t="str">
        <x:f>IF(COLUMN()-2&lt;=$E$3,INDEX($B$10:$B$59,RANDBETWEEN(1,$E$3)),"")</x:f>
      </x:c>
      <x:c r="AY185" s="68" t="str">
        <x:f>IF(COLUMN()-2&lt;=$E$3,INDEX($B$10:$B$59,RANDBETWEEN(1,$E$3)),"")</x:f>
      </x:c>
      <x:c r="AZ185" s="68" t="str">
        <x:f>IF(COLUMN()-2&lt;=$E$3,INDEX($B$10:$B$59,RANDBETWEEN(1,$E$3)),"")</x:f>
      </x:c>
      <x:c r="BA185" s="68" t="str">
        <x:f>IF($E$3=0,"",AVERAGE(C185:AZ185))</x:f>
      </x:c>
    </x:row>
    <x:row r="186">
      <x:c r="A186" t="n">
        <x:v>122</x:v>
      </x:c>
      <x:c r="C186" s="68" t="str">
        <x:f>IF(COLUMN()-2&lt;=$E$3,INDEX($B$10:$B$59,RANDBETWEEN(1,$E$3)),"")</x:f>
      </x:c>
      <x:c r="D186" s="68" t="str">
        <x:f>IF(COLUMN()-2&lt;=$E$3,INDEX($B$10:$B$59,RANDBETWEEN(1,$E$3)),"")</x:f>
      </x:c>
      <x:c r="E186" s="68" t="str">
        <x:f>IF(COLUMN()-2&lt;=$E$3,INDEX($B$10:$B$59,RANDBETWEEN(1,$E$3)),"")</x:f>
      </x:c>
      <x:c r="F186" s="68" t="str">
        <x:f>IF(COLUMN()-2&lt;=$E$3,INDEX($B$10:$B$59,RANDBETWEEN(1,$E$3)),"")</x:f>
      </x:c>
      <x:c r="G186" s="68" t="str">
        <x:f>IF(COLUMN()-2&lt;=$E$3,INDEX($B$10:$B$59,RANDBETWEEN(1,$E$3)),"")</x:f>
      </x:c>
      <x:c r="H186" s="68" t="str">
        <x:f>IF(COLUMN()-2&lt;=$E$3,INDEX($B$10:$B$59,RANDBETWEEN(1,$E$3)),"")</x:f>
      </x:c>
      <x:c r="I186" s="68" t="str">
        <x:f>IF(COLUMN()-2&lt;=$E$3,INDEX($B$10:$B$59,RANDBETWEEN(1,$E$3)),"")</x:f>
      </x:c>
      <x:c r="J186" s="68" t="str">
        <x:f>IF(COLUMN()-2&lt;=$E$3,INDEX($B$10:$B$59,RANDBETWEEN(1,$E$3)),"")</x:f>
      </x:c>
      <x:c r="K186" s="68" t="str">
        <x:f>IF(COLUMN()-2&lt;=$E$3,INDEX($B$10:$B$59,RANDBETWEEN(1,$E$3)),"")</x:f>
      </x:c>
      <x:c r="L186" s="68" t="str">
        <x:f>IF(COLUMN()-2&lt;=$E$3,INDEX($B$10:$B$59,RANDBETWEEN(1,$E$3)),"")</x:f>
      </x:c>
      <x:c r="M186" s="68" t="str">
        <x:f>IF(COLUMN()-2&lt;=$E$3,INDEX($B$10:$B$59,RANDBETWEEN(1,$E$3)),"")</x:f>
      </x:c>
      <x:c r="N186" s="68" t="str">
        <x:f>IF(COLUMN()-2&lt;=$E$3,INDEX($B$10:$B$59,RANDBETWEEN(1,$E$3)),"")</x:f>
      </x:c>
      <x:c r="O186" s="68" t="str">
        <x:f>IF(COLUMN()-2&lt;=$E$3,INDEX($B$10:$B$59,RANDBETWEEN(1,$E$3)),"")</x:f>
      </x:c>
      <x:c r="P186" s="68" t="str">
        <x:f>IF(COLUMN()-2&lt;=$E$3,INDEX($B$10:$B$59,RANDBETWEEN(1,$E$3)),"")</x:f>
      </x:c>
      <x:c r="Q186" s="68" t="str">
        <x:f>IF(COLUMN()-2&lt;=$E$3,INDEX($B$10:$B$59,RANDBETWEEN(1,$E$3)),"")</x:f>
      </x:c>
      <x:c r="R186" s="68" t="str">
        <x:f>IF(COLUMN()-2&lt;=$E$3,INDEX($B$10:$B$59,RANDBETWEEN(1,$E$3)),"")</x:f>
      </x:c>
      <x:c r="S186" s="68" t="str">
        <x:f>IF(COLUMN()-2&lt;=$E$3,INDEX($B$10:$B$59,RANDBETWEEN(1,$E$3)),"")</x:f>
      </x:c>
      <x:c r="T186" s="68" t="str">
        <x:f>IF(COLUMN()-2&lt;=$E$3,INDEX($B$10:$B$59,RANDBETWEEN(1,$E$3)),"")</x:f>
      </x:c>
      <x:c r="U186" s="68" t="str">
        <x:f>IF(COLUMN()-2&lt;=$E$3,INDEX($B$10:$B$59,RANDBETWEEN(1,$E$3)),"")</x:f>
      </x:c>
      <x:c r="V186" s="68" t="str">
        <x:f>IF(COLUMN()-2&lt;=$E$3,INDEX($B$10:$B$59,RANDBETWEEN(1,$E$3)),"")</x:f>
      </x:c>
      <x:c r="W186" s="68" t="str">
        <x:f>IF(COLUMN()-2&lt;=$E$3,INDEX($B$10:$B$59,RANDBETWEEN(1,$E$3)),"")</x:f>
      </x:c>
      <x:c r="X186" s="68" t="str">
        <x:f>IF(COLUMN()-2&lt;=$E$3,INDEX($B$10:$B$59,RANDBETWEEN(1,$E$3)),"")</x:f>
      </x:c>
      <x:c r="Y186" s="68" t="str">
        <x:f>IF(COLUMN()-2&lt;=$E$3,INDEX($B$10:$B$59,RANDBETWEEN(1,$E$3)),"")</x:f>
      </x:c>
      <x:c r="Z186" s="68" t="str">
        <x:f>IF(COLUMN()-2&lt;=$E$3,INDEX($B$10:$B$59,RANDBETWEEN(1,$E$3)),"")</x:f>
      </x:c>
      <x:c r="AA186" s="68" t="str">
        <x:f>IF(COLUMN()-2&lt;=$E$3,INDEX($B$10:$B$59,RANDBETWEEN(1,$E$3)),"")</x:f>
      </x:c>
      <x:c r="AB186" s="68" t="str">
        <x:f>IF(COLUMN()-2&lt;=$E$3,INDEX($B$10:$B$59,RANDBETWEEN(1,$E$3)),"")</x:f>
      </x:c>
      <x:c r="AC186" s="68" t="str">
        <x:f>IF(COLUMN()-2&lt;=$E$3,INDEX($B$10:$B$59,RANDBETWEEN(1,$E$3)),"")</x:f>
      </x:c>
      <x:c r="AD186" s="68" t="str">
        <x:f>IF(COLUMN()-2&lt;=$E$3,INDEX($B$10:$B$59,RANDBETWEEN(1,$E$3)),"")</x:f>
      </x:c>
      <x:c r="AE186" s="68" t="str">
        <x:f>IF(COLUMN()-2&lt;=$E$3,INDEX($B$10:$B$59,RANDBETWEEN(1,$E$3)),"")</x:f>
      </x:c>
      <x:c r="AF186" s="68" t="str">
        <x:f>IF(COLUMN()-2&lt;=$E$3,INDEX($B$10:$B$59,RANDBETWEEN(1,$E$3)),"")</x:f>
      </x:c>
      <x:c r="AG186" s="68" t="str">
        <x:f>IF(COLUMN()-2&lt;=$E$3,INDEX($B$10:$B$59,RANDBETWEEN(1,$E$3)),"")</x:f>
      </x:c>
      <x:c r="AH186" s="68" t="str">
        <x:f>IF(COLUMN()-2&lt;=$E$3,INDEX($B$10:$B$59,RANDBETWEEN(1,$E$3)),"")</x:f>
      </x:c>
      <x:c r="AI186" s="68" t="str">
        <x:f>IF(COLUMN()-2&lt;=$E$3,INDEX($B$10:$B$59,RANDBETWEEN(1,$E$3)),"")</x:f>
      </x:c>
      <x:c r="AJ186" s="68" t="str">
        <x:f>IF(COLUMN()-2&lt;=$E$3,INDEX($B$10:$B$59,RANDBETWEEN(1,$E$3)),"")</x:f>
      </x:c>
      <x:c r="AK186" s="68" t="str">
        <x:f>IF(COLUMN()-2&lt;=$E$3,INDEX($B$10:$B$59,RANDBETWEEN(1,$E$3)),"")</x:f>
      </x:c>
      <x:c r="AL186" s="68" t="str">
        <x:f>IF(COLUMN()-2&lt;=$E$3,INDEX($B$10:$B$59,RANDBETWEEN(1,$E$3)),"")</x:f>
      </x:c>
      <x:c r="AM186" s="68" t="str">
        <x:f>IF(COLUMN()-2&lt;=$E$3,INDEX($B$10:$B$59,RANDBETWEEN(1,$E$3)),"")</x:f>
      </x:c>
      <x:c r="AN186" s="68" t="str">
        <x:f>IF(COLUMN()-2&lt;=$E$3,INDEX($B$10:$B$59,RANDBETWEEN(1,$E$3)),"")</x:f>
      </x:c>
      <x:c r="AO186" s="68" t="str">
        <x:f>IF(COLUMN()-2&lt;=$E$3,INDEX($B$10:$B$59,RANDBETWEEN(1,$E$3)),"")</x:f>
      </x:c>
      <x:c r="AP186" s="68" t="str">
        <x:f>IF(COLUMN()-2&lt;=$E$3,INDEX($B$10:$B$59,RANDBETWEEN(1,$E$3)),"")</x:f>
      </x:c>
      <x:c r="AQ186" s="68" t="str">
        <x:f>IF(COLUMN()-2&lt;=$E$3,INDEX($B$10:$B$59,RANDBETWEEN(1,$E$3)),"")</x:f>
      </x:c>
      <x:c r="AR186" s="68" t="str">
        <x:f>IF(COLUMN()-2&lt;=$E$3,INDEX($B$10:$B$59,RANDBETWEEN(1,$E$3)),"")</x:f>
      </x:c>
      <x:c r="AS186" s="68" t="str">
        <x:f>IF(COLUMN()-2&lt;=$E$3,INDEX($B$10:$B$59,RANDBETWEEN(1,$E$3)),"")</x:f>
      </x:c>
      <x:c r="AT186" s="68" t="str">
        <x:f>IF(COLUMN()-2&lt;=$E$3,INDEX($B$10:$B$59,RANDBETWEEN(1,$E$3)),"")</x:f>
      </x:c>
      <x:c r="AU186" s="68" t="str">
        <x:f>IF(COLUMN()-2&lt;=$E$3,INDEX($B$10:$B$59,RANDBETWEEN(1,$E$3)),"")</x:f>
      </x:c>
      <x:c r="AV186" s="68" t="str">
        <x:f>IF(COLUMN()-2&lt;=$E$3,INDEX($B$10:$B$59,RANDBETWEEN(1,$E$3)),"")</x:f>
      </x:c>
      <x:c r="AW186" s="68" t="str">
        <x:f>IF(COLUMN()-2&lt;=$E$3,INDEX($B$10:$B$59,RANDBETWEEN(1,$E$3)),"")</x:f>
      </x:c>
      <x:c r="AX186" s="68" t="str">
        <x:f>IF(COLUMN()-2&lt;=$E$3,INDEX($B$10:$B$59,RANDBETWEEN(1,$E$3)),"")</x:f>
      </x:c>
      <x:c r="AY186" s="68" t="str">
        <x:f>IF(COLUMN()-2&lt;=$E$3,INDEX($B$10:$B$59,RANDBETWEEN(1,$E$3)),"")</x:f>
      </x:c>
      <x:c r="AZ186" s="68" t="str">
        <x:f>IF(COLUMN()-2&lt;=$E$3,INDEX($B$10:$B$59,RANDBETWEEN(1,$E$3)),"")</x:f>
      </x:c>
      <x:c r="BA186" s="68" t="str">
        <x:f>IF($E$3=0,"",AVERAGE(C186:AZ186))</x:f>
      </x:c>
    </x:row>
    <x:row r="187">
      <x:c r="A187" t="n">
        <x:v>123</x:v>
      </x:c>
      <x:c r="C187" s="68" t="str">
        <x:f>IF(COLUMN()-2&lt;=$E$3,INDEX($B$10:$B$59,RANDBETWEEN(1,$E$3)),"")</x:f>
      </x:c>
      <x:c r="D187" s="68" t="str">
        <x:f>IF(COLUMN()-2&lt;=$E$3,INDEX($B$10:$B$59,RANDBETWEEN(1,$E$3)),"")</x:f>
      </x:c>
      <x:c r="E187" s="68" t="str">
        <x:f>IF(COLUMN()-2&lt;=$E$3,INDEX($B$10:$B$59,RANDBETWEEN(1,$E$3)),"")</x:f>
      </x:c>
      <x:c r="F187" s="68" t="str">
        <x:f>IF(COLUMN()-2&lt;=$E$3,INDEX($B$10:$B$59,RANDBETWEEN(1,$E$3)),"")</x:f>
      </x:c>
      <x:c r="G187" s="68" t="str">
        <x:f>IF(COLUMN()-2&lt;=$E$3,INDEX($B$10:$B$59,RANDBETWEEN(1,$E$3)),"")</x:f>
      </x:c>
      <x:c r="H187" s="68" t="str">
        <x:f>IF(COLUMN()-2&lt;=$E$3,INDEX($B$10:$B$59,RANDBETWEEN(1,$E$3)),"")</x:f>
      </x:c>
      <x:c r="I187" s="68" t="str">
        <x:f>IF(COLUMN()-2&lt;=$E$3,INDEX($B$10:$B$59,RANDBETWEEN(1,$E$3)),"")</x:f>
      </x:c>
      <x:c r="J187" s="68" t="str">
        <x:f>IF(COLUMN()-2&lt;=$E$3,INDEX($B$10:$B$59,RANDBETWEEN(1,$E$3)),"")</x:f>
      </x:c>
      <x:c r="K187" s="68" t="str">
        <x:f>IF(COLUMN()-2&lt;=$E$3,INDEX($B$10:$B$59,RANDBETWEEN(1,$E$3)),"")</x:f>
      </x:c>
      <x:c r="L187" s="68" t="str">
        <x:f>IF(COLUMN()-2&lt;=$E$3,INDEX($B$10:$B$59,RANDBETWEEN(1,$E$3)),"")</x:f>
      </x:c>
      <x:c r="M187" s="68" t="str">
        <x:f>IF(COLUMN()-2&lt;=$E$3,INDEX($B$10:$B$59,RANDBETWEEN(1,$E$3)),"")</x:f>
      </x:c>
      <x:c r="N187" s="68" t="str">
        <x:f>IF(COLUMN()-2&lt;=$E$3,INDEX($B$10:$B$59,RANDBETWEEN(1,$E$3)),"")</x:f>
      </x:c>
      <x:c r="O187" s="68" t="str">
        <x:f>IF(COLUMN()-2&lt;=$E$3,INDEX($B$10:$B$59,RANDBETWEEN(1,$E$3)),"")</x:f>
      </x:c>
      <x:c r="P187" s="68" t="str">
        <x:f>IF(COLUMN()-2&lt;=$E$3,INDEX($B$10:$B$59,RANDBETWEEN(1,$E$3)),"")</x:f>
      </x:c>
      <x:c r="Q187" s="68" t="str">
        <x:f>IF(COLUMN()-2&lt;=$E$3,INDEX($B$10:$B$59,RANDBETWEEN(1,$E$3)),"")</x:f>
      </x:c>
      <x:c r="R187" s="68" t="str">
        <x:f>IF(COLUMN()-2&lt;=$E$3,INDEX($B$10:$B$59,RANDBETWEEN(1,$E$3)),"")</x:f>
      </x:c>
      <x:c r="S187" s="68" t="str">
        <x:f>IF(COLUMN()-2&lt;=$E$3,INDEX($B$10:$B$59,RANDBETWEEN(1,$E$3)),"")</x:f>
      </x:c>
      <x:c r="T187" s="68" t="str">
        <x:f>IF(COLUMN()-2&lt;=$E$3,INDEX($B$10:$B$59,RANDBETWEEN(1,$E$3)),"")</x:f>
      </x:c>
      <x:c r="U187" s="68" t="str">
        <x:f>IF(COLUMN()-2&lt;=$E$3,INDEX($B$10:$B$59,RANDBETWEEN(1,$E$3)),"")</x:f>
      </x:c>
      <x:c r="V187" s="68" t="str">
        <x:f>IF(COLUMN()-2&lt;=$E$3,INDEX($B$10:$B$59,RANDBETWEEN(1,$E$3)),"")</x:f>
      </x:c>
      <x:c r="W187" s="68" t="str">
        <x:f>IF(COLUMN()-2&lt;=$E$3,INDEX($B$10:$B$59,RANDBETWEEN(1,$E$3)),"")</x:f>
      </x:c>
      <x:c r="X187" s="68" t="str">
        <x:f>IF(COLUMN()-2&lt;=$E$3,INDEX($B$10:$B$59,RANDBETWEEN(1,$E$3)),"")</x:f>
      </x:c>
      <x:c r="Y187" s="68" t="str">
        <x:f>IF(COLUMN()-2&lt;=$E$3,INDEX($B$10:$B$59,RANDBETWEEN(1,$E$3)),"")</x:f>
      </x:c>
      <x:c r="Z187" s="68" t="str">
        <x:f>IF(COLUMN()-2&lt;=$E$3,INDEX($B$10:$B$59,RANDBETWEEN(1,$E$3)),"")</x:f>
      </x:c>
      <x:c r="AA187" s="68" t="str">
        <x:f>IF(COLUMN()-2&lt;=$E$3,INDEX($B$10:$B$59,RANDBETWEEN(1,$E$3)),"")</x:f>
      </x:c>
      <x:c r="AB187" s="68" t="str">
        <x:f>IF(COLUMN()-2&lt;=$E$3,INDEX($B$10:$B$59,RANDBETWEEN(1,$E$3)),"")</x:f>
      </x:c>
      <x:c r="AC187" s="68" t="str">
        <x:f>IF(COLUMN()-2&lt;=$E$3,INDEX($B$10:$B$59,RANDBETWEEN(1,$E$3)),"")</x:f>
      </x:c>
      <x:c r="AD187" s="68" t="str">
        <x:f>IF(COLUMN()-2&lt;=$E$3,INDEX($B$10:$B$59,RANDBETWEEN(1,$E$3)),"")</x:f>
      </x:c>
      <x:c r="AE187" s="68" t="str">
        <x:f>IF(COLUMN()-2&lt;=$E$3,INDEX($B$10:$B$59,RANDBETWEEN(1,$E$3)),"")</x:f>
      </x:c>
      <x:c r="AF187" s="68" t="str">
        <x:f>IF(COLUMN()-2&lt;=$E$3,INDEX($B$10:$B$59,RANDBETWEEN(1,$E$3)),"")</x:f>
      </x:c>
      <x:c r="AG187" s="68" t="str">
        <x:f>IF(COLUMN()-2&lt;=$E$3,INDEX($B$10:$B$59,RANDBETWEEN(1,$E$3)),"")</x:f>
      </x:c>
      <x:c r="AH187" s="68" t="str">
        <x:f>IF(COLUMN()-2&lt;=$E$3,INDEX($B$10:$B$59,RANDBETWEEN(1,$E$3)),"")</x:f>
      </x:c>
      <x:c r="AI187" s="68" t="str">
        <x:f>IF(COLUMN()-2&lt;=$E$3,INDEX($B$10:$B$59,RANDBETWEEN(1,$E$3)),"")</x:f>
      </x:c>
      <x:c r="AJ187" s="68" t="str">
        <x:f>IF(COLUMN()-2&lt;=$E$3,INDEX($B$10:$B$59,RANDBETWEEN(1,$E$3)),"")</x:f>
      </x:c>
      <x:c r="AK187" s="68" t="str">
        <x:f>IF(COLUMN()-2&lt;=$E$3,INDEX($B$10:$B$59,RANDBETWEEN(1,$E$3)),"")</x:f>
      </x:c>
      <x:c r="AL187" s="68" t="str">
        <x:f>IF(COLUMN()-2&lt;=$E$3,INDEX($B$10:$B$59,RANDBETWEEN(1,$E$3)),"")</x:f>
      </x:c>
      <x:c r="AM187" s="68" t="str">
        <x:f>IF(COLUMN()-2&lt;=$E$3,INDEX($B$10:$B$59,RANDBETWEEN(1,$E$3)),"")</x:f>
      </x:c>
      <x:c r="AN187" s="68" t="str">
        <x:f>IF(COLUMN()-2&lt;=$E$3,INDEX($B$10:$B$59,RANDBETWEEN(1,$E$3)),"")</x:f>
      </x:c>
      <x:c r="AO187" s="68" t="str">
        <x:f>IF(COLUMN()-2&lt;=$E$3,INDEX($B$10:$B$59,RANDBETWEEN(1,$E$3)),"")</x:f>
      </x:c>
      <x:c r="AP187" s="68" t="str">
        <x:f>IF(COLUMN()-2&lt;=$E$3,INDEX($B$10:$B$59,RANDBETWEEN(1,$E$3)),"")</x:f>
      </x:c>
      <x:c r="AQ187" s="68" t="str">
        <x:f>IF(COLUMN()-2&lt;=$E$3,INDEX($B$10:$B$59,RANDBETWEEN(1,$E$3)),"")</x:f>
      </x:c>
      <x:c r="AR187" s="68" t="str">
        <x:f>IF(COLUMN()-2&lt;=$E$3,INDEX($B$10:$B$59,RANDBETWEEN(1,$E$3)),"")</x:f>
      </x:c>
      <x:c r="AS187" s="68" t="str">
        <x:f>IF(COLUMN()-2&lt;=$E$3,INDEX($B$10:$B$59,RANDBETWEEN(1,$E$3)),"")</x:f>
      </x:c>
      <x:c r="AT187" s="68" t="str">
        <x:f>IF(COLUMN()-2&lt;=$E$3,INDEX($B$10:$B$59,RANDBETWEEN(1,$E$3)),"")</x:f>
      </x:c>
      <x:c r="AU187" s="68" t="str">
        <x:f>IF(COLUMN()-2&lt;=$E$3,INDEX($B$10:$B$59,RANDBETWEEN(1,$E$3)),"")</x:f>
      </x:c>
      <x:c r="AV187" s="68" t="str">
        <x:f>IF(COLUMN()-2&lt;=$E$3,INDEX($B$10:$B$59,RANDBETWEEN(1,$E$3)),"")</x:f>
      </x:c>
      <x:c r="AW187" s="68" t="str">
        <x:f>IF(COLUMN()-2&lt;=$E$3,INDEX($B$10:$B$59,RANDBETWEEN(1,$E$3)),"")</x:f>
      </x:c>
      <x:c r="AX187" s="68" t="str">
        <x:f>IF(COLUMN()-2&lt;=$E$3,INDEX($B$10:$B$59,RANDBETWEEN(1,$E$3)),"")</x:f>
      </x:c>
      <x:c r="AY187" s="68" t="str">
        <x:f>IF(COLUMN()-2&lt;=$E$3,INDEX($B$10:$B$59,RANDBETWEEN(1,$E$3)),"")</x:f>
      </x:c>
      <x:c r="AZ187" s="68" t="str">
        <x:f>IF(COLUMN()-2&lt;=$E$3,INDEX($B$10:$B$59,RANDBETWEEN(1,$E$3)),"")</x:f>
      </x:c>
      <x:c r="BA187" s="68" t="str">
        <x:f>IF($E$3=0,"",AVERAGE(C187:AZ187))</x:f>
      </x:c>
    </x:row>
    <x:row r="188">
      <x:c r="A188" t="n">
        <x:v>124</x:v>
      </x:c>
      <x:c r="C188" s="68" t="str">
        <x:f>IF(COLUMN()-2&lt;=$E$3,INDEX($B$10:$B$59,RANDBETWEEN(1,$E$3)),"")</x:f>
      </x:c>
      <x:c r="D188" s="68" t="str">
        <x:f>IF(COLUMN()-2&lt;=$E$3,INDEX($B$10:$B$59,RANDBETWEEN(1,$E$3)),"")</x:f>
      </x:c>
      <x:c r="E188" s="68" t="str">
        <x:f>IF(COLUMN()-2&lt;=$E$3,INDEX($B$10:$B$59,RANDBETWEEN(1,$E$3)),"")</x:f>
      </x:c>
      <x:c r="F188" s="68" t="str">
        <x:f>IF(COLUMN()-2&lt;=$E$3,INDEX($B$10:$B$59,RANDBETWEEN(1,$E$3)),"")</x:f>
      </x:c>
      <x:c r="G188" s="68" t="str">
        <x:f>IF(COLUMN()-2&lt;=$E$3,INDEX($B$10:$B$59,RANDBETWEEN(1,$E$3)),"")</x:f>
      </x:c>
      <x:c r="H188" s="68" t="str">
        <x:f>IF(COLUMN()-2&lt;=$E$3,INDEX($B$10:$B$59,RANDBETWEEN(1,$E$3)),"")</x:f>
      </x:c>
      <x:c r="I188" s="68" t="str">
        <x:f>IF(COLUMN()-2&lt;=$E$3,INDEX($B$10:$B$59,RANDBETWEEN(1,$E$3)),"")</x:f>
      </x:c>
      <x:c r="J188" s="68" t="str">
        <x:f>IF(COLUMN()-2&lt;=$E$3,INDEX($B$10:$B$59,RANDBETWEEN(1,$E$3)),"")</x:f>
      </x:c>
      <x:c r="K188" s="68" t="str">
        <x:f>IF(COLUMN()-2&lt;=$E$3,INDEX($B$10:$B$59,RANDBETWEEN(1,$E$3)),"")</x:f>
      </x:c>
      <x:c r="L188" s="68" t="str">
        <x:f>IF(COLUMN()-2&lt;=$E$3,INDEX($B$10:$B$59,RANDBETWEEN(1,$E$3)),"")</x:f>
      </x:c>
      <x:c r="M188" s="68" t="str">
        <x:f>IF(COLUMN()-2&lt;=$E$3,INDEX($B$10:$B$59,RANDBETWEEN(1,$E$3)),"")</x:f>
      </x:c>
      <x:c r="N188" s="68" t="str">
        <x:f>IF(COLUMN()-2&lt;=$E$3,INDEX($B$10:$B$59,RANDBETWEEN(1,$E$3)),"")</x:f>
      </x:c>
      <x:c r="O188" s="68" t="str">
        <x:f>IF(COLUMN()-2&lt;=$E$3,INDEX($B$10:$B$59,RANDBETWEEN(1,$E$3)),"")</x:f>
      </x:c>
      <x:c r="P188" s="68" t="str">
        <x:f>IF(COLUMN()-2&lt;=$E$3,INDEX($B$10:$B$59,RANDBETWEEN(1,$E$3)),"")</x:f>
      </x:c>
      <x:c r="Q188" s="68" t="str">
        <x:f>IF(COLUMN()-2&lt;=$E$3,INDEX($B$10:$B$59,RANDBETWEEN(1,$E$3)),"")</x:f>
      </x:c>
      <x:c r="R188" s="68" t="str">
        <x:f>IF(COLUMN()-2&lt;=$E$3,INDEX($B$10:$B$59,RANDBETWEEN(1,$E$3)),"")</x:f>
      </x:c>
      <x:c r="S188" s="68" t="str">
        <x:f>IF(COLUMN()-2&lt;=$E$3,INDEX($B$10:$B$59,RANDBETWEEN(1,$E$3)),"")</x:f>
      </x:c>
      <x:c r="T188" s="68" t="str">
        <x:f>IF(COLUMN()-2&lt;=$E$3,INDEX($B$10:$B$59,RANDBETWEEN(1,$E$3)),"")</x:f>
      </x:c>
      <x:c r="U188" s="68" t="str">
        <x:f>IF(COLUMN()-2&lt;=$E$3,INDEX($B$10:$B$59,RANDBETWEEN(1,$E$3)),"")</x:f>
      </x:c>
      <x:c r="V188" s="68" t="str">
        <x:f>IF(COLUMN()-2&lt;=$E$3,INDEX($B$10:$B$59,RANDBETWEEN(1,$E$3)),"")</x:f>
      </x:c>
      <x:c r="W188" s="68" t="str">
        <x:f>IF(COLUMN()-2&lt;=$E$3,INDEX($B$10:$B$59,RANDBETWEEN(1,$E$3)),"")</x:f>
      </x:c>
      <x:c r="X188" s="68" t="str">
        <x:f>IF(COLUMN()-2&lt;=$E$3,INDEX($B$10:$B$59,RANDBETWEEN(1,$E$3)),"")</x:f>
      </x:c>
      <x:c r="Y188" s="68" t="str">
        <x:f>IF(COLUMN()-2&lt;=$E$3,INDEX($B$10:$B$59,RANDBETWEEN(1,$E$3)),"")</x:f>
      </x:c>
      <x:c r="Z188" s="68" t="str">
        <x:f>IF(COLUMN()-2&lt;=$E$3,INDEX($B$10:$B$59,RANDBETWEEN(1,$E$3)),"")</x:f>
      </x:c>
      <x:c r="AA188" s="68" t="str">
        <x:f>IF(COLUMN()-2&lt;=$E$3,INDEX($B$10:$B$59,RANDBETWEEN(1,$E$3)),"")</x:f>
      </x:c>
      <x:c r="AB188" s="68" t="str">
        <x:f>IF(COLUMN()-2&lt;=$E$3,INDEX($B$10:$B$59,RANDBETWEEN(1,$E$3)),"")</x:f>
      </x:c>
      <x:c r="AC188" s="68" t="str">
        <x:f>IF(COLUMN()-2&lt;=$E$3,INDEX($B$10:$B$59,RANDBETWEEN(1,$E$3)),"")</x:f>
      </x:c>
      <x:c r="AD188" s="68" t="str">
        <x:f>IF(COLUMN()-2&lt;=$E$3,INDEX($B$10:$B$59,RANDBETWEEN(1,$E$3)),"")</x:f>
      </x:c>
      <x:c r="AE188" s="68" t="str">
        <x:f>IF(COLUMN()-2&lt;=$E$3,INDEX($B$10:$B$59,RANDBETWEEN(1,$E$3)),"")</x:f>
      </x:c>
      <x:c r="AF188" s="68" t="str">
        <x:f>IF(COLUMN()-2&lt;=$E$3,INDEX($B$10:$B$59,RANDBETWEEN(1,$E$3)),"")</x:f>
      </x:c>
      <x:c r="AG188" s="68" t="str">
        <x:f>IF(COLUMN()-2&lt;=$E$3,INDEX($B$10:$B$59,RANDBETWEEN(1,$E$3)),"")</x:f>
      </x:c>
      <x:c r="AH188" s="68" t="str">
        <x:f>IF(COLUMN()-2&lt;=$E$3,INDEX($B$10:$B$59,RANDBETWEEN(1,$E$3)),"")</x:f>
      </x:c>
      <x:c r="AI188" s="68" t="str">
        <x:f>IF(COLUMN()-2&lt;=$E$3,INDEX($B$10:$B$59,RANDBETWEEN(1,$E$3)),"")</x:f>
      </x:c>
      <x:c r="AJ188" s="68" t="str">
        <x:f>IF(COLUMN()-2&lt;=$E$3,INDEX($B$10:$B$59,RANDBETWEEN(1,$E$3)),"")</x:f>
      </x:c>
      <x:c r="AK188" s="68" t="str">
        <x:f>IF(COLUMN()-2&lt;=$E$3,INDEX($B$10:$B$59,RANDBETWEEN(1,$E$3)),"")</x:f>
      </x:c>
      <x:c r="AL188" s="68" t="str">
        <x:f>IF(COLUMN()-2&lt;=$E$3,INDEX($B$10:$B$59,RANDBETWEEN(1,$E$3)),"")</x:f>
      </x:c>
      <x:c r="AM188" s="68" t="str">
        <x:f>IF(COLUMN()-2&lt;=$E$3,INDEX($B$10:$B$59,RANDBETWEEN(1,$E$3)),"")</x:f>
      </x:c>
      <x:c r="AN188" s="68" t="str">
        <x:f>IF(COLUMN()-2&lt;=$E$3,INDEX($B$10:$B$59,RANDBETWEEN(1,$E$3)),"")</x:f>
      </x:c>
      <x:c r="AO188" s="68" t="str">
        <x:f>IF(COLUMN()-2&lt;=$E$3,INDEX($B$10:$B$59,RANDBETWEEN(1,$E$3)),"")</x:f>
      </x:c>
      <x:c r="AP188" s="68" t="str">
        <x:f>IF(COLUMN()-2&lt;=$E$3,INDEX($B$10:$B$59,RANDBETWEEN(1,$E$3)),"")</x:f>
      </x:c>
      <x:c r="AQ188" s="68" t="str">
        <x:f>IF(COLUMN()-2&lt;=$E$3,INDEX($B$10:$B$59,RANDBETWEEN(1,$E$3)),"")</x:f>
      </x:c>
      <x:c r="AR188" s="68" t="str">
        <x:f>IF(COLUMN()-2&lt;=$E$3,INDEX($B$10:$B$59,RANDBETWEEN(1,$E$3)),"")</x:f>
      </x:c>
      <x:c r="AS188" s="68" t="str">
        <x:f>IF(COLUMN()-2&lt;=$E$3,INDEX($B$10:$B$59,RANDBETWEEN(1,$E$3)),"")</x:f>
      </x:c>
      <x:c r="AT188" s="68" t="str">
        <x:f>IF(COLUMN()-2&lt;=$E$3,INDEX($B$10:$B$59,RANDBETWEEN(1,$E$3)),"")</x:f>
      </x:c>
      <x:c r="AU188" s="68" t="str">
        <x:f>IF(COLUMN()-2&lt;=$E$3,INDEX($B$10:$B$59,RANDBETWEEN(1,$E$3)),"")</x:f>
      </x:c>
      <x:c r="AV188" s="68" t="str">
        <x:f>IF(COLUMN()-2&lt;=$E$3,INDEX($B$10:$B$59,RANDBETWEEN(1,$E$3)),"")</x:f>
      </x:c>
      <x:c r="AW188" s="68" t="str">
        <x:f>IF(COLUMN()-2&lt;=$E$3,INDEX($B$10:$B$59,RANDBETWEEN(1,$E$3)),"")</x:f>
      </x:c>
      <x:c r="AX188" s="68" t="str">
        <x:f>IF(COLUMN()-2&lt;=$E$3,INDEX($B$10:$B$59,RANDBETWEEN(1,$E$3)),"")</x:f>
      </x:c>
      <x:c r="AY188" s="68" t="str">
        <x:f>IF(COLUMN()-2&lt;=$E$3,INDEX($B$10:$B$59,RANDBETWEEN(1,$E$3)),"")</x:f>
      </x:c>
      <x:c r="AZ188" s="68" t="str">
        <x:f>IF(COLUMN()-2&lt;=$E$3,INDEX($B$10:$B$59,RANDBETWEEN(1,$E$3)),"")</x:f>
      </x:c>
      <x:c r="BA188" s="68" t="str">
        <x:f>IF($E$3=0,"",AVERAGE(C188:AZ188))</x:f>
      </x:c>
    </x:row>
    <x:row r="189">
      <x:c r="A189" t="n">
        <x:v>125</x:v>
      </x:c>
      <x:c r="C189" s="68" t="str">
        <x:f>IF(COLUMN()-2&lt;=$E$3,INDEX($B$10:$B$59,RANDBETWEEN(1,$E$3)),"")</x:f>
      </x:c>
      <x:c r="D189" s="68" t="str">
        <x:f>IF(COLUMN()-2&lt;=$E$3,INDEX($B$10:$B$59,RANDBETWEEN(1,$E$3)),"")</x:f>
      </x:c>
      <x:c r="E189" s="68" t="str">
        <x:f>IF(COLUMN()-2&lt;=$E$3,INDEX($B$10:$B$59,RANDBETWEEN(1,$E$3)),"")</x:f>
      </x:c>
      <x:c r="F189" s="68" t="str">
        <x:f>IF(COLUMN()-2&lt;=$E$3,INDEX($B$10:$B$59,RANDBETWEEN(1,$E$3)),"")</x:f>
      </x:c>
      <x:c r="G189" s="68" t="str">
        <x:f>IF(COLUMN()-2&lt;=$E$3,INDEX($B$10:$B$59,RANDBETWEEN(1,$E$3)),"")</x:f>
      </x:c>
      <x:c r="H189" s="68" t="str">
        <x:f>IF(COLUMN()-2&lt;=$E$3,INDEX($B$10:$B$59,RANDBETWEEN(1,$E$3)),"")</x:f>
      </x:c>
      <x:c r="I189" s="68" t="str">
        <x:f>IF(COLUMN()-2&lt;=$E$3,INDEX($B$10:$B$59,RANDBETWEEN(1,$E$3)),"")</x:f>
      </x:c>
      <x:c r="J189" s="68" t="str">
        <x:f>IF(COLUMN()-2&lt;=$E$3,INDEX($B$10:$B$59,RANDBETWEEN(1,$E$3)),"")</x:f>
      </x:c>
      <x:c r="K189" s="68" t="str">
        <x:f>IF(COLUMN()-2&lt;=$E$3,INDEX($B$10:$B$59,RANDBETWEEN(1,$E$3)),"")</x:f>
      </x:c>
      <x:c r="L189" s="68" t="str">
        <x:f>IF(COLUMN()-2&lt;=$E$3,INDEX($B$10:$B$59,RANDBETWEEN(1,$E$3)),"")</x:f>
      </x:c>
      <x:c r="M189" s="68" t="str">
        <x:f>IF(COLUMN()-2&lt;=$E$3,INDEX($B$10:$B$59,RANDBETWEEN(1,$E$3)),"")</x:f>
      </x:c>
      <x:c r="N189" s="68" t="str">
        <x:f>IF(COLUMN()-2&lt;=$E$3,INDEX($B$10:$B$59,RANDBETWEEN(1,$E$3)),"")</x:f>
      </x:c>
      <x:c r="O189" s="68" t="str">
        <x:f>IF(COLUMN()-2&lt;=$E$3,INDEX($B$10:$B$59,RANDBETWEEN(1,$E$3)),"")</x:f>
      </x:c>
      <x:c r="P189" s="68" t="str">
        <x:f>IF(COLUMN()-2&lt;=$E$3,INDEX($B$10:$B$59,RANDBETWEEN(1,$E$3)),"")</x:f>
      </x:c>
      <x:c r="Q189" s="68" t="str">
        <x:f>IF(COLUMN()-2&lt;=$E$3,INDEX($B$10:$B$59,RANDBETWEEN(1,$E$3)),"")</x:f>
      </x:c>
      <x:c r="R189" s="68" t="str">
        <x:f>IF(COLUMN()-2&lt;=$E$3,INDEX($B$10:$B$59,RANDBETWEEN(1,$E$3)),"")</x:f>
      </x:c>
      <x:c r="S189" s="68" t="str">
        <x:f>IF(COLUMN()-2&lt;=$E$3,INDEX($B$10:$B$59,RANDBETWEEN(1,$E$3)),"")</x:f>
      </x:c>
      <x:c r="T189" s="68" t="str">
        <x:f>IF(COLUMN()-2&lt;=$E$3,INDEX($B$10:$B$59,RANDBETWEEN(1,$E$3)),"")</x:f>
      </x:c>
      <x:c r="U189" s="68" t="str">
        <x:f>IF(COLUMN()-2&lt;=$E$3,INDEX($B$10:$B$59,RANDBETWEEN(1,$E$3)),"")</x:f>
      </x:c>
      <x:c r="V189" s="68" t="str">
        <x:f>IF(COLUMN()-2&lt;=$E$3,INDEX($B$10:$B$59,RANDBETWEEN(1,$E$3)),"")</x:f>
      </x:c>
      <x:c r="W189" s="68" t="str">
        <x:f>IF(COLUMN()-2&lt;=$E$3,INDEX($B$10:$B$59,RANDBETWEEN(1,$E$3)),"")</x:f>
      </x:c>
      <x:c r="X189" s="68" t="str">
        <x:f>IF(COLUMN()-2&lt;=$E$3,INDEX($B$10:$B$59,RANDBETWEEN(1,$E$3)),"")</x:f>
      </x:c>
      <x:c r="Y189" s="68" t="str">
        <x:f>IF(COLUMN()-2&lt;=$E$3,INDEX($B$10:$B$59,RANDBETWEEN(1,$E$3)),"")</x:f>
      </x:c>
      <x:c r="Z189" s="68" t="str">
        <x:f>IF(COLUMN()-2&lt;=$E$3,INDEX($B$10:$B$59,RANDBETWEEN(1,$E$3)),"")</x:f>
      </x:c>
      <x:c r="AA189" s="68" t="str">
        <x:f>IF(COLUMN()-2&lt;=$E$3,INDEX($B$10:$B$59,RANDBETWEEN(1,$E$3)),"")</x:f>
      </x:c>
      <x:c r="AB189" s="68" t="str">
        <x:f>IF(COLUMN()-2&lt;=$E$3,INDEX($B$10:$B$59,RANDBETWEEN(1,$E$3)),"")</x:f>
      </x:c>
      <x:c r="AC189" s="68" t="str">
        <x:f>IF(COLUMN()-2&lt;=$E$3,INDEX($B$10:$B$59,RANDBETWEEN(1,$E$3)),"")</x:f>
      </x:c>
      <x:c r="AD189" s="68" t="str">
        <x:f>IF(COLUMN()-2&lt;=$E$3,INDEX($B$10:$B$59,RANDBETWEEN(1,$E$3)),"")</x:f>
      </x:c>
      <x:c r="AE189" s="68" t="str">
        <x:f>IF(COLUMN()-2&lt;=$E$3,INDEX($B$10:$B$59,RANDBETWEEN(1,$E$3)),"")</x:f>
      </x:c>
      <x:c r="AF189" s="68" t="str">
        <x:f>IF(COLUMN()-2&lt;=$E$3,INDEX($B$10:$B$59,RANDBETWEEN(1,$E$3)),"")</x:f>
      </x:c>
      <x:c r="AG189" s="68" t="str">
        <x:f>IF(COLUMN()-2&lt;=$E$3,INDEX($B$10:$B$59,RANDBETWEEN(1,$E$3)),"")</x:f>
      </x:c>
      <x:c r="AH189" s="68" t="str">
        <x:f>IF(COLUMN()-2&lt;=$E$3,INDEX($B$10:$B$59,RANDBETWEEN(1,$E$3)),"")</x:f>
      </x:c>
      <x:c r="AI189" s="68" t="str">
        <x:f>IF(COLUMN()-2&lt;=$E$3,INDEX($B$10:$B$59,RANDBETWEEN(1,$E$3)),"")</x:f>
      </x:c>
      <x:c r="AJ189" s="68" t="str">
        <x:f>IF(COLUMN()-2&lt;=$E$3,INDEX($B$10:$B$59,RANDBETWEEN(1,$E$3)),"")</x:f>
      </x:c>
      <x:c r="AK189" s="68" t="str">
        <x:f>IF(COLUMN()-2&lt;=$E$3,INDEX($B$10:$B$59,RANDBETWEEN(1,$E$3)),"")</x:f>
      </x:c>
      <x:c r="AL189" s="68" t="str">
        <x:f>IF(COLUMN()-2&lt;=$E$3,INDEX($B$10:$B$59,RANDBETWEEN(1,$E$3)),"")</x:f>
      </x:c>
      <x:c r="AM189" s="68" t="str">
        <x:f>IF(COLUMN()-2&lt;=$E$3,INDEX($B$10:$B$59,RANDBETWEEN(1,$E$3)),"")</x:f>
      </x:c>
      <x:c r="AN189" s="68" t="str">
        <x:f>IF(COLUMN()-2&lt;=$E$3,INDEX($B$10:$B$59,RANDBETWEEN(1,$E$3)),"")</x:f>
      </x:c>
      <x:c r="AO189" s="68" t="str">
        <x:f>IF(COLUMN()-2&lt;=$E$3,INDEX($B$10:$B$59,RANDBETWEEN(1,$E$3)),"")</x:f>
      </x:c>
      <x:c r="AP189" s="68" t="str">
        <x:f>IF(COLUMN()-2&lt;=$E$3,INDEX($B$10:$B$59,RANDBETWEEN(1,$E$3)),"")</x:f>
      </x:c>
      <x:c r="AQ189" s="68" t="str">
        <x:f>IF(COLUMN()-2&lt;=$E$3,INDEX($B$10:$B$59,RANDBETWEEN(1,$E$3)),"")</x:f>
      </x:c>
      <x:c r="AR189" s="68" t="str">
        <x:f>IF(COLUMN()-2&lt;=$E$3,INDEX($B$10:$B$59,RANDBETWEEN(1,$E$3)),"")</x:f>
      </x:c>
      <x:c r="AS189" s="68" t="str">
        <x:f>IF(COLUMN()-2&lt;=$E$3,INDEX($B$10:$B$59,RANDBETWEEN(1,$E$3)),"")</x:f>
      </x:c>
      <x:c r="AT189" s="68" t="str">
        <x:f>IF(COLUMN()-2&lt;=$E$3,INDEX($B$10:$B$59,RANDBETWEEN(1,$E$3)),"")</x:f>
      </x:c>
      <x:c r="AU189" s="68" t="str">
        <x:f>IF(COLUMN()-2&lt;=$E$3,INDEX($B$10:$B$59,RANDBETWEEN(1,$E$3)),"")</x:f>
      </x:c>
      <x:c r="AV189" s="68" t="str">
        <x:f>IF(COLUMN()-2&lt;=$E$3,INDEX($B$10:$B$59,RANDBETWEEN(1,$E$3)),"")</x:f>
      </x:c>
      <x:c r="AW189" s="68" t="str">
        <x:f>IF(COLUMN()-2&lt;=$E$3,INDEX($B$10:$B$59,RANDBETWEEN(1,$E$3)),"")</x:f>
      </x:c>
      <x:c r="AX189" s="68" t="str">
        <x:f>IF(COLUMN()-2&lt;=$E$3,INDEX($B$10:$B$59,RANDBETWEEN(1,$E$3)),"")</x:f>
      </x:c>
      <x:c r="AY189" s="68" t="str">
        <x:f>IF(COLUMN()-2&lt;=$E$3,INDEX($B$10:$B$59,RANDBETWEEN(1,$E$3)),"")</x:f>
      </x:c>
      <x:c r="AZ189" s="68" t="str">
        <x:f>IF(COLUMN()-2&lt;=$E$3,INDEX($B$10:$B$59,RANDBETWEEN(1,$E$3)),"")</x:f>
      </x:c>
      <x:c r="BA189" s="68" t="str">
        <x:f>IF($E$3=0,"",AVERAGE(C189:AZ189))</x:f>
      </x:c>
    </x:row>
    <x:row r="190">
      <x:c r="A190" t="n">
        <x:v>126</x:v>
      </x:c>
      <x:c r="C190" s="68" t="str">
        <x:f>IF(COLUMN()-2&lt;=$E$3,INDEX($B$10:$B$59,RANDBETWEEN(1,$E$3)),"")</x:f>
      </x:c>
      <x:c r="D190" s="68" t="str">
        <x:f>IF(COLUMN()-2&lt;=$E$3,INDEX($B$10:$B$59,RANDBETWEEN(1,$E$3)),"")</x:f>
      </x:c>
      <x:c r="E190" s="68" t="str">
        <x:f>IF(COLUMN()-2&lt;=$E$3,INDEX($B$10:$B$59,RANDBETWEEN(1,$E$3)),"")</x:f>
      </x:c>
      <x:c r="F190" s="68" t="str">
        <x:f>IF(COLUMN()-2&lt;=$E$3,INDEX($B$10:$B$59,RANDBETWEEN(1,$E$3)),"")</x:f>
      </x:c>
      <x:c r="G190" s="68" t="str">
        <x:f>IF(COLUMN()-2&lt;=$E$3,INDEX($B$10:$B$59,RANDBETWEEN(1,$E$3)),"")</x:f>
      </x:c>
      <x:c r="H190" s="68" t="str">
        <x:f>IF(COLUMN()-2&lt;=$E$3,INDEX($B$10:$B$59,RANDBETWEEN(1,$E$3)),"")</x:f>
      </x:c>
      <x:c r="I190" s="68" t="str">
        <x:f>IF(COLUMN()-2&lt;=$E$3,INDEX($B$10:$B$59,RANDBETWEEN(1,$E$3)),"")</x:f>
      </x:c>
      <x:c r="J190" s="68" t="str">
        <x:f>IF(COLUMN()-2&lt;=$E$3,INDEX($B$10:$B$59,RANDBETWEEN(1,$E$3)),"")</x:f>
      </x:c>
      <x:c r="K190" s="68" t="str">
        <x:f>IF(COLUMN()-2&lt;=$E$3,INDEX($B$10:$B$59,RANDBETWEEN(1,$E$3)),"")</x:f>
      </x:c>
      <x:c r="L190" s="68" t="str">
        <x:f>IF(COLUMN()-2&lt;=$E$3,INDEX($B$10:$B$59,RANDBETWEEN(1,$E$3)),"")</x:f>
      </x:c>
      <x:c r="M190" s="68" t="str">
        <x:f>IF(COLUMN()-2&lt;=$E$3,INDEX($B$10:$B$59,RANDBETWEEN(1,$E$3)),"")</x:f>
      </x:c>
      <x:c r="N190" s="68" t="str">
        <x:f>IF(COLUMN()-2&lt;=$E$3,INDEX($B$10:$B$59,RANDBETWEEN(1,$E$3)),"")</x:f>
      </x:c>
      <x:c r="O190" s="68" t="str">
        <x:f>IF(COLUMN()-2&lt;=$E$3,INDEX($B$10:$B$59,RANDBETWEEN(1,$E$3)),"")</x:f>
      </x:c>
      <x:c r="P190" s="68" t="str">
        <x:f>IF(COLUMN()-2&lt;=$E$3,INDEX($B$10:$B$59,RANDBETWEEN(1,$E$3)),"")</x:f>
      </x:c>
      <x:c r="Q190" s="68" t="str">
        <x:f>IF(COLUMN()-2&lt;=$E$3,INDEX($B$10:$B$59,RANDBETWEEN(1,$E$3)),"")</x:f>
      </x:c>
      <x:c r="R190" s="68" t="str">
        <x:f>IF(COLUMN()-2&lt;=$E$3,INDEX($B$10:$B$59,RANDBETWEEN(1,$E$3)),"")</x:f>
      </x:c>
      <x:c r="S190" s="68" t="str">
        <x:f>IF(COLUMN()-2&lt;=$E$3,INDEX($B$10:$B$59,RANDBETWEEN(1,$E$3)),"")</x:f>
      </x:c>
      <x:c r="T190" s="68" t="str">
        <x:f>IF(COLUMN()-2&lt;=$E$3,INDEX($B$10:$B$59,RANDBETWEEN(1,$E$3)),"")</x:f>
      </x:c>
      <x:c r="U190" s="68" t="str">
        <x:f>IF(COLUMN()-2&lt;=$E$3,INDEX($B$10:$B$59,RANDBETWEEN(1,$E$3)),"")</x:f>
      </x:c>
      <x:c r="V190" s="68" t="str">
        <x:f>IF(COLUMN()-2&lt;=$E$3,INDEX($B$10:$B$59,RANDBETWEEN(1,$E$3)),"")</x:f>
      </x:c>
      <x:c r="W190" s="68" t="str">
        <x:f>IF(COLUMN()-2&lt;=$E$3,INDEX($B$10:$B$59,RANDBETWEEN(1,$E$3)),"")</x:f>
      </x:c>
      <x:c r="X190" s="68" t="str">
        <x:f>IF(COLUMN()-2&lt;=$E$3,INDEX($B$10:$B$59,RANDBETWEEN(1,$E$3)),"")</x:f>
      </x:c>
      <x:c r="Y190" s="68" t="str">
        <x:f>IF(COLUMN()-2&lt;=$E$3,INDEX($B$10:$B$59,RANDBETWEEN(1,$E$3)),"")</x:f>
      </x:c>
      <x:c r="Z190" s="68" t="str">
        <x:f>IF(COLUMN()-2&lt;=$E$3,INDEX($B$10:$B$59,RANDBETWEEN(1,$E$3)),"")</x:f>
      </x:c>
      <x:c r="AA190" s="68" t="str">
        <x:f>IF(COLUMN()-2&lt;=$E$3,INDEX($B$10:$B$59,RANDBETWEEN(1,$E$3)),"")</x:f>
      </x:c>
      <x:c r="AB190" s="68" t="str">
        <x:f>IF(COLUMN()-2&lt;=$E$3,INDEX($B$10:$B$59,RANDBETWEEN(1,$E$3)),"")</x:f>
      </x:c>
      <x:c r="AC190" s="68" t="str">
        <x:f>IF(COLUMN()-2&lt;=$E$3,INDEX($B$10:$B$59,RANDBETWEEN(1,$E$3)),"")</x:f>
      </x:c>
      <x:c r="AD190" s="68" t="str">
        <x:f>IF(COLUMN()-2&lt;=$E$3,INDEX($B$10:$B$59,RANDBETWEEN(1,$E$3)),"")</x:f>
      </x:c>
      <x:c r="AE190" s="68" t="str">
        <x:f>IF(COLUMN()-2&lt;=$E$3,INDEX($B$10:$B$59,RANDBETWEEN(1,$E$3)),"")</x:f>
      </x:c>
      <x:c r="AF190" s="68" t="str">
        <x:f>IF(COLUMN()-2&lt;=$E$3,INDEX($B$10:$B$59,RANDBETWEEN(1,$E$3)),"")</x:f>
      </x:c>
      <x:c r="AG190" s="68" t="str">
        <x:f>IF(COLUMN()-2&lt;=$E$3,INDEX($B$10:$B$59,RANDBETWEEN(1,$E$3)),"")</x:f>
      </x:c>
      <x:c r="AH190" s="68" t="str">
        <x:f>IF(COLUMN()-2&lt;=$E$3,INDEX($B$10:$B$59,RANDBETWEEN(1,$E$3)),"")</x:f>
      </x:c>
      <x:c r="AI190" s="68" t="str">
        <x:f>IF(COLUMN()-2&lt;=$E$3,INDEX($B$10:$B$59,RANDBETWEEN(1,$E$3)),"")</x:f>
      </x:c>
      <x:c r="AJ190" s="68" t="str">
        <x:f>IF(COLUMN()-2&lt;=$E$3,INDEX($B$10:$B$59,RANDBETWEEN(1,$E$3)),"")</x:f>
      </x:c>
      <x:c r="AK190" s="68" t="str">
        <x:f>IF(COLUMN()-2&lt;=$E$3,INDEX($B$10:$B$59,RANDBETWEEN(1,$E$3)),"")</x:f>
      </x:c>
      <x:c r="AL190" s="68" t="str">
        <x:f>IF(COLUMN()-2&lt;=$E$3,INDEX($B$10:$B$59,RANDBETWEEN(1,$E$3)),"")</x:f>
      </x:c>
      <x:c r="AM190" s="68" t="str">
        <x:f>IF(COLUMN()-2&lt;=$E$3,INDEX($B$10:$B$59,RANDBETWEEN(1,$E$3)),"")</x:f>
      </x:c>
      <x:c r="AN190" s="68" t="str">
        <x:f>IF(COLUMN()-2&lt;=$E$3,INDEX($B$10:$B$59,RANDBETWEEN(1,$E$3)),"")</x:f>
      </x:c>
      <x:c r="AO190" s="68" t="str">
        <x:f>IF(COLUMN()-2&lt;=$E$3,INDEX($B$10:$B$59,RANDBETWEEN(1,$E$3)),"")</x:f>
      </x:c>
      <x:c r="AP190" s="68" t="str">
        <x:f>IF(COLUMN()-2&lt;=$E$3,INDEX($B$10:$B$59,RANDBETWEEN(1,$E$3)),"")</x:f>
      </x:c>
      <x:c r="AQ190" s="68" t="str">
        <x:f>IF(COLUMN()-2&lt;=$E$3,INDEX($B$10:$B$59,RANDBETWEEN(1,$E$3)),"")</x:f>
      </x:c>
      <x:c r="AR190" s="68" t="str">
        <x:f>IF(COLUMN()-2&lt;=$E$3,INDEX($B$10:$B$59,RANDBETWEEN(1,$E$3)),"")</x:f>
      </x:c>
      <x:c r="AS190" s="68" t="str">
        <x:f>IF(COLUMN()-2&lt;=$E$3,INDEX($B$10:$B$59,RANDBETWEEN(1,$E$3)),"")</x:f>
      </x:c>
      <x:c r="AT190" s="68" t="str">
        <x:f>IF(COLUMN()-2&lt;=$E$3,INDEX($B$10:$B$59,RANDBETWEEN(1,$E$3)),"")</x:f>
      </x:c>
      <x:c r="AU190" s="68" t="str">
        <x:f>IF(COLUMN()-2&lt;=$E$3,INDEX($B$10:$B$59,RANDBETWEEN(1,$E$3)),"")</x:f>
      </x:c>
      <x:c r="AV190" s="68" t="str">
        <x:f>IF(COLUMN()-2&lt;=$E$3,INDEX($B$10:$B$59,RANDBETWEEN(1,$E$3)),"")</x:f>
      </x:c>
      <x:c r="AW190" s="68" t="str">
        <x:f>IF(COLUMN()-2&lt;=$E$3,INDEX($B$10:$B$59,RANDBETWEEN(1,$E$3)),"")</x:f>
      </x:c>
      <x:c r="AX190" s="68" t="str">
        <x:f>IF(COLUMN()-2&lt;=$E$3,INDEX($B$10:$B$59,RANDBETWEEN(1,$E$3)),"")</x:f>
      </x:c>
      <x:c r="AY190" s="68" t="str">
        <x:f>IF(COLUMN()-2&lt;=$E$3,INDEX($B$10:$B$59,RANDBETWEEN(1,$E$3)),"")</x:f>
      </x:c>
      <x:c r="AZ190" s="68" t="str">
        <x:f>IF(COLUMN()-2&lt;=$E$3,INDEX($B$10:$B$59,RANDBETWEEN(1,$E$3)),"")</x:f>
      </x:c>
      <x:c r="BA190" s="68" t="str">
        <x:f>IF($E$3=0,"",AVERAGE(C190:AZ190))</x:f>
      </x:c>
    </x:row>
    <x:row r="191">
      <x:c r="A191" t="n">
        <x:v>127</x:v>
      </x:c>
      <x:c r="C191" s="68" t="str">
        <x:f>IF(COLUMN()-2&lt;=$E$3,INDEX($B$10:$B$59,RANDBETWEEN(1,$E$3)),"")</x:f>
      </x:c>
      <x:c r="D191" s="68" t="str">
        <x:f>IF(COLUMN()-2&lt;=$E$3,INDEX($B$10:$B$59,RANDBETWEEN(1,$E$3)),"")</x:f>
      </x:c>
      <x:c r="E191" s="68" t="str">
        <x:f>IF(COLUMN()-2&lt;=$E$3,INDEX($B$10:$B$59,RANDBETWEEN(1,$E$3)),"")</x:f>
      </x:c>
      <x:c r="F191" s="68" t="str">
        <x:f>IF(COLUMN()-2&lt;=$E$3,INDEX($B$10:$B$59,RANDBETWEEN(1,$E$3)),"")</x:f>
      </x:c>
      <x:c r="G191" s="68" t="str">
        <x:f>IF(COLUMN()-2&lt;=$E$3,INDEX($B$10:$B$59,RANDBETWEEN(1,$E$3)),"")</x:f>
      </x:c>
      <x:c r="H191" s="68" t="str">
        <x:f>IF(COLUMN()-2&lt;=$E$3,INDEX($B$10:$B$59,RANDBETWEEN(1,$E$3)),"")</x:f>
      </x:c>
      <x:c r="I191" s="68" t="str">
        <x:f>IF(COLUMN()-2&lt;=$E$3,INDEX($B$10:$B$59,RANDBETWEEN(1,$E$3)),"")</x:f>
      </x:c>
      <x:c r="J191" s="68" t="str">
        <x:f>IF(COLUMN()-2&lt;=$E$3,INDEX($B$10:$B$59,RANDBETWEEN(1,$E$3)),"")</x:f>
      </x:c>
      <x:c r="K191" s="68" t="str">
        <x:f>IF(COLUMN()-2&lt;=$E$3,INDEX($B$10:$B$59,RANDBETWEEN(1,$E$3)),"")</x:f>
      </x:c>
      <x:c r="L191" s="68" t="str">
        <x:f>IF(COLUMN()-2&lt;=$E$3,INDEX($B$10:$B$59,RANDBETWEEN(1,$E$3)),"")</x:f>
      </x:c>
      <x:c r="M191" s="68" t="str">
        <x:f>IF(COLUMN()-2&lt;=$E$3,INDEX($B$10:$B$59,RANDBETWEEN(1,$E$3)),"")</x:f>
      </x:c>
      <x:c r="N191" s="68" t="str">
        <x:f>IF(COLUMN()-2&lt;=$E$3,INDEX($B$10:$B$59,RANDBETWEEN(1,$E$3)),"")</x:f>
      </x:c>
      <x:c r="O191" s="68" t="str">
        <x:f>IF(COLUMN()-2&lt;=$E$3,INDEX($B$10:$B$59,RANDBETWEEN(1,$E$3)),"")</x:f>
      </x:c>
      <x:c r="P191" s="68" t="str">
        <x:f>IF(COLUMN()-2&lt;=$E$3,INDEX($B$10:$B$59,RANDBETWEEN(1,$E$3)),"")</x:f>
      </x:c>
      <x:c r="Q191" s="68" t="str">
        <x:f>IF(COLUMN()-2&lt;=$E$3,INDEX($B$10:$B$59,RANDBETWEEN(1,$E$3)),"")</x:f>
      </x:c>
      <x:c r="R191" s="68" t="str">
        <x:f>IF(COLUMN()-2&lt;=$E$3,INDEX($B$10:$B$59,RANDBETWEEN(1,$E$3)),"")</x:f>
      </x:c>
      <x:c r="S191" s="68" t="str">
        <x:f>IF(COLUMN()-2&lt;=$E$3,INDEX($B$10:$B$59,RANDBETWEEN(1,$E$3)),"")</x:f>
      </x:c>
      <x:c r="T191" s="68" t="str">
        <x:f>IF(COLUMN()-2&lt;=$E$3,INDEX($B$10:$B$59,RANDBETWEEN(1,$E$3)),"")</x:f>
      </x:c>
      <x:c r="U191" s="68" t="str">
        <x:f>IF(COLUMN()-2&lt;=$E$3,INDEX($B$10:$B$59,RANDBETWEEN(1,$E$3)),"")</x:f>
      </x:c>
      <x:c r="V191" s="68" t="str">
        <x:f>IF(COLUMN()-2&lt;=$E$3,INDEX($B$10:$B$59,RANDBETWEEN(1,$E$3)),"")</x:f>
      </x:c>
      <x:c r="W191" s="68" t="str">
        <x:f>IF(COLUMN()-2&lt;=$E$3,INDEX($B$10:$B$59,RANDBETWEEN(1,$E$3)),"")</x:f>
      </x:c>
      <x:c r="X191" s="68" t="str">
        <x:f>IF(COLUMN()-2&lt;=$E$3,INDEX($B$10:$B$59,RANDBETWEEN(1,$E$3)),"")</x:f>
      </x:c>
      <x:c r="Y191" s="68" t="str">
        <x:f>IF(COLUMN()-2&lt;=$E$3,INDEX($B$10:$B$59,RANDBETWEEN(1,$E$3)),"")</x:f>
      </x:c>
      <x:c r="Z191" s="68" t="str">
        <x:f>IF(COLUMN()-2&lt;=$E$3,INDEX($B$10:$B$59,RANDBETWEEN(1,$E$3)),"")</x:f>
      </x:c>
      <x:c r="AA191" s="68" t="str">
        <x:f>IF(COLUMN()-2&lt;=$E$3,INDEX($B$10:$B$59,RANDBETWEEN(1,$E$3)),"")</x:f>
      </x:c>
      <x:c r="AB191" s="68" t="str">
        <x:f>IF(COLUMN()-2&lt;=$E$3,INDEX($B$10:$B$59,RANDBETWEEN(1,$E$3)),"")</x:f>
      </x:c>
      <x:c r="AC191" s="68" t="str">
        <x:f>IF(COLUMN()-2&lt;=$E$3,INDEX($B$10:$B$59,RANDBETWEEN(1,$E$3)),"")</x:f>
      </x:c>
      <x:c r="AD191" s="68" t="str">
        <x:f>IF(COLUMN()-2&lt;=$E$3,INDEX($B$10:$B$59,RANDBETWEEN(1,$E$3)),"")</x:f>
      </x:c>
      <x:c r="AE191" s="68" t="str">
        <x:f>IF(COLUMN()-2&lt;=$E$3,INDEX($B$10:$B$59,RANDBETWEEN(1,$E$3)),"")</x:f>
      </x:c>
      <x:c r="AF191" s="68" t="str">
        <x:f>IF(COLUMN()-2&lt;=$E$3,INDEX($B$10:$B$59,RANDBETWEEN(1,$E$3)),"")</x:f>
      </x:c>
      <x:c r="AG191" s="68" t="str">
        <x:f>IF(COLUMN()-2&lt;=$E$3,INDEX($B$10:$B$59,RANDBETWEEN(1,$E$3)),"")</x:f>
      </x:c>
      <x:c r="AH191" s="68" t="str">
        <x:f>IF(COLUMN()-2&lt;=$E$3,INDEX($B$10:$B$59,RANDBETWEEN(1,$E$3)),"")</x:f>
      </x:c>
      <x:c r="AI191" s="68" t="str">
        <x:f>IF(COLUMN()-2&lt;=$E$3,INDEX($B$10:$B$59,RANDBETWEEN(1,$E$3)),"")</x:f>
      </x:c>
      <x:c r="AJ191" s="68" t="str">
        <x:f>IF(COLUMN()-2&lt;=$E$3,INDEX($B$10:$B$59,RANDBETWEEN(1,$E$3)),"")</x:f>
      </x:c>
      <x:c r="AK191" s="68" t="str">
        <x:f>IF(COLUMN()-2&lt;=$E$3,INDEX($B$10:$B$59,RANDBETWEEN(1,$E$3)),"")</x:f>
      </x:c>
      <x:c r="AL191" s="68" t="str">
        <x:f>IF(COLUMN()-2&lt;=$E$3,INDEX($B$10:$B$59,RANDBETWEEN(1,$E$3)),"")</x:f>
      </x:c>
      <x:c r="AM191" s="68" t="str">
        <x:f>IF(COLUMN()-2&lt;=$E$3,INDEX($B$10:$B$59,RANDBETWEEN(1,$E$3)),"")</x:f>
      </x:c>
      <x:c r="AN191" s="68" t="str">
        <x:f>IF(COLUMN()-2&lt;=$E$3,INDEX($B$10:$B$59,RANDBETWEEN(1,$E$3)),"")</x:f>
      </x:c>
      <x:c r="AO191" s="68" t="str">
        <x:f>IF(COLUMN()-2&lt;=$E$3,INDEX($B$10:$B$59,RANDBETWEEN(1,$E$3)),"")</x:f>
      </x:c>
      <x:c r="AP191" s="68" t="str">
        <x:f>IF(COLUMN()-2&lt;=$E$3,INDEX($B$10:$B$59,RANDBETWEEN(1,$E$3)),"")</x:f>
      </x:c>
      <x:c r="AQ191" s="68" t="str">
        <x:f>IF(COLUMN()-2&lt;=$E$3,INDEX($B$10:$B$59,RANDBETWEEN(1,$E$3)),"")</x:f>
      </x:c>
      <x:c r="AR191" s="68" t="str">
        <x:f>IF(COLUMN()-2&lt;=$E$3,INDEX($B$10:$B$59,RANDBETWEEN(1,$E$3)),"")</x:f>
      </x:c>
      <x:c r="AS191" s="68" t="str">
        <x:f>IF(COLUMN()-2&lt;=$E$3,INDEX($B$10:$B$59,RANDBETWEEN(1,$E$3)),"")</x:f>
      </x:c>
      <x:c r="AT191" s="68" t="str">
        <x:f>IF(COLUMN()-2&lt;=$E$3,INDEX($B$10:$B$59,RANDBETWEEN(1,$E$3)),"")</x:f>
      </x:c>
      <x:c r="AU191" s="68" t="str">
        <x:f>IF(COLUMN()-2&lt;=$E$3,INDEX($B$10:$B$59,RANDBETWEEN(1,$E$3)),"")</x:f>
      </x:c>
      <x:c r="AV191" s="68" t="str">
        <x:f>IF(COLUMN()-2&lt;=$E$3,INDEX($B$10:$B$59,RANDBETWEEN(1,$E$3)),"")</x:f>
      </x:c>
      <x:c r="AW191" s="68" t="str">
        <x:f>IF(COLUMN()-2&lt;=$E$3,INDEX($B$10:$B$59,RANDBETWEEN(1,$E$3)),"")</x:f>
      </x:c>
      <x:c r="AX191" s="68" t="str">
        <x:f>IF(COLUMN()-2&lt;=$E$3,INDEX($B$10:$B$59,RANDBETWEEN(1,$E$3)),"")</x:f>
      </x:c>
      <x:c r="AY191" s="68" t="str">
        <x:f>IF(COLUMN()-2&lt;=$E$3,INDEX($B$10:$B$59,RANDBETWEEN(1,$E$3)),"")</x:f>
      </x:c>
      <x:c r="AZ191" s="68" t="str">
        <x:f>IF(COLUMN()-2&lt;=$E$3,INDEX($B$10:$B$59,RANDBETWEEN(1,$E$3)),"")</x:f>
      </x:c>
      <x:c r="BA191" s="68" t="str">
        <x:f>IF($E$3=0,"",AVERAGE(C191:AZ191))</x:f>
      </x:c>
    </x:row>
    <x:row r="192">
      <x:c r="A192" t="n">
        <x:v>128</x:v>
      </x:c>
      <x:c r="C192" s="68" t="str">
        <x:f>IF(COLUMN()-2&lt;=$E$3,INDEX($B$10:$B$59,RANDBETWEEN(1,$E$3)),"")</x:f>
      </x:c>
      <x:c r="D192" s="68" t="str">
        <x:f>IF(COLUMN()-2&lt;=$E$3,INDEX($B$10:$B$59,RANDBETWEEN(1,$E$3)),"")</x:f>
      </x:c>
      <x:c r="E192" s="68" t="str">
        <x:f>IF(COLUMN()-2&lt;=$E$3,INDEX($B$10:$B$59,RANDBETWEEN(1,$E$3)),"")</x:f>
      </x:c>
      <x:c r="F192" s="68" t="str">
        <x:f>IF(COLUMN()-2&lt;=$E$3,INDEX($B$10:$B$59,RANDBETWEEN(1,$E$3)),"")</x:f>
      </x:c>
      <x:c r="G192" s="68" t="str">
        <x:f>IF(COLUMN()-2&lt;=$E$3,INDEX($B$10:$B$59,RANDBETWEEN(1,$E$3)),"")</x:f>
      </x:c>
      <x:c r="H192" s="68" t="str">
        <x:f>IF(COLUMN()-2&lt;=$E$3,INDEX($B$10:$B$59,RANDBETWEEN(1,$E$3)),"")</x:f>
      </x:c>
      <x:c r="I192" s="68" t="str">
        <x:f>IF(COLUMN()-2&lt;=$E$3,INDEX($B$10:$B$59,RANDBETWEEN(1,$E$3)),"")</x:f>
      </x:c>
      <x:c r="J192" s="68" t="str">
        <x:f>IF(COLUMN()-2&lt;=$E$3,INDEX($B$10:$B$59,RANDBETWEEN(1,$E$3)),"")</x:f>
      </x:c>
      <x:c r="K192" s="68" t="str">
        <x:f>IF(COLUMN()-2&lt;=$E$3,INDEX($B$10:$B$59,RANDBETWEEN(1,$E$3)),"")</x:f>
      </x:c>
      <x:c r="L192" s="68" t="str">
        <x:f>IF(COLUMN()-2&lt;=$E$3,INDEX($B$10:$B$59,RANDBETWEEN(1,$E$3)),"")</x:f>
      </x:c>
      <x:c r="M192" s="68" t="str">
        <x:f>IF(COLUMN()-2&lt;=$E$3,INDEX($B$10:$B$59,RANDBETWEEN(1,$E$3)),"")</x:f>
      </x:c>
      <x:c r="N192" s="68" t="str">
        <x:f>IF(COLUMN()-2&lt;=$E$3,INDEX($B$10:$B$59,RANDBETWEEN(1,$E$3)),"")</x:f>
      </x:c>
      <x:c r="O192" s="68" t="str">
        <x:f>IF(COLUMN()-2&lt;=$E$3,INDEX($B$10:$B$59,RANDBETWEEN(1,$E$3)),"")</x:f>
      </x:c>
      <x:c r="P192" s="68" t="str">
        <x:f>IF(COLUMN()-2&lt;=$E$3,INDEX($B$10:$B$59,RANDBETWEEN(1,$E$3)),"")</x:f>
      </x:c>
      <x:c r="Q192" s="68" t="str">
        <x:f>IF(COLUMN()-2&lt;=$E$3,INDEX($B$10:$B$59,RANDBETWEEN(1,$E$3)),"")</x:f>
      </x:c>
      <x:c r="R192" s="68" t="str">
        <x:f>IF(COLUMN()-2&lt;=$E$3,INDEX($B$10:$B$59,RANDBETWEEN(1,$E$3)),"")</x:f>
      </x:c>
      <x:c r="S192" s="68" t="str">
        <x:f>IF(COLUMN()-2&lt;=$E$3,INDEX($B$10:$B$59,RANDBETWEEN(1,$E$3)),"")</x:f>
      </x:c>
      <x:c r="T192" s="68" t="str">
        <x:f>IF(COLUMN()-2&lt;=$E$3,INDEX($B$10:$B$59,RANDBETWEEN(1,$E$3)),"")</x:f>
      </x:c>
      <x:c r="U192" s="68" t="str">
        <x:f>IF(COLUMN()-2&lt;=$E$3,INDEX($B$10:$B$59,RANDBETWEEN(1,$E$3)),"")</x:f>
      </x:c>
      <x:c r="V192" s="68" t="str">
        <x:f>IF(COLUMN()-2&lt;=$E$3,INDEX($B$10:$B$59,RANDBETWEEN(1,$E$3)),"")</x:f>
      </x:c>
      <x:c r="W192" s="68" t="str">
        <x:f>IF(COLUMN()-2&lt;=$E$3,INDEX($B$10:$B$59,RANDBETWEEN(1,$E$3)),"")</x:f>
      </x:c>
      <x:c r="X192" s="68" t="str">
        <x:f>IF(COLUMN()-2&lt;=$E$3,INDEX($B$10:$B$59,RANDBETWEEN(1,$E$3)),"")</x:f>
      </x:c>
      <x:c r="Y192" s="68" t="str">
        <x:f>IF(COLUMN()-2&lt;=$E$3,INDEX($B$10:$B$59,RANDBETWEEN(1,$E$3)),"")</x:f>
      </x:c>
      <x:c r="Z192" s="68" t="str">
        <x:f>IF(COLUMN()-2&lt;=$E$3,INDEX($B$10:$B$59,RANDBETWEEN(1,$E$3)),"")</x:f>
      </x:c>
      <x:c r="AA192" s="68" t="str">
        <x:f>IF(COLUMN()-2&lt;=$E$3,INDEX($B$10:$B$59,RANDBETWEEN(1,$E$3)),"")</x:f>
      </x:c>
      <x:c r="AB192" s="68" t="str">
        <x:f>IF(COLUMN()-2&lt;=$E$3,INDEX($B$10:$B$59,RANDBETWEEN(1,$E$3)),"")</x:f>
      </x:c>
      <x:c r="AC192" s="68" t="str">
        <x:f>IF(COLUMN()-2&lt;=$E$3,INDEX($B$10:$B$59,RANDBETWEEN(1,$E$3)),"")</x:f>
      </x:c>
      <x:c r="AD192" s="68" t="str">
        <x:f>IF(COLUMN()-2&lt;=$E$3,INDEX($B$10:$B$59,RANDBETWEEN(1,$E$3)),"")</x:f>
      </x:c>
      <x:c r="AE192" s="68" t="str">
        <x:f>IF(COLUMN()-2&lt;=$E$3,INDEX($B$10:$B$59,RANDBETWEEN(1,$E$3)),"")</x:f>
      </x:c>
      <x:c r="AF192" s="68" t="str">
        <x:f>IF(COLUMN()-2&lt;=$E$3,INDEX($B$10:$B$59,RANDBETWEEN(1,$E$3)),"")</x:f>
      </x:c>
      <x:c r="AG192" s="68" t="str">
        <x:f>IF(COLUMN()-2&lt;=$E$3,INDEX($B$10:$B$59,RANDBETWEEN(1,$E$3)),"")</x:f>
      </x:c>
      <x:c r="AH192" s="68" t="str">
        <x:f>IF(COLUMN()-2&lt;=$E$3,INDEX($B$10:$B$59,RANDBETWEEN(1,$E$3)),"")</x:f>
      </x:c>
      <x:c r="AI192" s="68" t="str">
        <x:f>IF(COLUMN()-2&lt;=$E$3,INDEX($B$10:$B$59,RANDBETWEEN(1,$E$3)),"")</x:f>
      </x:c>
      <x:c r="AJ192" s="68" t="str">
        <x:f>IF(COLUMN()-2&lt;=$E$3,INDEX($B$10:$B$59,RANDBETWEEN(1,$E$3)),"")</x:f>
      </x:c>
      <x:c r="AK192" s="68" t="str">
        <x:f>IF(COLUMN()-2&lt;=$E$3,INDEX($B$10:$B$59,RANDBETWEEN(1,$E$3)),"")</x:f>
      </x:c>
      <x:c r="AL192" s="68" t="str">
        <x:f>IF(COLUMN()-2&lt;=$E$3,INDEX($B$10:$B$59,RANDBETWEEN(1,$E$3)),"")</x:f>
      </x:c>
      <x:c r="AM192" s="68" t="str">
        <x:f>IF(COLUMN()-2&lt;=$E$3,INDEX($B$10:$B$59,RANDBETWEEN(1,$E$3)),"")</x:f>
      </x:c>
      <x:c r="AN192" s="68" t="str">
        <x:f>IF(COLUMN()-2&lt;=$E$3,INDEX($B$10:$B$59,RANDBETWEEN(1,$E$3)),"")</x:f>
      </x:c>
      <x:c r="AO192" s="68" t="str">
        <x:f>IF(COLUMN()-2&lt;=$E$3,INDEX($B$10:$B$59,RANDBETWEEN(1,$E$3)),"")</x:f>
      </x:c>
      <x:c r="AP192" s="68" t="str">
        <x:f>IF(COLUMN()-2&lt;=$E$3,INDEX($B$10:$B$59,RANDBETWEEN(1,$E$3)),"")</x:f>
      </x:c>
      <x:c r="AQ192" s="68" t="str">
        <x:f>IF(COLUMN()-2&lt;=$E$3,INDEX($B$10:$B$59,RANDBETWEEN(1,$E$3)),"")</x:f>
      </x:c>
      <x:c r="AR192" s="68" t="str">
        <x:f>IF(COLUMN()-2&lt;=$E$3,INDEX($B$10:$B$59,RANDBETWEEN(1,$E$3)),"")</x:f>
      </x:c>
      <x:c r="AS192" s="68" t="str">
        <x:f>IF(COLUMN()-2&lt;=$E$3,INDEX($B$10:$B$59,RANDBETWEEN(1,$E$3)),"")</x:f>
      </x:c>
      <x:c r="AT192" s="68" t="str">
        <x:f>IF(COLUMN()-2&lt;=$E$3,INDEX($B$10:$B$59,RANDBETWEEN(1,$E$3)),"")</x:f>
      </x:c>
      <x:c r="AU192" s="68" t="str">
        <x:f>IF(COLUMN()-2&lt;=$E$3,INDEX($B$10:$B$59,RANDBETWEEN(1,$E$3)),"")</x:f>
      </x:c>
      <x:c r="AV192" s="68" t="str">
        <x:f>IF(COLUMN()-2&lt;=$E$3,INDEX($B$10:$B$59,RANDBETWEEN(1,$E$3)),"")</x:f>
      </x:c>
      <x:c r="AW192" s="68" t="str">
        <x:f>IF(COLUMN()-2&lt;=$E$3,INDEX($B$10:$B$59,RANDBETWEEN(1,$E$3)),"")</x:f>
      </x:c>
      <x:c r="AX192" s="68" t="str">
        <x:f>IF(COLUMN()-2&lt;=$E$3,INDEX($B$10:$B$59,RANDBETWEEN(1,$E$3)),"")</x:f>
      </x:c>
      <x:c r="AY192" s="68" t="str">
        <x:f>IF(COLUMN()-2&lt;=$E$3,INDEX($B$10:$B$59,RANDBETWEEN(1,$E$3)),"")</x:f>
      </x:c>
      <x:c r="AZ192" s="68" t="str">
        <x:f>IF(COLUMN()-2&lt;=$E$3,INDEX($B$10:$B$59,RANDBETWEEN(1,$E$3)),"")</x:f>
      </x:c>
      <x:c r="BA192" s="68" t="str">
        <x:f>IF($E$3=0,"",AVERAGE(C192:AZ192))</x:f>
      </x:c>
    </x:row>
    <x:row r="193">
      <x:c r="A193" t="n">
        <x:v>129</x:v>
      </x:c>
      <x:c r="C193" s="68" t="str">
        <x:f>IF(COLUMN()-2&lt;=$E$3,INDEX($B$10:$B$59,RANDBETWEEN(1,$E$3)),"")</x:f>
      </x:c>
      <x:c r="D193" s="68" t="str">
        <x:f>IF(COLUMN()-2&lt;=$E$3,INDEX($B$10:$B$59,RANDBETWEEN(1,$E$3)),"")</x:f>
      </x:c>
      <x:c r="E193" s="68" t="str">
        <x:f>IF(COLUMN()-2&lt;=$E$3,INDEX($B$10:$B$59,RANDBETWEEN(1,$E$3)),"")</x:f>
      </x:c>
      <x:c r="F193" s="68" t="str">
        <x:f>IF(COLUMN()-2&lt;=$E$3,INDEX($B$10:$B$59,RANDBETWEEN(1,$E$3)),"")</x:f>
      </x:c>
      <x:c r="G193" s="68" t="str">
        <x:f>IF(COLUMN()-2&lt;=$E$3,INDEX($B$10:$B$59,RANDBETWEEN(1,$E$3)),"")</x:f>
      </x:c>
      <x:c r="H193" s="68" t="str">
        <x:f>IF(COLUMN()-2&lt;=$E$3,INDEX($B$10:$B$59,RANDBETWEEN(1,$E$3)),"")</x:f>
      </x:c>
      <x:c r="I193" s="68" t="str">
        <x:f>IF(COLUMN()-2&lt;=$E$3,INDEX($B$10:$B$59,RANDBETWEEN(1,$E$3)),"")</x:f>
      </x:c>
      <x:c r="J193" s="68" t="str">
        <x:f>IF(COLUMN()-2&lt;=$E$3,INDEX($B$10:$B$59,RANDBETWEEN(1,$E$3)),"")</x:f>
      </x:c>
      <x:c r="K193" s="68" t="str">
        <x:f>IF(COLUMN()-2&lt;=$E$3,INDEX($B$10:$B$59,RANDBETWEEN(1,$E$3)),"")</x:f>
      </x:c>
      <x:c r="L193" s="68" t="str">
        <x:f>IF(COLUMN()-2&lt;=$E$3,INDEX($B$10:$B$59,RANDBETWEEN(1,$E$3)),"")</x:f>
      </x:c>
      <x:c r="M193" s="68" t="str">
        <x:f>IF(COLUMN()-2&lt;=$E$3,INDEX($B$10:$B$59,RANDBETWEEN(1,$E$3)),"")</x:f>
      </x:c>
      <x:c r="N193" s="68" t="str">
        <x:f>IF(COLUMN()-2&lt;=$E$3,INDEX($B$10:$B$59,RANDBETWEEN(1,$E$3)),"")</x:f>
      </x:c>
      <x:c r="O193" s="68" t="str">
        <x:f>IF(COLUMN()-2&lt;=$E$3,INDEX($B$10:$B$59,RANDBETWEEN(1,$E$3)),"")</x:f>
      </x:c>
      <x:c r="P193" s="68" t="str">
        <x:f>IF(COLUMN()-2&lt;=$E$3,INDEX($B$10:$B$59,RANDBETWEEN(1,$E$3)),"")</x:f>
      </x:c>
      <x:c r="Q193" s="68" t="str">
        <x:f>IF(COLUMN()-2&lt;=$E$3,INDEX($B$10:$B$59,RANDBETWEEN(1,$E$3)),"")</x:f>
      </x:c>
      <x:c r="R193" s="68" t="str">
        <x:f>IF(COLUMN()-2&lt;=$E$3,INDEX($B$10:$B$59,RANDBETWEEN(1,$E$3)),"")</x:f>
      </x:c>
      <x:c r="S193" s="68" t="str">
        <x:f>IF(COLUMN()-2&lt;=$E$3,INDEX($B$10:$B$59,RANDBETWEEN(1,$E$3)),"")</x:f>
      </x:c>
      <x:c r="T193" s="68" t="str">
        <x:f>IF(COLUMN()-2&lt;=$E$3,INDEX($B$10:$B$59,RANDBETWEEN(1,$E$3)),"")</x:f>
      </x:c>
      <x:c r="U193" s="68" t="str">
        <x:f>IF(COLUMN()-2&lt;=$E$3,INDEX($B$10:$B$59,RANDBETWEEN(1,$E$3)),"")</x:f>
      </x:c>
      <x:c r="V193" s="68" t="str">
        <x:f>IF(COLUMN()-2&lt;=$E$3,INDEX($B$10:$B$59,RANDBETWEEN(1,$E$3)),"")</x:f>
      </x:c>
      <x:c r="W193" s="68" t="str">
        <x:f>IF(COLUMN()-2&lt;=$E$3,INDEX($B$10:$B$59,RANDBETWEEN(1,$E$3)),"")</x:f>
      </x:c>
      <x:c r="X193" s="68" t="str">
        <x:f>IF(COLUMN()-2&lt;=$E$3,INDEX($B$10:$B$59,RANDBETWEEN(1,$E$3)),"")</x:f>
      </x:c>
      <x:c r="Y193" s="68" t="str">
        <x:f>IF(COLUMN()-2&lt;=$E$3,INDEX($B$10:$B$59,RANDBETWEEN(1,$E$3)),"")</x:f>
      </x:c>
      <x:c r="Z193" s="68" t="str">
        <x:f>IF(COLUMN()-2&lt;=$E$3,INDEX($B$10:$B$59,RANDBETWEEN(1,$E$3)),"")</x:f>
      </x:c>
      <x:c r="AA193" s="68" t="str">
        <x:f>IF(COLUMN()-2&lt;=$E$3,INDEX($B$10:$B$59,RANDBETWEEN(1,$E$3)),"")</x:f>
      </x:c>
      <x:c r="AB193" s="68" t="str">
        <x:f>IF(COLUMN()-2&lt;=$E$3,INDEX($B$10:$B$59,RANDBETWEEN(1,$E$3)),"")</x:f>
      </x:c>
      <x:c r="AC193" s="68" t="str">
        <x:f>IF(COLUMN()-2&lt;=$E$3,INDEX($B$10:$B$59,RANDBETWEEN(1,$E$3)),"")</x:f>
      </x:c>
      <x:c r="AD193" s="68" t="str">
        <x:f>IF(COLUMN()-2&lt;=$E$3,INDEX($B$10:$B$59,RANDBETWEEN(1,$E$3)),"")</x:f>
      </x:c>
      <x:c r="AE193" s="68" t="str">
        <x:f>IF(COLUMN()-2&lt;=$E$3,INDEX($B$10:$B$59,RANDBETWEEN(1,$E$3)),"")</x:f>
      </x:c>
      <x:c r="AF193" s="68" t="str">
        <x:f>IF(COLUMN()-2&lt;=$E$3,INDEX($B$10:$B$59,RANDBETWEEN(1,$E$3)),"")</x:f>
      </x:c>
      <x:c r="AG193" s="68" t="str">
        <x:f>IF(COLUMN()-2&lt;=$E$3,INDEX($B$10:$B$59,RANDBETWEEN(1,$E$3)),"")</x:f>
      </x:c>
      <x:c r="AH193" s="68" t="str">
        <x:f>IF(COLUMN()-2&lt;=$E$3,INDEX($B$10:$B$59,RANDBETWEEN(1,$E$3)),"")</x:f>
      </x:c>
      <x:c r="AI193" s="68" t="str">
        <x:f>IF(COLUMN()-2&lt;=$E$3,INDEX($B$10:$B$59,RANDBETWEEN(1,$E$3)),"")</x:f>
      </x:c>
      <x:c r="AJ193" s="68" t="str">
        <x:f>IF(COLUMN()-2&lt;=$E$3,INDEX($B$10:$B$59,RANDBETWEEN(1,$E$3)),"")</x:f>
      </x:c>
      <x:c r="AK193" s="68" t="str">
        <x:f>IF(COLUMN()-2&lt;=$E$3,INDEX($B$10:$B$59,RANDBETWEEN(1,$E$3)),"")</x:f>
      </x:c>
      <x:c r="AL193" s="68" t="str">
        <x:f>IF(COLUMN()-2&lt;=$E$3,INDEX($B$10:$B$59,RANDBETWEEN(1,$E$3)),"")</x:f>
      </x:c>
      <x:c r="AM193" s="68" t="str">
        <x:f>IF(COLUMN()-2&lt;=$E$3,INDEX($B$10:$B$59,RANDBETWEEN(1,$E$3)),"")</x:f>
      </x:c>
      <x:c r="AN193" s="68" t="str">
        <x:f>IF(COLUMN()-2&lt;=$E$3,INDEX($B$10:$B$59,RANDBETWEEN(1,$E$3)),"")</x:f>
      </x:c>
      <x:c r="AO193" s="68" t="str">
        <x:f>IF(COLUMN()-2&lt;=$E$3,INDEX($B$10:$B$59,RANDBETWEEN(1,$E$3)),"")</x:f>
      </x:c>
      <x:c r="AP193" s="68" t="str">
        <x:f>IF(COLUMN()-2&lt;=$E$3,INDEX($B$10:$B$59,RANDBETWEEN(1,$E$3)),"")</x:f>
      </x:c>
      <x:c r="AQ193" s="68" t="str">
        <x:f>IF(COLUMN()-2&lt;=$E$3,INDEX($B$10:$B$59,RANDBETWEEN(1,$E$3)),"")</x:f>
      </x:c>
      <x:c r="AR193" s="68" t="str">
        <x:f>IF(COLUMN()-2&lt;=$E$3,INDEX($B$10:$B$59,RANDBETWEEN(1,$E$3)),"")</x:f>
      </x:c>
      <x:c r="AS193" s="68" t="str">
        <x:f>IF(COLUMN()-2&lt;=$E$3,INDEX($B$10:$B$59,RANDBETWEEN(1,$E$3)),"")</x:f>
      </x:c>
      <x:c r="AT193" s="68" t="str">
        <x:f>IF(COLUMN()-2&lt;=$E$3,INDEX($B$10:$B$59,RANDBETWEEN(1,$E$3)),"")</x:f>
      </x:c>
      <x:c r="AU193" s="68" t="str">
        <x:f>IF(COLUMN()-2&lt;=$E$3,INDEX($B$10:$B$59,RANDBETWEEN(1,$E$3)),"")</x:f>
      </x:c>
      <x:c r="AV193" s="68" t="str">
        <x:f>IF(COLUMN()-2&lt;=$E$3,INDEX($B$10:$B$59,RANDBETWEEN(1,$E$3)),"")</x:f>
      </x:c>
      <x:c r="AW193" s="68" t="str">
        <x:f>IF(COLUMN()-2&lt;=$E$3,INDEX($B$10:$B$59,RANDBETWEEN(1,$E$3)),"")</x:f>
      </x:c>
      <x:c r="AX193" s="68" t="str">
        <x:f>IF(COLUMN()-2&lt;=$E$3,INDEX($B$10:$B$59,RANDBETWEEN(1,$E$3)),"")</x:f>
      </x:c>
      <x:c r="AY193" s="68" t="str">
        <x:f>IF(COLUMN()-2&lt;=$E$3,INDEX($B$10:$B$59,RANDBETWEEN(1,$E$3)),"")</x:f>
      </x:c>
      <x:c r="AZ193" s="68" t="str">
        <x:f>IF(COLUMN()-2&lt;=$E$3,INDEX($B$10:$B$59,RANDBETWEEN(1,$E$3)),"")</x:f>
      </x:c>
      <x:c r="BA193" s="68" t="str">
        <x:f>IF($E$3=0,"",AVERAGE(C193:AZ193))</x:f>
      </x:c>
    </x:row>
    <x:row r="194">
      <x:c r="A194" t="n">
        <x:v>130</x:v>
      </x:c>
      <x:c r="C194" s="68" t="str">
        <x:f>IF(COLUMN()-2&lt;=$E$3,INDEX($B$10:$B$59,RANDBETWEEN(1,$E$3)),"")</x:f>
      </x:c>
      <x:c r="D194" s="68" t="str">
        <x:f>IF(COLUMN()-2&lt;=$E$3,INDEX($B$10:$B$59,RANDBETWEEN(1,$E$3)),"")</x:f>
      </x:c>
      <x:c r="E194" s="68" t="str">
        <x:f>IF(COLUMN()-2&lt;=$E$3,INDEX($B$10:$B$59,RANDBETWEEN(1,$E$3)),"")</x:f>
      </x:c>
      <x:c r="F194" s="68" t="str">
        <x:f>IF(COLUMN()-2&lt;=$E$3,INDEX($B$10:$B$59,RANDBETWEEN(1,$E$3)),"")</x:f>
      </x:c>
      <x:c r="G194" s="68" t="str">
        <x:f>IF(COLUMN()-2&lt;=$E$3,INDEX($B$10:$B$59,RANDBETWEEN(1,$E$3)),"")</x:f>
      </x:c>
      <x:c r="H194" s="68" t="str">
        <x:f>IF(COLUMN()-2&lt;=$E$3,INDEX($B$10:$B$59,RANDBETWEEN(1,$E$3)),"")</x:f>
      </x:c>
      <x:c r="I194" s="68" t="str">
        <x:f>IF(COLUMN()-2&lt;=$E$3,INDEX($B$10:$B$59,RANDBETWEEN(1,$E$3)),"")</x:f>
      </x:c>
      <x:c r="J194" s="68" t="str">
        <x:f>IF(COLUMN()-2&lt;=$E$3,INDEX($B$10:$B$59,RANDBETWEEN(1,$E$3)),"")</x:f>
      </x:c>
      <x:c r="K194" s="68" t="str">
        <x:f>IF(COLUMN()-2&lt;=$E$3,INDEX($B$10:$B$59,RANDBETWEEN(1,$E$3)),"")</x:f>
      </x:c>
      <x:c r="L194" s="68" t="str">
        <x:f>IF(COLUMN()-2&lt;=$E$3,INDEX($B$10:$B$59,RANDBETWEEN(1,$E$3)),"")</x:f>
      </x:c>
      <x:c r="M194" s="68" t="str">
        <x:f>IF(COLUMN()-2&lt;=$E$3,INDEX($B$10:$B$59,RANDBETWEEN(1,$E$3)),"")</x:f>
      </x:c>
      <x:c r="N194" s="68" t="str">
        <x:f>IF(COLUMN()-2&lt;=$E$3,INDEX($B$10:$B$59,RANDBETWEEN(1,$E$3)),"")</x:f>
      </x:c>
      <x:c r="O194" s="68" t="str">
        <x:f>IF(COLUMN()-2&lt;=$E$3,INDEX($B$10:$B$59,RANDBETWEEN(1,$E$3)),"")</x:f>
      </x:c>
      <x:c r="P194" s="68" t="str">
        <x:f>IF(COLUMN()-2&lt;=$E$3,INDEX($B$10:$B$59,RANDBETWEEN(1,$E$3)),"")</x:f>
      </x:c>
      <x:c r="Q194" s="68" t="str">
        <x:f>IF(COLUMN()-2&lt;=$E$3,INDEX($B$10:$B$59,RANDBETWEEN(1,$E$3)),"")</x:f>
      </x:c>
      <x:c r="R194" s="68" t="str">
        <x:f>IF(COLUMN()-2&lt;=$E$3,INDEX($B$10:$B$59,RANDBETWEEN(1,$E$3)),"")</x:f>
      </x:c>
      <x:c r="S194" s="68" t="str">
        <x:f>IF(COLUMN()-2&lt;=$E$3,INDEX($B$10:$B$59,RANDBETWEEN(1,$E$3)),"")</x:f>
      </x:c>
      <x:c r="T194" s="68" t="str">
        <x:f>IF(COLUMN()-2&lt;=$E$3,INDEX($B$10:$B$59,RANDBETWEEN(1,$E$3)),"")</x:f>
      </x:c>
      <x:c r="U194" s="68" t="str">
        <x:f>IF(COLUMN()-2&lt;=$E$3,INDEX($B$10:$B$59,RANDBETWEEN(1,$E$3)),"")</x:f>
      </x:c>
      <x:c r="V194" s="68" t="str">
        <x:f>IF(COLUMN()-2&lt;=$E$3,INDEX($B$10:$B$59,RANDBETWEEN(1,$E$3)),"")</x:f>
      </x:c>
      <x:c r="W194" s="68" t="str">
        <x:f>IF(COLUMN()-2&lt;=$E$3,INDEX($B$10:$B$59,RANDBETWEEN(1,$E$3)),"")</x:f>
      </x:c>
      <x:c r="X194" s="68" t="str">
        <x:f>IF(COLUMN()-2&lt;=$E$3,INDEX($B$10:$B$59,RANDBETWEEN(1,$E$3)),"")</x:f>
      </x:c>
      <x:c r="Y194" s="68" t="str">
        <x:f>IF(COLUMN()-2&lt;=$E$3,INDEX($B$10:$B$59,RANDBETWEEN(1,$E$3)),"")</x:f>
      </x:c>
      <x:c r="Z194" s="68" t="str">
        <x:f>IF(COLUMN()-2&lt;=$E$3,INDEX($B$10:$B$59,RANDBETWEEN(1,$E$3)),"")</x:f>
      </x:c>
      <x:c r="AA194" s="68" t="str">
        <x:f>IF(COLUMN()-2&lt;=$E$3,INDEX($B$10:$B$59,RANDBETWEEN(1,$E$3)),"")</x:f>
      </x:c>
      <x:c r="AB194" s="68" t="str">
        <x:f>IF(COLUMN()-2&lt;=$E$3,INDEX($B$10:$B$59,RANDBETWEEN(1,$E$3)),"")</x:f>
      </x:c>
      <x:c r="AC194" s="68" t="str">
        <x:f>IF(COLUMN()-2&lt;=$E$3,INDEX($B$10:$B$59,RANDBETWEEN(1,$E$3)),"")</x:f>
      </x:c>
      <x:c r="AD194" s="68" t="str">
        <x:f>IF(COLUMN()-2&lt;=$E$3,INDEX($B$10:$B$59,RANDBETWEEN(1,$E$3)),"")</x:f>
      </x:c>
      <x:c r="AE194" s="68" t="str">
        <x:f>IF(COLUMN()-2&lt;=$E$3,INDEX($B$10:$B$59,RANDBETWEEN(1,$E$3)),"")</x:f>
      </x:c>
      <x:c r="AF194" s="68" t="str">
        <x:f>IF(COLUMN()-2&lt;=$E$3,INDEX($B$10:$B$59,RANDBETWEEN(1,$E$3)),"")</x:f>
      </x:c>
      <x:c r="AG194" s="68" t="str">
        <x:f>IF(COLUMN()-2&lt;=$E$3,INDEX($B$10:$B$59,RANDBETWEEN(1,$E$3)),"")</x:f>
      </x:c>
      <x:c r="AH194" s="68" t="str">
        <x:f>IF(COLUMN()-2&lt;=$E$3,INDEX($B$10:$B$59,RANDBETWEEN(1,$E$3)),"")</x:f>
      </x:c>
      <x:c r="AI194" s="68" t="str">
        <x:f>IF(COLUMN()-2&lt;=$E$3,INDEX($B$10:$B$59,RANDBETWEEN(1,$E$3)),"")</x:f>
      </x:c>
      <x:c r="AJ194" s="68" t="str">
        <x:f>IF(COLUMN()-2&lt;=$E$3,INDEX($B$10:$B$59,RANDBETWEEN(1,$E$3)),"")</x:f>
      </x:c>
      <x:c r="AK194" s="68" t="str">
        <x:f>IF(COLUMN()-2&lt;=$E$3,INDEX($B$10:$B$59,RANDBETWEEN(1,$E$3)),"")</x:f>
      </x:c>
      <x:c r="AL194" s="68" t="str">
        <x:f>IF(COLUMN()-2&lt;=$E$3,INDEX($B$10:$B$59,RANDBETWEEN(1,$E$3)),"")</x:f>
      </x:c>
      <x:c r="AM194" s="68" t="str">
        <x:f>IF(COLUMN()-2&lt;=$E$3,INDEX($B$10:$B$59,RANDBETWEEN(1,$E$3)),"")</x:f>
      </x:c>
      <x:c r="AN194" s="68" t="str">
        <x:f>IF(COLUMN()-2&lt;=$E$3,INDEX($B$10:$B$59,RANDBETWEEN(1,$E$3)),"")</x:f>
      </x:c>
      <x:c r="AO194" s="68" t="str">
        <x:f>IF(COLUMN()-2&lt;=$E$3,INDEX($B$10:$B$59,RANDBETWEEN(1,$E$3)),"")</x:f>
      </x:c>
      <x:c r="AP194" s="68" t="str">
        <x:f>IF(COLUMN()-2&lt;=$E$3,INDEX($B$10:$B$59,RANDBETWEEN(1,$E$3)),"")</x:f>
      </x:c>
      <x:c r="AQ194" s="68" t="str">
        <x:f>IF(COLUMN()-2&lt;=$E$3,INDEX($B$10:$B$59,RANDBETWEEN(1,$E$3)),"")</x:f>
      </x:c>
      <x:c r="AR194" s="68" t="str">
        <x:f>IF(COLUMN()-2&lt;=$E$3,INDEX($B$10:$B$59,RANDBETWEEN(1,$E$3)),"")</x:f>
      </x:c>
      <x:c r="AS194" s="68" t="str">
        <x:f>IF(COLUMN()-2&lt;=$E$3,INDEX($B$10:$B$59,RANDBETWEEN(1,$E$3)),"")</x:f>
      </x:c>
      <x:c r="AT194" s="68" t="str">
        <x:f>IF(COLUMN()-2&lt;=$E$3,INDEX($B$10:$B$59,RANDBETWEEN(1,$E$3)),"")</x:f>
      </x:c>
      <x:c r="AU194" s="68" t="str">
        <x:f>IF(COLUMN()-2&lt;=$E$3,INDEX($B$10:$B$59,RANDBETWEEN(1,$E$3)),"")</x:f>
      </x:c>
      <x:c r="AV194" s="68" t="str">
        <x:f>IF(COLUMN()-2&lt;=$E$3,INDEX($B$10:$B$59,RANDBETWEEN(1,$E$3)),"")</x:f>
      </x:c>
      <x:c r="AW194" s="68" t="str">
        <x:f>IF(COLUMN()-2&lt;=$E$3,INDEX($B$10:$B$59,RANDBETWEEN(1,$E$3)),"")</x:f>
      </x:c>
      <x:c r="AX194" s="68" t="str">
        <x:f>IF(COLUMN()-2&lt;=$E$3,INDEX($B$10:$B$59,RANDBETWEEN(1,$E$3)),"")</x:f>
      </x:c>
      <x:c r="AY194" s="68" t="str">
        <x:f>IF(COLUMN()-2&lt;=$E$3,INDEX($B$10:$B$59,RANDBETWEEN(1,$E$3)),"")</x:f>
      </x:c>
      <x:c r="AZ194" s="68" t="str">
        <x:f>IF(COLUMN()-2&lt;=$E$3,INDEX($B$10:$B$59,RANDBETWEEN(1,$E$3)),"")</x:f>
      </x:c>
      <x:c r="BA194" s="68" t="str">
        <x:f>IF($E$3=0,"",AVERAGE(C194:AZ194))</x:f>
      </x:c>
    </x:row>
    <x:row r="195">
      <x:c r="A195" t="n">
        <x:v>131</x:v>
      </x:c>
      <x:c r="C195" s="68" t="str">
        <x:f>IF(COLUMN()-2&lt;=$E$3,INDEX($B$10:$B$59,RANDBETWEEN(1,$E$3)),"")</x:f>
      </x:c>
      <x:c r="D195" s="68" t="str">
        <x:f>IF(COLUMN()-2&lt;=$E$3,INDEX($B$10:$B$59,RANDBETWEEN(1,$E$3)),"")</x:f>
      </x:c>
      <x:c r="E195" s="68" t="str">
        <x:f>IF(COLUMN()-2&lt;=$E$3,INDEX($B$10:$B$59,RANDBETWEEN(1,$E$3)),"")</x:f>
      </x:c>
      <x:c r="F195" s="68" t="str">
        <x:f>IF(COLUMN()-2&lt;=$E$3,INDEX($B$10:$B$59,RANDBETWEEN(1,$E$3)),"")</x:f>
      </x:c>
      <x:c r="G195" s="68" t="str">
        <x:f>IF(COLUMN()-2&lt;=$E$3,INDEX($B$10:$B$59,RANDBETWEEN(1,$E$3)),"")</x:f>
      </x:c>
      <x:c r="H195" s="68" t="str">
        <x:f>IF(COLUMN()-2&lt;=$E$3,INDEX($B$10:$B$59,RANDBETWEEN(1,$E$3)),"")</x:f>
      </x:c>
      <x:c r="I195" s="68" t="str">
        <x:f>IF(COLUMN()-2&lt;=$E$3,INDEX($B$10:$B$59,RANDBETWEEN(1,$E$3)),"")</x:f>
      </x:c>
      <x:c r="J195" s="68" t="str">
        <x:f>IF(COLUMN()-2&lt;=$E$3,INDEX($B$10:$B$59,RANDBETWEEN(1,$E$3)),"")</x:f>
      </x:c>
      <x:c r="K195" s="68" t="str">
        <x:f>IF(COLUMN()-2&lt;=$E$3,INDEX($B$10:$B$59,RANDBETWEEN(1,$E$3)),"")</x:f>
      </x:c>
      <x:c r="L195" s="68" t="str">
        <x:f>IF(COLUMN()-2&lt;=$E$3,INDEX($B$10:$B$59,RANDBETWEEN(1,$E$3)),"")</x:f>
      </x:c>
      <x:c r="M195" s="68" t="str">
        <x:f>IF(COLUMN()-2&lt;=$E$3,INDEX($B$10:$B$59,RANDBETWEEN(1,$E$3)),"")</x:f>
      </x:c>
      <x:c r="N195" s="68" t="str">
        <x:f>IF(COLUMN()-2&lt;=$E$3,INDEX($B$10:$B$59,RANDBETWEEN(1,$E$3)),"")</x:f>
      </x:c>
      <x:c r="O195" s="68" t="str">
        <x:f>IF(COLUMN()-2&lt;=$E$3,INDEX($B$10:$B$59,RANDBETWEEN(1,$E$3)),"")</x:f>
      </x:c>
      <x:c r="P195" s="68" t="str">
        <x:f>IF(COLUMN()-2&lt;=$E$3,INDEX($B$10:$B$59,RANDBETWEEN(1,$E$3)),"")</x:f>
      </x:c>
      <x:c r="Q195" s="68" t="str">
        <x:f>IF(COLUMN()-2&lt;=$E$3,INDEX($B$10:$B$59,RANDBETWEEN(1,$E$3)),"")</x:f>
      </x:c>
      <x:c r="R195" s="68" t="str">
        <x:f>IF(COLUMN()-2&lt;=$E$3,INDEX($B$10:$B$59,RANDBETWEEN(1,$E$3)),"")</x:f>
      </x:c>
      <x:c r="S195" s="68" t="str">
        <x:f>IF(COLUMN()-2&lt;=$E$3,INDEX($B$10:$B$59,RANDBETWEEN(1,$E$3)),"")</x:f>
      </x:c>
      <x:c r="T195" s="68" t="str">
        <x:f>IF(COLUMN()-2&lt;=$E$3,INDEX($B$10:$B$59,RANDBETWEEN(1,$E$3)),"")</x:f>
      </x:c>
      <x:c r="U195" s="68" t="str">
        <x:f>IF(COLUMN()-2&lt;=$E$3,INDEX($B$10:$B$59,RANDBETWEEN(1,$E$3)),"")</x:f>
      </x:c>
      <x:c r="V195" s="68" t="str">
        <x:f>IF(COLUMN()-2&lt;=$E$3,INDEX($B$10:$B$59,RANDBETWEEN(1,$E$3)),"")</x:f>
      </x:c>
      <x:c r="W195" s="68" t="str">
        <x:f>IF(COLUMN()-2&lt;=$E$3,INDEX($B$10:$B$59,RANDBETWEEN(1,$E$3)),"")</x:f>
      </x:c>
      <x:c r="X195" s="68" t="str">
        <x:f>IF(COLUMN()-2&lt;=$E$3,INDEX($B$10:$B$59,RANDBETWEEN(1,$E$3)),"")</x:f>
      </x:c>
      <x:c r="Y195" s="68" t="str">
        <x:f>IF(COLUMN()-2&lt;=$E$3,INDEX($B$10:$B$59,RANDBETWEEN(1,$E$3)),"")</x:f>
      </x:c>
      <x:c r="Z195" s="68" t="str">
        <x:f>IF(COLUMN()-2&lt;=$E$3,INDEX($B$10:$B$59,RANDBETWEEN(1,$E$3)),"")</x:f>
      </x:c>
      <x:c r="AA195" s="68" t="str">
        <x:f>IF(COLUMN()-2&lt;=$E$3,INDEX($B$10:$B$59,RANDBETWEEN(1,$E$3)),"")</x:f>
      </x:c>
      <x:c r="AB195" s="68" t="str">
        <x:f>IF(COLUMN()-2&lt;=$E$3,INDEX($B$10:$B$59,RANDBETWEEN(1,$E$3)),"")</x:f>
      </x:c>
      <x:c r="AC195" s="68" t="str">
        <x:f>IF(COLUMN()-2&lt;=$E$3,INDEX($B$10:$B$59,RANDBETWEEN(1,$E$3)),"")</x:f>
      </x:c>
      <x:c r="AD195" s="68" t="str">
        <x:f>IF(COLUMN()-2&lt;=$E$3,INDEX($B$10:$B$59,RANDBETWEEN(1,$E$3)),"")</x:f>
      </x:c>
      <x:c r="AE195" s="68" t="str">
        <x:f>IF(COLUMN()-2&lt;=$E$3,INDEX($B$10:$B$59,RANDBETWEEN(1,$E$3)),"")</x:f>
      </x:c>
      <x:c r="AF195" s="68" t="str">
        <x:f>IF(COLUMN()-2&lt;=$E$3,INDEX($B$10:$B$59,RANDBETWEEN(1,$E$3)),"")</x:f>
      </x:c>
      <x:c r="AG195" s="68" t="str">
        <x:f>IF(COLUMN()-2&lt;=$E$3,INDEX($B$10:$B$59,RANDBETWEEN(1,$E$3)),"")</x:f>
      </x:c>
      <x:c r="AH195" s="68" t="str">
        <x:f>IF(COLUMN()-2&lt;=$E$3,INDEX($B$10:$B$59,RANDBETWEEN(1,$E$3)),"")</x:f>
      </x:c>
      <x:c r="AI195" s="68" t="str">
        <x:f>IF(COLUMN()-2&lt;=$E$3,INDEX($B$10:$B$59,RANDBETWEEN(1,$E$3)),"")</x:f>
      </x:c>
      <x:c r="AJ195" s="68" t="str">
        <x:f>IF(COLUMN()-2&lt;=$E$3,INDEX($B$10:$B$59,RANDBETWEEN(1,$E$3)),"")</x:f>
      </x:c>
      <x:c r="AK195" s="68" t="str">
        <x:f>IF(COLUMN()-2&lt;=$E$3,INDEX($B$10:$B$59,RANDBETWEEN(1,$E$3)),"")</x:f>
      </x:c>
      <x:c r="AL195" s="68" t="str">
        <x:f>IF(COLUMN()-2&lt;=$E$3,INDEX($B$10:$B$59,RANDBETWEEN(1,$E$3)),"")</x:f>
      </x:c>
      <x:c r="AM195" s="68" t="str">
        <x:f>IF(COLUMN()-2&lt;=$E$3,INDEX($B$10:$B$59,RANDBETWEEN(1,$E$3)),"")</x:f>
      </x:c>
      <x:c r="AN195" s="68" t="str">
        <x:f>IF(COLUMN()-2&lt;=$E$3,INDEX($B$10:$B$59,RANDBETWEEN(1,$E$3)),"")</x:f>
      </x:c>
      <x:c r="AO195" s="68" t="str">
        <x:f>IF(COLUMN()-2&lt;=$E$3,INDEX($B$10:$B$59,RANDBETWEEN(1,$E$3)),"")</x:f>
      </x:c>
      <x:c r="AP195" s="68" t="str">
        <x:f>IF(COLUMN()-2&lt;=$E$3,INDEX($B$10:$B$59,RANDBETWEEN(1,$E$3)),"")</x:f>
      </x:c>
      <x:c r="AQ195" s="68" t="str">
        <x:f>IF(COLUMN()-2&lt;=$E$3,INDEX($B$10:$B$59,RANDBETWEEN(1,$E$3)),"")</x:f>
      </x:c>
      <x:c r="AR195" s="68" t="str">
        <x:f>IF(COLUMN()-2&lt;=$E$3,INDEX($B$10:$B$59,RANDBETWEEN(1,$E$3)),"")</x:f>
      </x:c>
      <x:c r="AS195" s="68" t="str">
        <x:f>IF(COLUMN()-2&lt;=$E$3,INDEX($B$10:$B$59,RANDBETWEEN(1,$E$3)),"")</x:f>
      </x:c>
      <x:c r="AT195" s="68" t="str">
        <x:f>IF(COLUMN()-2&lt;=$E$3,INDEX($B$10:$B$59,RANDBETWEEN(1,$E$3)),"")</x:f>
      </x:c>
      <x:c r="AU195" s="68" t="str">
        <x:f>IF(COLUMN()-2&lt;=$E$3,INDEX($B$10:$B$59,RANDBETWEEN(1,$E$3)),"")</x:f>
      </x:c>
      <x:c r="AV195" s="68" t="str">
        <x:f>IF(COLUMN()-2&lt;=$E$3,INDEX($B$10:$B$59,RANDBETWEEN(1,$E$3)),"")</x:f>
      </x:c>
      <x:c r="AW195" s="68" t="str">
        <x:f>IF(COLUMN()-2&lt;=$E$3,INDEX($B$10:$B$59,RANDBETWEEN(1,$E$3)),"")</x:f>
      </x:c>
      <x:c r="AX195" s="68" t="str">
        <x:f>IF(COLUMN()-2&lt;=$E$3,INDEX($B$10:$B$59,RANDBETWEEN(1,$E$3)),"")</x:f>
      </x:c>
      <x:c r="AY195" s="68" t="str">
        <x:f>IF(COLUMN()-2&lt;=$E$3,INDEX($B$10:$B$59,RANDBETWEEN(1,$E$3)),"")</x:f>
      </x:c>
      <x:c r="AZ195" s="68" t="str">
        <x:f>IF(COLUMN()-2&lt;=$E$3,INDEX($B$10:$B$59,RANDBETWEEN(1,$E$3)),"")</x:f>
      </x:c>
      <x:c r="BA195" s="68" t="str">
        <x:f>IF($E$3=0,"",AVERAGE(C195:AZ195))</x:f>
      </x:c>
    </x:row>
    <x:row r="196">
      <x:c r="A196" t="n">
        <x:v>132</x:v>
      </x:c>
      <x:c r="C196" s="68" t="str">
        <x:f>IF(COLUMN()-2&lt;=$E$3,INDEX($B$10:$B$59,RANDBETWEEN(1,$E$3)),"")</x:f>
      </x:c>
      <x:c r="D196" s="68" t="str">
        <x:f>IF(COLUMN()-2&lt;=$E$3,INDEX($B$10:$B$59,RANDBETWEEN(1,$E$3)),"")</x:f>
      </x:c>
      <x:c r="E196" s="68" t="str">
        <x:f>IF(COLUMN()-2&lt;=$E$3,INDEX($B$10:$B$59,RANDBETWEEN(1,$E$3)),"")</x:f>
      </x:c>
      <x:c r="F196" s="68" t="str">
        <x:f>IF(COLUMN()-2&lt;=$E$3,INDEX($B$10:$B$59,RANDBETWEEN(1,$E$3)),"")</x:f>
      </x:c>
      <x:c r="G196" s="68" t="str">
        <x:f>IF(COLUMN()-2&lt;=$E$3,INDEX($B$10:$B$59,RANDBETWEEN(1,$E$3)),"")</x:f>
      </x:c>
      <x:c r="H196" s="68" t="str">
        <x:f>IF(COLUMN()-2&lt;=$E$3,INDEX($B$10:$B$59,RANDBETWEEN(1,$E$3)),"")</x:f>
      </x:c>
      <x:c r="I196" s="68" t="str">
        <x:f>IF(COLUMN()-2&lt;=$E$3,INDEX($B$10:$B$59,RANDBETWEEN(1,$E$3)),"")</x:f>
      </x:c>
      <x:c r="J196" s="68" t="str">
        <x:f>IF(COLUMN()-2&lt;=$E$3,INDEX($B$10:$B$59,RANDBETWEEN(1,$E$3)),"")</x:f>
      </x:c>
      <x:c r="K196" s="68" t="str">
        <x:f>IF(COLUMN()-2&lt;=$E$3,INDEX($B$10:$B$59,RANDBETWEEN(1,$E$3)),"")</x:f>
      </x:c>
      <x:c r="L196" s="68" t="str">
        <x:f>IF(COLUMN()-2&lt;=$E$3,INDEX($B$10:$B$59,RANDBETWEEN(1,$E$3)),"")</x:f>
      </x:c>
      <x:c r="M196" s="68" t="str">
        <x:f>IF(COLUMN()-2&lt;=$E$3,INDEX($B$10:$B$59,RANDBETWEEN(1,$E$3)),"")</x:f>
      </x:c>
      <x:c r="N196" s="68" t="str">
        <x:f>IF(COLUMN()-2&lt;=$E$3,INDEX($B$10:$B$59,RANDBETWEEN(1,$E$3)),"")</x:f>
      </x:c>
      <x:c r="O196" s="68" t="str">
        <x:f>IF(COLUMN()-2&lt;=$E$3,INDEX($B$10:$B$59,RANDBETWEEN(1,$E$3)),"")</x:f>
      </x:c>
      <x:c r="P196" s="68" t="str">
        <x:f>IF(COLUMN()-2&lt;=$E$3,INDEX($B$10:$B$59,RANDBETWEEN(1,$E$3)),"")</x:f>
      </x:c>
      <x:c r="Q196" s="68" t="str">
        <x:f>IF(COLUMN()-2&lt;=$E$3,INDEX($B$10:$B$59,RANDBETWEEN(1,$E$3)),"")</x:f>
      </x:c>
      <x:c r="R196" s="68" t="str">
        <x:f>IF(COLUMN()-2&lt;=$E$3,INDEX($B$10:$B$59,RANDBETWEEN(1,$E$3)),"")</x:f>
      </x:c>
      <x:c r="S196" s="68" t="str">
        <x:f>IF(COLUMN()-2&lt;=$E$3,INDEX($B$10:$B$59,RANDBETWEEN(1,$E$3)),"")</x:f>
      </x:c>
      <x:c r="T196" s="68" t="str">
        <x:f>IF(COLUMN()-2&lt;=$E$3,INDEX($B$10:$B$59,RANDBETWEEN(1,$E$3)),"")</x:f>
      </x:c>
      <x:c r="U196" s="68" t="str">
        <x:f>IF(COLUMN()-2&lt;=$E$3,INDEX($B$10:$B$59,RANDBETWEEN(1,$E$3)),"")</x:f>
      </x:c>
      <x:c r="V196" s="68" t="str">
        <x:f>IF(COLUMN()-2&lt;=$E$3,INDEX($B$10:$B$59,RANDBETWEEN(1,$E$3)),"")</x:f>
      </x:c>
      <x:c r="W196" s="68" t="str">
        <x:f>IF(COLUMN()-2&lt;=$E$3,INDEX($B$10:$B$59,RANDBETWEEN(1,$E$3)),"")</x:f>
      </x:c>
      <x:c r="X196" s="68" t="str">
        <x:f>IF(COLUMN()-2&lt;=$E$3,INDEX($B$10:$B$59,RANDBETWEEN(1,$E$3)),"")</x:f>
      </x:c>
      <x:c r="Y196" s="68" t="str">
        <x:f>IF(COLUMN()-2&lt;=$E$3,INDEX($B$10:$B$59,RANDBETWEEN(1,$E$3)),"")</x:f>
      </x:c>
      <x:c r="Z196" s="68" t="str">
        <x:f>IF(COLUMN()-2&lt;=$E$3,INDEX($B$10:$B$59,RANDBETWEEN(1,$E$3)),"")</x:f>
      </x:c>
      <x:c r="AA196" s="68" t="str">
        <x:f>IF(COLUMN()-2&lt;=$E$3,INDEX($B$10:$B$59,RANDBETWEEN(1,$E$3)),"")</x:f>
      </x:c>
      <x:c r="AB196" s="68" t="str">
        <x:f>IF(COLUMN()-2&lt;=$E$3,INDEX($B$10:$B$59,RANDBETWEEN(1,$E$3)),"")</x:f>
      </x:c>
      <x:c r="AC196" s="68" t="str">
        <x:f>IF(COLUMN()-2&lt;=$E$3,INDEX($B$10:$B$59,RANDBETWEEN(1,$E$3)),"")</x:f>
      </x:c>
      <x:c r="AD196" s="68" t="str">
        <x:f>IF(COLUMN()-2&lt;=$E$3,INDEX($B$10:$B$59,RANDBETWEEN(1,$E$3)),"")</x:f>
      </x:c>
      <x:c r="AE196" s="68" t="str">
        <x:f>IF(COLUMN()-2&lt;=$E$3,INDEX($B$10:$B$59,RANDBETWEEN(1,$E$3)),"")</x:f>
      </x:c>
      <x:c r="AF196" s="68" t="str">
        <x:f>IF(COLUMN()-2&lt;=$E$3,INDEX($B$10:$B$59,RANDBETWEEN(1,$E$3)),"")</x:f>
      </x:c>
      <x:c r="AG196" s="68" t="str">
        <x:f>IF(COLUMN()-2&lt;=$E$3,INDEX($B$10:$B$59,RANDBETWEEN(1,$E$3)),"")</x:f>
      </x:c>
      <x:c r="AH196" s="68" t="str">
        <x:f>IF(COLUMN()-2&lt;=$E$3,INDEX($B$10:$B$59,RANDBETWEEN(1,$E$3)),"")</x:f>
      </x:c>
      <x:c r="AI196" s="68" t="str">
        <x:f>IF(COLUMN()-2&lt;=$E$3,INDEX($B$10:$B$59,RANDBETWEEN(1,$E$3)),"")</x:f>
      </x:c>
      <x:c r="AJ196" s="68" t="str">
        <x:f>IF(COLUMN()-2&lt;=$E$3,INDEX($B$10:$B$59,RANDBETWEEN(1,$E$3)),"")</x:f>
      </x:c>
      <x:c r="AK196" s="68" t="str">
        <x:f>IF(COLUMN()-2&lt;=$E$3,INDEX($B$10:$B$59,RANDBETWEEN(1,$E$3)),"")</x:f>
      </x:c>
      <x:c r="AL196" s="68" t="str">
        <x:f>IF(COLUMN()-2&lt;=$E$3,INDEX($B$10:$B$59,RANDBETWEEN(1,$E$3)),"")</x:f>
      </x:c>
      <x:c r="AM196" s="68" t="str">
        <x:f>IF(COLUMN()-2&lt;=$E$3,INDEX($B$10:$B$59,RANDBETWEEN(1,$E$3)),"")</x:f>
      </x:c>
      <x:c r="AN196" s="68" t="str">
        <x:f>IF(COLUMN()-2&lt;=$E$3,INDEX($B$10:$B$59,RANDBETWEEN(1,$E$3)),"")</x:f>
      </x:c>
      <x:c r="AO196" s="68" t="str">
        <x:f>IF(COLUMN()-2&lt;=$E$3,INDEX($B$10:$B$59,RANDBETWEEN(1,$E$3)),"")</x:f>
      </x:c>
      <x:c r="AP196" s="68" t="str">
        <x:f>IF(COLUMN()-2&lt;=$E$3,INDEX($B$10:$B$59,RANDBETWEEN(1,$E$3)),"")</x:f>
      </x:c>
      <x:c r="AQ196" s="68" t="str">
        <x:f>IF(COLUMN()-2&lt;=$E$3,INDEX($B$10:$B$59,RANDBETWEEN(1,$E$3)),"")</x:f>
      </x:c>
      <x:c r="AR196" s="68" t="str">
        <x:f>IF(COLUMN()-2&lt;=$E$3,INDEX($B$10:$B$59,RANDBETWEEN(1,$E$3)),"")</x:f>
      </x:c>
      <x:c r="AS196" s="68" t="str">
        <x:f>IF(COLUMN()-2&lt;=$E$3,INDEX($B$10:$B$59,RANDBETWEEN(1,$E$3)),"")</x:f>
      </x:c>
      <x:c r="AT196" s="68" t="str">
        <x:f>IF(COLUMN()-2&lt;=$E$3,INDEX($B$10:$B$59,RANDBETWEEN(1,$E$3)),"")</x:f>
      </x:c>
      <x:c r="AU196" s="68" t="str">
        <x:f>IF(COLUMN()-2&lt;=$E$3,INDEX($B$10:$B$59,RANDBETWEEN(1,$E$3)),"")</x:f>
      </x:c>
      <x:c r="AV196" s="68" t="str">
        <x:f>IF(COLUMN()-2&lt;=$E$3,INDEX($B$10:$B$59,RANDBETWEEN(1,$E$3)),"")</x:f>
      </x:c>
      <x:c r="AW196" s="68" t="str">
        <x:f>IF(COLUMN()-2&lt;=$E$3,INDEX($B$10:$B$59,RANDBETWEEN(1,$E$3)),"")</x:f>
      </x:c>
      <x:c r="AX196" s="68" t="str">
        <x:f>IF(COLUMN()-2&lt;=$E$3,INDEX($B$10:$B$59,RANDBETWEEN(1,$E$3)),"")</x:f>
      </x:c>
      <x:c r="AY196" s="68" t="str">
        <x:f>IF(COLUMN()-2&lt;=$E$3,INDEX($B$10:$B$59,RANDBETWEEN(1,$E$3)),"")</x:f>
      </x:c>
      <x:c r="AZ196" s="68" t="str">
        <x:f>IF(COLUMN()-2&lt;=$E$3,INDEX($B$10:$B$59,RANDBETWEEN(1,$E$3)),"")</x:f>
      </x:c>
      <x:c r="BA196" s="68" t="str">
        <x:f>IF($E$3=0,"",AVERAGE(C196:AZ196))</x:f>
      </x:c>
    </x:row>
    <x:row r="197">
      <x:c r="A197" t="n">
        <x:v>133</x:v>
      </x:c>
      <x:c r="C197" s="68" t="str">
        <x:f>IF(COLUMN()-2&lt;=$E$3,INDEX($B$10:$B$59,RANDBETWEEN(1,$E$3)),"")</x:f>
      </x:c>
      <x:c r="D197" s="68" t="str">
        <x:f>IF(COLUMN()-2&lt;=$E$3,INDEX($B$10:$B$59,RANDBETWEEN(1,$E$3)),"")</x:f>
      </x:c>
      <x:c r="E197" s="68" t="str">
        <x:f>IF(COLUMN()-2&lt;=$E$3,INDEX($B$10:$B$59,RANDBETWEEN(1,$E$3)),"")</x:f>
      </x:c>
      <x:c r="F197" s="68" t="str">
        <x:f>IF(COLUMN()-2&lt;=$E$3,INDEX($B$10:$B$59,RANDBETWEEN(1,$E$3)),"")</x:f>
      </x:c>
      <x:c r="G197" s="68" t="str">
        <x:f>IF(COLUMN()-2&lt;=$E$3,INDEX($B$10:$B$59,RANDBETWEEN(1,$E$3)),"")</x:f>
      </x:c>
      <x:c r="H197" s="68" t="str">
        <x:f>IF(COLUMN()-2&lt;=$E$3,INDEX($B$10:$B$59,RANDBETWEEN(1,$E$3)),"")</x:f>
      </x:c>
      <x:c r="I197" s="68" t="str">
        <x:f>IF(COLUMN()-2&lt;=$E$3,INDEX($B$10:$B$59,RANDBETWEEN(1,$E$3)),"")</x:f>
      </x:c>
      <x:c r="J197" s="68" t="str">
        <x:f>IF(COLUMN()-2&lt;=$E$3,INDEX($B$10:$B$59,RANDBETWEEN(1,$E$3)),"")</x:f>
      </x:c>
      <x:c r="K197" s="68" t="str">
        <x:f>IF(COLUMN()-2&lt;=$E$3,INDEX($B$10:$B$59,RANDBETWEEN(1,$E$3)),"")</x:f>
      </x:c>
      <x:c r="L197" s="68" t="str">
        <x:f>IF(COLUMN()-2&lt;=$E$3,INDEX($B$10:$B$59,RANDBETWEEN(1,$E$3)),"")</x:f>
      </x:c>
      <x:c r="M197" s="68" t="str">
        <x:f>IF(COLUMN()-2&lt;=$E$3,INDEX($B$10:$B$59,RANDBETWEEN(1,$E$3)),"")</x:f>
      </x:c>
      <x:c r="N197" s="68" t="str">
        <x:f>IF(COLUMN()-2&lt;=$E$3,INDEX($B$10:$B$59,RANDBETWEEN(1,$E$3)),"")</x:f>
      </x:c>
      <x:c r="O197" s="68" t="str">
        <x:f>IF(COLUMN()-2&lt;=$E$3,INDEX($B$10:$B$59,RANDBETWEEN(1,$E$3)),"")</x:f>
      </x:c>
      <x:c r="P197" s="68" t="str">
        <x:f>IF(COLUMN()-2&lt;=$E$3,INDEX($B$10:$B$59,RANDBETWEEN(1,$E$3)),"")</x:f>
      </x:c>
      <x:c r="Q197" s="68" t="str">
        <x:f>IF(COLUMN()-2&lt;=$E$3,INDEX($B$10:$B$59,RANDBETWEEN(1,$E$3)),"")</x:f>
      </x:c>
      <x:c r="R197" s="68" t="str">
        <x:f>IF(COLUMN()-2&lt;=$E$3,INDEX($B$10:$B$59,RANDBETWEEN(1,$E$3)),"")</x:f>
      </x:c>
      <x:c r="S197" s="68" t="str">
        <x:f>IF(COLUMN()-2&lt;=$E$3,INDEX($B$10:$B$59,RANDBETWEEN(1,$E$3)),"")</x:f>
      </x:c>
      <x:c r="T197" s="68" t="str">
        <x:f>IF(COLUMN()-2&lt;=$E$3,INDEX($B$10:$B$59,RANDBETWEEN(1,$E$3)),"")</x:f>
      </x:c>
      <x:c r="U197" s="68" t="str">
        <x:f>IF(COLUMN()-2&lt;=$E$3,INDEX($B$10:$B$59,RANDBETWEEN(1,$E$3)),"")</x:f>
      </x:c>
      <x:c r="V197" s="68" t="str">
        <x:f>IF(COLUMN()-2&lt;=$E$3,INDEX($B$10:$B$59,RANDBETWEEN(1,$E$3)),"")</x:f>
      </x:c>
      <x:c r="W197" s="68" t="str">
        <x:f>IF(COLUMN()-2&lt;=$E$3,INDEX($B$10:$B$59,RANDBETWEEN(1,$E$3)),"")</x:f>
      </x:c>
      <x:c r="X197" s="68" t="str">
        <x:f>IF(COLUMN()-2&lt;=$E$3,INDEX($B$10:$B$59,RANDBETWEEN(1,$E$3)),"")</x:f>
      </x:c>
      <x:c r="Y197" s="68" t="str">
        <x:f>IF(COLUMN()-2&lt;=$E$3,INDEX($B$10:$B$59,RANDBETWEEN(1,$E$3)),"")</x:f>
      </x:c>
      <x:c r="Z197" s="68" t="str">
        <x:f>IF(COLUMN()-2&lt;=$E$3,INDEX($B$10:$B$59,RANDBETWEEN(1,$E$3)),"")</x:f>
      </x:c>
      <x:c r="AA197" s="68" t="str">
        <x:f>IF(COLUMN()-2&lt;=$E$3,INDEX($B$10:$B$59,RANDBETWEEN(1,$E$3)),"")</x:f>
      </x:c>
      <x:c r="AB197" s="68" t="str">
        <x:f>IF(COLUMN()-2&lt;=$E$3,INDEX($B$10:$B$59,RANDBETWEEN(1,$E$3)),"")</x:f>
      </x:c>
      <x:c r="AC197" s="68" t="str">
        <x:f>IF(COLUMN()-2&lt;=$E$3,INDEX($B$10:$B$59,RANDBETWEEN(1,$E$3)),"")</x:f>
      </x:c>
      <x:c r="AD197" s="68" t="str">
        <x:f>IF(COLUMN()-2&lt;=$E$3,INDEX($B$10:$B$59,RANDBETWEEN(1,$E$3)),"")</x:f>
      </x:c>
      <x:c r="AE197" s="68" t="str">
        <x:f>IF(COLUMN()-2&lt;=$E$3,INDEX($B$10:$B$59,RANDBETWEEN(1,$E$3)),"")</x:f>
      </x:c>
      <x:c r="AF197" s="68" t="str">
        <x:f>IF(COLUMN()-2&lt;=$E$3,INDEX($B$10:$B$59,RANDBETWEEN(1,$E$3)),"")</x:f>
      </x:c>
      <x:c r="AG197" s="68" t="str">
        <x:f>IF(COLUMN()-2&lt;=$E$3,INDEX($B$10:$B$59,RANDBETWEEN(1,$E$3)),"")</x:f>
      </x:c>
      <x:c r="AH197" s="68" t="str">
        <x:f>IF(COLUMN()-2&lt;=$E$3,INDEX($B$10:$B$59,RANDBETWEEN(1,$E$3)),"")</x:f>
      </x:c>
      <x:c r="AI197" s="68" t="str">
        <x:f>IF(COLUMN()-2&lt;=$E$3,INDEX($B$10:$B$59,RANDBETWEEN(1,$E$3)),"")</x:f>
      </x:c>
      <x:c r="AJ197" s="68" t="str">
        <x:f>IF(COLUMN()-2&lt;=$E$3,INDEX($B$10:$B$59,RANDBETWEEN(1,$E$3)),"")</x:f>
      </x:c>
      <x:c r="AK197" s="68" t="str">
        <x:f>IF(COLUMN()-2&lt;=$E$3,INDEX($B$10:$B$59,RANDBETWEEN(1,$E$3)),"")</x:f>
      </x:c>
      <x:c r="AL197" s="68" t="str">
        <x:f>IF(COLUMN()-2&lt;=$E$3,INDEX($B$10:$B$59,RANDBETWEEN(1,$E$3)),"")</x:f>
      </x:c>
      <x:c r="AM197" s="68" t="str">
        <x:f>IF(COLUMN()-2&lt;=$E$3,INDEX($B$10:$B$59,RANDBETWEEN(1,$E$3)),"")</x:f>
      </x:c>
      <x:c r="AN197" s="68" t="str">
        <x:f>IF(COLUMN()-2&lt;=$E$3,INDEX($B$10:$B$59,RANDBETWEEN(1,$E$3)),"")</x:f>
      </x:c>
      <x:c r="AO197" s="68" t="str">
        <x:f>IF(COLUMN()-2&lt;=$E$3,INDEX($B$10:$B$59,RANDBETWEEN(1,$E$3)),"")</x:f>
      </x:c>
      <x:c r="AP197" s="68" t="str">
        <x:f>IF(COLUMN()-2&lt;=$E$3,INDEX($B$10:$B$59,RANDBETWEEN(1,$E$3)),"")</x:f>
      </x:c>
      <x:c r="AQ197" s="68" t="str">
        <x:f>IF(COLUMN()-2&lt;=$E$3,INDEX($B$10:$B$59,RANDBETWEEN(1,$E$3)),"")</x:f>
      </x:c>
      <x:c r="AR197" s="68" t="str">
        <x:f>IF(COLUMN()-2&lt;=$E$3,INDEX($B$10:$B$59,RANDBETWEEN(1,$E$3)),"")</x:f>
      </x:c>
      <x:c r="AS197" s="68" t="str">
        <x:f>IF(COLUMN()-2&lt;=$E$3,INDEX($B$10:$B$59,RANDBETWEEN(1,$E$3)),"")</x:f>
      </x:c>
      <x:c r="AT197" s="68" t="str">
        <x:f>IF(COLUMN()-2&lt;=$E$3,INDEX($B$10:$B$59,RANDBETWEEN(1,$E$3)),"")</x:f>
      </x:c>
      <x:c r="AU197" s="68" t="str">
        <x:f>IF(COLUMN()-2&lt;=$E$3,INDEX($B$10:$B$59,RANDBETWEEN(1,$E$3)),"")</x:f>
      </x:c>
      <x:c r="AV197" s="68" t="str">
        <x:f>IF(COLUMN()-2&lt;=$E$3,INDEX($B$10:$B$59,RANDBETWEEN(1,$E$3)),"")</x:f>
      </x:c>
      <x:c r="AW197" s="68" t="str">
        <x:f>IF(COLUMN()-2&lt;=$E$3,INDEX($B$10:$B$59,RANDBETWEEN(1,$E$3)),"")</x:f>
      </x:c>
      <x:c r="AX197" s="68" t="str">
        <x:f>IF(COLUMN()-2&lt;=$E$3,INDEX($B$10:$B$59,RANDBETWEEN(1,$E$3)),"")</x:f>
      </x:c>
      <x:c r="AY197" s="68" t="str">
        <x:f>IF(COLUMN()-2&lt;=$E$3,INDEX($B$10:$B$59,RANDBETWEEN(1,$E$3)),"")</x:f>
      </x:c>
      <x:c r="AZ197" s="68" t="str">
        <x:f>IF(COLUMN()-2&lt;=$E$3,INDEX($B$10:$B$59,RANDBETWEEN(1,$E$3)),"")</x:f>
      </x:c>
      <x:c r="BA197" s="68" t="str">
        <x:f>IF($E$3=0,"",AVERAGE(C197:AZ197))</x:f>
      </x:c>
    </x:row>
    <x:row r="198">
      <x:c r="A198" t="n">
        <x:v>134</x:v>
      </x:c>
      <x:c r="C198" s="68" t="str">
        <x:f>IF(COLUMN()-2&lt;=$E$3,INDEX($B$10:$B$59,RANDBETWEEN(1,$E$3)),"")</x:f>
      </x:c>
      <x:c r="D198" s="68" t="str">
        <x:f>IF(COLUMN()-2&lt;=$E$3,INDEX($B$10:$B$59,RANDBETWEEN(1,$E$3)),"")</x:f>
      </x:c>
      <x:c r="E198" s="68" t="str">
        <x:f>IF(COLUMN()-2&lt;=$E$3,INDEX($B$10:$B$59,RANDBETWEEN(1,$E$3)),"")</x:f>
      </x:c>
      <x:c r="F198" s="68" t="str">
        <x:f>IF(COLUMN()-2&lt;=$E$3,INDEX($B$10:$B$59,RANDBETWEEN(1,$E$3)),"")</x:f>
      </x:c>
      <x:c r="G198" s="68" t="str">
        <x:f>IF(COLUMN()-2&lt;=$E$3,INDEX($B$10:$B$59,RANDBETWEEN(1,$E$3)),"")</x:f>
      </x:c>
      <x:c r="H198" s="68" t="str">
        <x:f>IF(COLUMN()-2&lt;=$E$3,INDEX($B$10:$B$59,RANDBETWEEN(1,$E$3)),"")</x:f>
      </x:c>
      <x:c r="I198" s="68" t="str">
        <x:f>IF(COLUMN()-2&lt;=$E$3,INDEX($B$10:$B$59,RANDBETWEEN(1,$E$3)),"")</x:f>
      </x:c>
      <x:c r="J198" s="68" t="str">
        <x:f>IF(COLUMN()-2&lt;=$E$3,INDEX($B$10:$B$59,RANDBETWEEN(1,$E$3)),"")</x:f>
      </x:c>
      <x:c r="K198" s="68" t="str">
        <x:f>IF(COLUMN()-2&lt;=$E$3,INDEX($B$10:$B$59,RANDBETWEEN(1,$E$3)),"")</x:f>
      </x:c>
      <x:c r="L198" s="68" t="str">
        <x:f>IF(COLUMN()-2&lt;=$E$3,INDEX($B$10:$B$59,RANDBETWEEN(1,$E$3)),"")</x:f>
      </x:c>
      <x:c r="M198" s="68" t="str">
        <x:f>IF(COLUMN()-2&lt;=$E$3,INDEX($B$10:$B$59,RANDBETWEEN(1,$E$3)),"")</x:f>
      </x:c>
      <x:c r="N198" s="68" t="str">
        <x:f>IF(COLUMN()-2&lt;=$E$3,INDEX($B$10:$B$59,RANDBETWEEN(1,$E$3)),"")</x:f>
      </x:c>
      <x:c r="O198" s="68" t="str">
        <x:f>IF(COLUMN()-2&lt;=$E$3,INDEX($B$10:$B$59,RANDBETWEEN(1,$E$3)),"")</x:f>
      </x:c>
      <x:c r="P198" s="68" t="str">
        <x:f>IF(COLUMN()-2&lt;=$E$3,INDEX($B$10:$B$59,RANDBETWEEN(1,$E$3)),"")</x:f>
      </x:c>
      <x:c r="Q198" s="68" t="str">
        <x:f>IF(COLUMN()-2&lt;=$E$3,INDEX($B$10:$B$59,RANDBETWEEN(1,$E$3)),"")</x:f>
      </x:c>
      <x:c r="R198" s="68" t="str">
        <x:f>IF(COLUMN()-2&lt;=$E$3,INDEX($B$10:$B$59,RANDBETWEEN(1,$E$3)),"")</x:f>
      </x:c>
      <x:c r="S198" s="68" t="str">
        <x:f>IF(COLUMN()-2&lt;=$E$3,INDEX($B$10:$B$59,RANDBETWEEN(1,$E$3)),"")</x:f>
      </x:c>
      <x:c r="T198" s="68" t="str">
        <x:f>IF(COLUMN()-2&lt;=$E$3,INDEX($B$10:$B$59,RANDBETWEEN(1,$E$3)),"")</x:f>
      </x:c>
      <x:c r="U198" s="68" t="str">
        <x:f>IF(COLUMN()-2&lt;=$E$3,INDEX($B$10:$B$59,RANDBETWEEN(1,$E$3)),"")</x:f>
      </x:c>
      <x:c r="V198" s="68" t="str">
        <x:f>IF(COLUMN()-2&lt;=$E$3,INDEX($B$10:$B$59,RANDBETWEEN(1,$E$3)),"")</x:f>
      </x:c>
      <x:c r="W198" s="68" t="str">
        <x:f>IF(COLUMN()-2&lt;=$E$3,INDEX($B$10:$B$59,RANDBETWEEN(1,$E$3)),"")</x:f>
      </x:c>
      <x:c r="X198" s="68" t="str">
        <x:f>IF(COLUMN()-2&lt;=$E$3,INDEX($B$10:$B$59,RANDBETWEEN(1,$E$3)),"")</x:f>
      </x:c>
      <x:c r="Y198" s="68" t="str">
        <x:f>IF(COLUMN()-2&lt;=$E$3,INDEX($B$10:$B$59,RANDBETWEEN(1,$E$3)),"")</x:f>
      </x:c>
      <x:c r="Z198" s="68" t="str">
        <x:f>IF(COLUMN()-2&lt;=$E$3,INDEX($B$10:$B$59,RANDBETWEEN(1,$E$3)),"")</x:f>
      </x:c>
      <x:c r="AA198" s="68" t="str">
        <x:f>IF(COLUMN()-2&lt;=$E$3,INDEX($B$10:$B$59,RANDBETWEEN(1,$E$3)),"")</x:f>
      </x:c>
      <x:c r="AB198" s="68" t="str">
        <x:f>IF(COLUMN()-2&lt;=$E$3,INDEX($B$10:$B$59,RANDBETWEEN(1,$E$3)),"")</x:f>
      </x:c>
      <x:c r="AC198" s="68" t="str">
        <x:f>IF(COLUMN()-2&lt;=$E$3,INDEX($B$10:$B$59,RANDBETWEEN(1,$E$3)),"")</x:f>
      </x:c>
      <x:c r="AD198" s="68" t="str">
        <x:f>IF(COLUMN()-2&lt;=$E$3,INDEX($B$10:$B$59,RANDBETWEEN(1,$E$3)),"")</x:f>
      </x:c>
      <x:c r="AE198" s="68" t="str">
        <x:f>IF(COLUMN()-2&lt;=$E$3,INDEX($B$10:$B$59,RANDBETWEEN(1,$E$3)),"")</x:f>
      </x:c>
      <x:c r="AF198" s="68" t="str">
        <x:f>IF(COLUMN()-2&lt;=$E$3,INDEX($B$10:$B$59,RANDBETWEEN(1,$E$3)),"")</x:f>
      </x:c>
      <x:c r="AG198" s="68" t="str">
        <x:f>IF(COLUMN()-2&lt;=$E$3,INDEX($B$10:$B$59,RANDBETWEEN(1,$E$3)),"")</x:f>
      </x:c>
      <x:c r="AH198" s="68" t="str">
        <x:f>IF(COLUMN()-2&lt;=$E$3,INDEX($B$10:$B$59,RANDBETWEEN(1,$E$3)),"")</x:f>
      </x:c>
      <x:c r="AI198" s="68" t="str">
        <x:f>IF(COLUMN()-2&lt;=$E$3,INDEX($B$10:$B$59,RANDBETWEEN(1,$E$3)),"")</x:f>
      </x:c>
      <x:c r="AJ198" s="68" t="str">
        <x:f>IF(COLUMN()-2&lt;=$E$3,INDEX($B$10:$B$59,RANDBETWEEN(1,$E$3)),"")</x:f>
      </x:c>
      <x:c r="AK198" s="68" t="str">
        <x:f>IF(COLUMN()-2&lt;=$E$3,INDEX($B$10:$B$59,RANDBETWEEN(1,$E$3)),"")</x:f>
      </x:c>
      <x:c r="AL198" s="68" t="str">
        <x:f>IF(COLUMN()-2&lt;=$E$3,INDEX($B$10:$B$59,RANDBETWEEN(1,$E$3)),"")</x:f>
      </x:c>
      <x:c r="AM198" s="68" t="str">
        <x:f>IF(COLUMN()-2&lt;=$E$3,INDEX($B$10:$B$59,RANDBETWEEN(1,$E$3)),"")</x:f>
      </x:c>
      <x:c r="AN198" s="68" t="str">
        <x:f>IF(COLUMN()-2&lt;=$E$3,INDEX($B$10:$B$59,RANDBETWEEN(1,$E$3)),"")</x:f>
      </x:c>
      <x:c r="AO198" s="68" t="str">
        <x:f>IF(COLUMN()-2&lt;=$E$3,INDEX($B$10:$B$59,RANDBETWEEN(1,$E$3)),"")</x:f>
      </x:c>
      <x:c r="AP198" s="68" t="str">
        <x:f>IF(COLUMN()-2&lt;=$E$3,INDEX($B$10:$B$59,RANDBETWEEN(1,$E$3)),"")</x:f>
      </x:c>
      <x:c r="AQ198" s="68" t="str">
        <x:f>IF(COLUMN()-2&lt;=$E$3,INDEX($B$10:$B$59,RANDBETWEEN(1,$E$3)),"")</x:f>
      </x:c>
      <x:c r="AR198" s="68" t="str">
        <x:f>IF(COLUMN()-2&lt;=$E$3,INDEX($B$10:$B$59,RANDBETWEEN(1,$E$3)),"")</x:f>
      </x:c>
      <x:c r="AS198" s="68" t="str">
        <x:f>IF(COLUMN()-2&lt;=$E$3,INDEX($B$10:$B$59,RANDBETWEEN(1,$E$3)),"")</x:f>
      </x:c>
      <x:c r="AT198" s="68" t="str">
        <x:f>IF(COLUMN()-2&lt;=$E$3,INDEX($B$10:$B$59,RANDBETWEEN(1,$E$3)),"")</x:f>
      </x:c>
      <x:c r="AU198" s="68" t="str">
        <x:f>IF(COLUMN()-2&lt;=$E$3,INDEX($B$10:$B$59,RANDBETWEEN(1,$E$3)),"")</x:f>
      </x:c>
      <x:c r="AV198" s="68" t="str">
        <x:f>IF(COLUMN()-2&lt;=$E$3,INDEX($B$10:$B$59,RANDBETWEEN(1,$E$3)),"")</x:f>
      </x:c>
      <x:c r="AW198" s="68" t="str">
        <x:f>IF(COLUMN()-2&lt;=$E$3,INDEX($B$10:$B$59,RANDBETWEEN(1,$E$3)),"")</x:f>
      </x:c>
      <x:c r="AX198" s="68" t="str">
        <x:f>IF(COLUMN()-2&lt;=$E$3,INDEX($B$10:$B$59,RANDBETWEEN(1,$E$3)),"")</x:f>
      </x:c>
      <x:c r="AY198" s="68" t="str">
        <x:f>IF(COLUMN()-2&lt;=$E$3,INDEX($B$10:$B$59,RANDBETWEEN(1,$E$3)),"")</x:f>
      </x:c>
      <x:c r="AZ198" s="68" t="str">
        <x:f>IF(COLUMN()-2&lt;=$E$3,INDEX($B$10:$B$59,RANDBETWEEN(1,$E$3)),"")</x:f>
      </x:c>
      <x:c r="BA198" s="68" t="str">
        <x:f>IF($E$3=0,"",AVERAGE(C198:AZ198))</x:f>
      </x:c>
    </x:row>
    <x:row r="199">
      <x:c r="A199" t="n">
        <x:v>135</x:v>
      </x:c>
      <x:c r="C199" s="68" t="str">
        <x:f>IF(COLUMN()-2&lt;=$E$3,INDEX($B$10:$B$59,RANDBETWEEN(1,$E$3)),"")</x:f>
      </x:c>
      <x:c r="D199" s="68" t="str">
        <x:f>IF(COLUMN()-2&lt;=$E$3,INDEX($B$10:$B$59,RANDBETWEEN(1,$E$3)),"")</x:f>
      </x:c>
      <x:c r="E199" s="68" t="str">
        <x:f>IF(COLUMN()-2&lt;=$E$3,INDEX($B$10:$B$59,RANDBETWEEN(1,$E$3)),"")</x:f>
      </x:c>
      <x:c r="F199" s="68" t="str">
        <x:f>IF(COLUMN()-2&lt;=$E$3,INDEX($B$10:$B$59,RANDBETWEEN(1,$E$3)),"")</x:f>
      </x:c>
      <x:c r="G199" s="68" t="str">
        <x:f>IF(COLUMN()-2&lt;=$E$3,INDEX($B$10:$B$59,RANDBETWEEN(1,$E$3)),"")</x:f>
      </x:c>
      <x:c r="H199" s="68" t="str">
        <x:f>IF(COLUMN()-2&lt;=$E$3,INDEX($B$10:$B$59,RANDBETWEEN(1,$E$3)),"")</x:f>
      </x:c>
      <x:c r="I199" s="68" t="str">
        <x:f>IF(COLUMN()-2&lt;=$E$3,INDEX($B$10:$B$59,RANDBETWEEN(1,$E$3)),"")</x:f>
      </x:c>
      <x:c r="J199" s="68" t="str">
        <x:f>IF(COLUMN()-2&lt;=$E$3,INDEX($B$10:$B$59,RANDBETWEEN(1,$E$3)),"")</x:f>
      </x:c>
      <x:c r="K199" s="68" t="str">
        <x:f>IF(COLUMN()-2&lt;=$E$3,INDEX($B$10:$B$59,RANDBETWEEN(1,$E$3)),"")</x:f>
      </x:c>
      <x:c r="L199" s="68" t="str">
        <x:f>IF(COLUMN()-2&lt;=$E$3,INDEX($B$10:$B$59,RANDBETWEEN(1,$E$3)),"")</x:f>
      </x:c>
      <x:c r="M199" s="68" t="str">
        <x:f>IF(COLUMN()-2&lt;=$E$3,INDEX($B$10:$B$59,RANDBETWEEN(1,$E$3)),"")</x:f>
      </x:c>
      <x:c r="N199" s="68" t="str">
        <x:f>IF(COLUMN()-2&lt;=$E$3,INDEX($B$10:$B$59,RANDBETWEEN(1,$E$3)),"")</x:f>
      </x:c>
      <x:c r="O199" s="68" t="str">
        <x:f>IF(COLUMN()-2&lt;=$E$3,INDEX($B$10:$B$59,RANDBETWEEN(1,$E$3)),"")</x:f>
      </x:c>
      <x:c r="P199" s="68" t="str">
        <x:f>IF(COLUMN()-2&lt;=$E$3,INDEX($B$10:$B$59,RANDBETWEEN(1,$E$3)),"")</x:f>
      </x:c>
      <x:c r="Q199" s="68" t="str">
        <x:f>IF(COLUMN()-2&lt;=$E$3,INDEX($B$10:$B$59,RANDBETWEEN(1,$E$3)),"")</x:f>
      </x:c>
      <x:c r="R199" s="68" t="str">
        <x:f>IF(COLUMN()-2&lt;=$E$3,INDEX($B$10:$B$59,RANDBETWEEN(1,$E$3)),"")</x:f>
      </x:c>
      <x:c r="S199" s="68" t="str">
        <x:f>IF(COLUMN()-2&lt;=$E$3,INDEX($B$10:$B$59,RANDBETWEEN(1,$E$3)),"")</x:f>
      </x:c>
      <x:c r="T199" s="68" t="str">
        <x:f>IF(COLUMN()-2&lt;=$E$3,INDEX($B$10:$B$59,RANDBETWEEN(1,$E$3)),"")</x:f>
      </x:c>
      <x:c r="U199" s="68" t="str">
        <x:f>IF(COLUMN()-2&lt;=$E$3,INDEX($B$10:$B$59,RANDBETWEEN(1,$E$3)),"")</x:f>
      </x:c>
      <x:c r="V199" s="68" t="str">
        <x:f>IF(COLUMN()-2&lt;=$E$3,INDEX($B$10:$B$59,RANDBETWEEN(1,$E$3)),"")</x:f>
      </x:c>
      <x:c r="W199" s="68" t="str">
        <x:f>IF(COLUMN()-2&lt;=$E$3,INDEX($B$10:$B$59,RANDBETWEEN(1,$E$3)),"")</x:f>
      </x:c>
      <x:c r="X199" s="68" t="str">
        <x:f>IF(COLUMN()-2&lt;=$E$3,INDEX($B$10:$B$59,RANDBETWEEN(1,$E$3)),"")</x:f>
      </x:c>
      <x:c r="Y199" s="68" t="str">
        <x:f>IF(COLUMN()-2&lt;=$E$3,INDEX($B$10:$B$59,RANDBETWEEN(1,$E$3)),"")</x:f>
      </x:c>
      <x:c r="Z199" s="68" t="str">
        <x:f>IF(COLUMN()-2&lt;=$E$3,INDEX($B$10:$B$59,RANDBETWEEN(1,$E$3)),"")</x:f>
      </x:c>
      <x:c r="AA199" s="68" t="str">
        <x:f>IF(COLUMN()-2&lt;=$E$3,INDEX($B$10:$B$59,RANDBETWEEN(1,$E$3)),"")</x:f>
      </x:c>
      <x:c r="AB199" s="68" t="str">
        <x:f>IF(COLUMN()-2&lt;=$E$3,INDEX($B$10:$B$59,RANDBETWEEN(1,$E$3)),"")</x:f>
      </x:c>
      <x:c r="AC199" s="68" t="str">
        <x:f>IF(COLUMN()-2&lt;=$E$3,INDEX($B$10:$B$59,RANDBETWEEN(1,$E$3)),"")</x:f>
      </x:c>
      <x:c r="AD199" s="68" t="str">
        <x:f>IF(COLUMN()-2&lt;=$E$3,INDEX($B$10:$B$59,RANDBETWEEN(1,$E$3)),"")</x:f>
      </x:c>
      <x:c r="AE199" s="68" t="str">
        <x:f>IF(COLUMN()-2&lt;=$E$3,INDEX($B$10:$B$59,RANDBETWEEN(1,$E$3)),"")</x:f>
      </x:c>
      <x:c r="AF199" s="68" t="str">
        <x:f>IF(COLUMN()-2&lt;=$E$3,INDEX($B$10:$B$59,RANDBETWEEN(1,$E$3)),"")</x:f>
      </x:c>
      <x:c r="AG199" s="68" t="str">
        <x:f>IF(COLUMN()-2&lt;=$E$3,INDEX($B$10:$B$59,RANDBETWEEN(1,$E$3)),"")</x:f>
      </x:c>
      <x:c r="AH199" s="68" t="str">
        <x:f>IF(COLUMN()-2&lt;=$E$3,INDEX($B$10:$B$59,RANDBETWEEN(1,$E$3)),"")</x:f>
      </x:c>
      <x:c r="AI199" s="68" t="str">
        <x:f>IF(COLUMN()-2&lt;=$E$3,INDEX($B$10:$B$59,RANDBETWEEN(1,$E$3)),"")</x:f>
      </x:c>
      <x:c r="AJ199" s="68" t="str">
        <x:f>IF(COLUMN()-2&lt;=$E$3,INDEX($B$10:$B$59,RANDBETWEEN(1,$E$3)),"")</x:f>
      </x:c>
      <x:c r="AK199" s="68" t="str">
        <x:f>IF(COLUMN()-2&lt;=$E$3,INDEX($B$10:$B$59,RANDBETWEEN(1,$E$3)),"")</x:f>
      </x:c>
      <x:c r="AL199" s="68" t="str">
        <x:f>IF(COLUMN()-2&lt;=$E$3,INDEX($B$10:$B$59,RANDBETWEEN(1,$E$3)),"")</x:f>
      </x:c>
      <x:c r="AM199" s="68" t="str">
        <x:f>IF(COLUMN()-2&lt;=$E$3,INDEX($B$10:$B$59,RANDBETWEEN(1,$E$3)),"")</x:f>
      </x:c>
      <x:c r="AN199" s="68" t="str">
        <x:f>IF(COLUMN()-2&lt;=$E$3,INDEX($B$10:$B$59,RANDBETWEEN(1,$E$3)),"")</x:f>
      </x:c>
      <x:c r="AO199" s="68" t="str">
        <x:f>IF(COLUMN()-2&lt;=$E$3,INDEX($B$10:$B$59,RANDBETWEEN(1,$E$3)),"")</x:f>
      </x:c>
      <x:c r="AP199" s="68" t="str">
        <x:f>IF(COLUMN()-2&lt;=$E$3,INDEX($B$10:$B$59,RANDBETWEEN(1,$E$3)),"")</x:f>
      </x:c>
      <x:c r="AQ199" s="68" t="str">
        <x:f>IF(COLUMN()-2&lt;=$E$3,INDEX($B$10:$B$59,RANDBETWEEN(1,$E$3)),"")</x:f>
      </x:c>
      <x:c r="AR199" s="68" t="str">
        <x:f>IF(COLUMN()-2&lt;=$E$3,INDEX($B$10:$B$59,RANDBETWEEN(1,$E$3)),"")</x:f>
      </x:c>
      <x:c r="AS199" s="68" t="str">
        <x:f>IF(COLUMN()-2&lt;=$E$3,INDEX($B$10:$B$59,RANDBETWEEN(1,$E$3)),"")</x:f>
      </x:c>
      <x:c r="AT199" s="68" t="str">
        <x:f>IF(COLUMN()-2&lt;=$E$3,INDEX($B$10:$B$59,RANDBETWEEN(1,$E$3)),"")</x:f>
      </x:c>
      <x:c r="AU199" s="68" t="str">
        <x:f>IF(COLUMN()-2&lt;=$E$3,INDEX($B$10:$B$59,RANDBETWEEN(1,$E$3)),"")</x:f>
      </x:c>
      <x:c r="AV199" s="68" t="str">
        <x:f>IF(COLUMN()-2&lt;=$E$3,INDEX($B$10:$B$59,RANDBETWEEN(1,$E$3)),"")</x:f>
      </x:c>
      <x:c r="AW199" s="68" t="str">
        <x:f>IF(COLUMN()-2&lt;=$E$3,INDEX($B$10:$B$59,RANDBETWEEN(1,$E$3)),"")</x:f>
      </x:c>
      <x:c r="AX199" s="68" t="str">
        <x:f>IF(COLUMN()-2&lt;=$E$3,INDEX($B$10:$B$59,RANDBETWEEN(1,$E$3)),"")</x:f>
      </x:c>
      <x:c r="AY199" s="68" t="str">
        <x:f>IF(COLUMN()-2&lt;=$E$3,INDEX($B$10:$B$59,RANDBETWEEN(1,$E$3)),"")</x:f>
      </x:c>
      <x:c r="AZ199" s="68" t="str">
        <x:f>IF(COLUMN()-2&lt;=$E$3,INDEX($B$10:$B$59,RANDBETWEEN(1,$E$3)),"")</x:f>
      </x:c>
      <x:c r="BA199" s="68" t="str">
        <x:f>IF($E$3=0,"",AVERAGE(C199:AZ199))</x:f>
      </x:c>
    </x:row>
    <x:row r="200">
      <x:c r="A200" t="n">
        <x:v>136</x:v>
      </x:c>
      <x:c r="C200" s="68" t="str">
        <x:f>IF(COLUMN()-2&lt;=$E$3,INDEX($B$10:$B$59,RANDBETWEEN(1,$E$3)),"")</x:f>
      </x:c>
      <x:c r="D200" s="68" t="str">
        <x:f>IF(COLUMN()-2&lt;=$E$3,INDEX($B$10:$B$59,RANDBETWEEN(1,$E$3)),"")</x:f>
      </x:c>
      <x:c r="E200" s="68" t="str">
        <x:f>IF(COLUMN()-2&lt;=$E$3,INDEX($B$10:$B$59,RANDBETWEEN(1,$E$3)),"")</x:f>
      </x:c>
      <x:c r="F200" s="68" t="str">
        <x:f>IF(COLUMN()-2&lt;=$E$3,INDEX($B$10:$B$59,RANDBETWEEN(1,$E$3)),"")</x:f>
      </x:c>
      <x:c r="G200" s="68" t="str">
        <x:f>IF(COLUMN()-2&lt;=$E$3,INDEX($B$10:$B$59,RANDBETWEEN(1,$E$3)),"")</x:f>
      </x:c>
      <x:c r="H200" s="68" t="str">
        <x:f>IF(COLUMN()-2&lt;=$E$3,INDEX($B$10:$B$59,RANDBETWEEN(1,$E$3)),"")</x:f>
      </x:c>
      <x:c r="I200" s="68" t="str">
        <x:f>IF(COLUMN()-2&lt;=$E$3,INDEX($B$10:$B$59,RANDBETWEEN(1,$E$3)),"")</x:f>
      </x:c>
      <x:c r="J200" s="68" t="str">
        <x:f>IF(COLUMN()-2&lt;=$E$3,INDEX($B$10:$B$59,RANDBETWEEN(1,$E$3)),"")</x:f>
      </x:c>
      <x:c r="K200" s="68" t="str">
        <x:f>IF(COLUMN()-2&lt;=$E$3,INDEX($B$10:$B$59,RANDBETWEEN(1,$E$3)),"")</x:f>
      </x:c>
      <x:c r="L200" s="68" t="str">
        <x:f>IF(COLUMN()-2&lt;=$E$3,INDEX($B$10:$B$59,RANDBETWEEN(1,$E$3)),"")</x:f>
      </x:c>
      <x:c r="M200" s="68" t="str">
        <x:f>IF(COLUMN()-2&lt;=$E$3,INDEX($B$10:$B$59,RANDBETWEEN(1,$E$3)),"")</x:f>
      </x:c>
      <x:c r="N200" s="68" t="str">
        <x:f>IF(COLUMN()-2&lt;=$E$3,INDEX($B$10:$B$59,RANDBETWEEN(1,$E$3)),"")</x:f>
      </x:c>
      <x:c r="O200" s="68" t="str">
        <x:f>IF(COLUMN()-2&lt;=$E$3,INDEX($B$10:$B$59,RANDBETWEEN(1,$E$3)),"")</x:f>
      </x:c>
      <x:c r="P200" s="68" t="str">
        <x:f>IF(COLUMN()-2&lt;=$E$3,INDEX($B$10:$B$59,RANDBETWEEN(1,$E$3)),"")</x:f>
      </x:c>
      <x:c r="Q200" s="68" t="str">
        <x:f>IF(COLUMN()-2&lt;=$E$3,INDEX($B$10:$B$59,RANDBETWEEN(1,$E$3)),"")</x:f>
      </x:c>
      <x:c r="R200" s="68" t="str">
        <x:f>IF(COLUMN()-2&lt;=$E$3,INDEX($B$10:$B$59,RANDBETWEEN(1,$E$3)),"")</x:f>
      </x:c>
      <x:c r="S200" s="68" t="str">
        <x:f>IF(COLUMN()-2&lt;=$E$3,INDEX($B$10:$B$59,RANDBETWEEN(1,$E$3)),"")</x:f>
      </x:c>
      <x:c r="T200" s="68" t="str">
        <x:f>IF(COLUMN()-2&lt;=$E$3,INDEX($B$10:$B$59,RANDBETWEEN(1,$E$3)),"")</x:f>
      </x:c>
      <x:c r="U200" s="68" t="str">
        <x:f>IF(COLUMN()-2&lt;=$E$3,INDEX($B$10:$B$59,RANDBETWEEN(1,$E$3)),"")</x:f>
      </x:c>
      <x:c r="V200" s="68" t="str">
        <x:f>IF(COLUMN()-2&lt;=$E$3,INDEX($B$10:$B$59,RANDBETWEEN(1,$E$3)),"")</x:f>
      </x:c>
      <x:c r="W200" s="68" t="str">
        <x:f>IF(COLUMN()-2&lt;=$E$3,INDEX($B$10:$B$59,RANDBETWEEN(1,$E$3)),"")</x:f>
      </x:c>
      <x:c r="X200" s="68" t="str">
        <x:f>IF(COLUMN()-2&lt;=$E$3,INDEX($B$10:$B$59,RANDBETWEEN(1,$E$3)),"")</x:f>
      </x:c>
      <x:c r="Y200" s="68" t="str">
        <x:f>IF(COLUMN()-2&lt;=$E$3,INDEX($B$10:$B$59,RANDBETWEEN(1,$E$3)),"")</x:f>
      </x:c>
      <x:c r="Z200" s="68" t="str">
        <x:f>IF(COLUMN()-2&lt;=$E$3,INDEX($B$10:$B$59,RANDBETWEEN(1,$E$3)),"")</x:f>
      </x:c>
      <x:c r="AA200" s="68" t="str">
        <x:f>IF(COLUMN()-2&lt;=$E$3,INDEX($B$10:$B$59,RANDBETWEEN(1,$E$3)),"")</x:f>
      </x:c>
      <x:c r="AB200" s="68" t="str">
        <x:f>IF(COLUMN()-2&lt;=$E$3,INDEX($B$10:$B$59,RANDBETWEEN(1,$E$3)),"")</x:f>
      </x:c>
      <x:c r="AC200" s="68" t="str">
        <x:f>IF(COLUMN()-2&lt;=$E$3,INDEX($B$10:$B$59,RANDBETWEEN(1,$E$3)),"")</x:f>
      </x:c>
      <x:c r="AD200" s="68" t="str">
        <x:f>IF(COLUMN()-2&lt;=$E$3,INDEX($B$10:$B$59,RANDBETWEEN(1,$E$3)),"")</x:f>
      </x:c>
      <x:c r="AE200" s="68" t="str">
        <x:f>IF(COLUMN()-2&lt;=$E$3,INDEX($B$10:$B$59,RANDBETWEEN(1,$E$3)),"")</x:f>
      </x:c>
      <x:c r="AF200" s="68" t="str">
        <x:f>IF(COLUMN()-2&lt;=$E$3,INDEX($B$10:$B$59,RANDBETWEEN(1,$E$3)),"")</x:f>
      </x:c>
      <x:c r="AG200" s="68" t="str">
        <x:f>IF(COLUMN()-2&lt;=$E$3,INDEX($B$10:$B$59,RANDBETWEEN(1,$E$3)),"")</x:f>
      </x:c>
      <x:c r="AH200" s="68" t="str">
        <x:f>IF(COLUMN()-2&lt;=$E$3,INDEX($B$10:$B$59,RANDBETWEEN(1,$E$3)),"")</x:f>
      </x:c>
      <x:c r="AI200" s="68" t="str">
        <x:f>IF(COLUMN()-2&lt;=$E$3,INDEX($B$10:$B$59,RANDBETWEEN(1,$E$3)),"")</x:f>
      </x:c>
      <x:c r="AJ200" s="68" t="str">
        <x:f>IF(COLUMN()-2&lt;=$E$3,INDEX($B$10:$B$59,RANDBETWEEN(1,$E$3)),"")</x:f>
      </x:c>
      <x:c r="AK200" s="68" t="str">
        <x:f>IF(COLUMN()-2&lt;=$E$3,INDEX($B$10:$B$59,RANDBETWEEN(1,$E$3)),"")</x:f>
      </x:c>
      <x:c r="AL200" s="68" t="str">
        <x:f>IF(COLUMN()-2&lt;=$E$3,INDEX($B$10:$B$59,RANDBETWEEN(1,$E$3)),"")</x:f>
      </x:c>
      <x:c r="AM200" s="68" t="str">
        <x:f>IF(COLUMN()-2&lt;=$E$3,INDEX($B$10:$B$59,RANDBETWEEN(1,$E$3)),"")</x:f>
      </x:c>
      <x:c r="AN200" s="68" t="str">
        <x:f>IF(COLUMN()-2&lt;=$E$3,INDEX($B$10:$B$59,RANDBETWEEN(1,$E$3)),"")</x:f>
      </x:c>
      <x:c r="AO200" s="68" t="str">
        <x:f>IF(COLUMN()-2&lt;=$E$3,INDEX($B$10:$B$59,RANDBETWEEN(1,$E$3)),"")</x:f>
      </x:c>
      <x:c r="AP200" s="68" t="str">
        <x:f>IF(COLUMN()-2&lt;=$E$3,INDEX($B$10:$B$59,RANDBETWEEN(1,$E$3)),"")</x:f>
      </x:c>
      <x:c r="AQ200" s="68" t="str">
        <x:f>IF(COLUMN()-2&lt;=$E$3,INDEX($B$10:$B$59,RANDBETWEEN(1,$E$3)),"")</x:f>
      </x:c>
      <x:c r="AR200" s="68" t="str">
        <x:f>IF(COLUMN()-2&lt;=$E$3,INDEX($B$10:$B$59,RANDBETWEEN(1,$E$3)),"")</x:f>
      </x:c>
      <x:c r="AS200" s="68" t="str">
        <x:f>IF(COLUMN()-2&lt;=$E$3,INDEX($B$10:$B$59,RANDBETWEEN(1,$E$3)),"")</x:f>
      </x:c>
      <x:c r="AT200" s="68" t="str">
        <x:f>IF(COLUMN()-2&lt;=$E$3,INDEX($B$10:$B$59,RANDBETWEEN(1,$E$3)),"")</x:f>
      </x:c>
      <x:c r="AU200" s="68" t="str">
        <x:f>IF(COLUMN()-2&lt;=$E$3,INDEX($B$10:$B$59,RANDBETWEEN(1,$E$3)),"")</x:f>
      </x:c>
      <x:c r="AV200" s="68" t="str">
        <x:f>IF(COLUMN()-2&lt;=$E$3,INDEX($B$10:$B$59,RANDBETWEEN(1,$E$3)),"")</x:f>
      </x:c>
      <x:c r="AW200" s="68" t="str">
        <x:f>IF(COLUMN()-2&lt;=$E$3,INDEX($B$10:$B$59,RANDBETWEEN(1,$E$3)),"")</x:f>
      </x:c>
      <x:c r="AX200" s="68" t="str">
        <x:f>IF(COLUMN()-2&lt;=$E$3,INDEX($B$10:$B$59,RANDBETWEEN(1,$E$3)),"")</x:f>
      </x:c>
      <x:c r="AY200" s="68" t="str">
        <x:f>IF(COLUMN()-2&lt;=$E$3,INDEX($B$10:$B$59,RANDBETWEEN(1,$E$3)),"")</x:f>
      </x:c>
      <x:c r="AZ200" s="68" t="str">
        <x:f>IF(COLUMN()-2&lt;=$E$3,INDEX($B$10:$B$59,RANDBETWEEN(1,$E$3)),"")</x:f>
      </x:c>
      <x:c r="BA200" s="68" t="str">
        <x:f>IF($E$3=0,"",AVERAGE(C200:AZ200))</x:f>
      </x:c>
    </x:row>
    <x:row r="201">
      <x:c r="A201" t="n">
        <x:v>137</x:v>
      </x:c>
      <x:c r="C201" s="68" t="str">
        <x:f>IF(COLUMN()-2&lt;=$E$3,INDEX($B$10:$B$59,RANDBETWEEN(1,$E$3)),"")</x:f>
      </x:c>
      <x:c r="D201" s="68" t="str">
        <x:f>IF(COLUMN()-2&lt;=$E$3,INDEX($B$10:$B$59,RANDBETWEEN(1,$E$3)),"")</x:f>
      </x:c>
      <x:c r="E201" s="68" t="str">
        <x:f>IF(COLUMN()-2&lt;=$E$3,INDEX($B$10:$B$59,RANDBETWEEN(1,$E$3)),"")</x:f>
      </x:c>
      <x:c r="F201" s="68" t="str">
        <x:f>IF(COLUMN()-2&lt;=$E$3,INDEX($B$10:$B$59,RANDBETWEEN(1,$E$3)),"")</x:f>
      </x:c>
      <x:c r="G201" s="68" t="str">
        <x:f>IF(COLUMN()-2&lt;=$E$3,INDEX($B$10:$B$59,RANDBETWEEN(1,$E$3)),"")</x:f>
      </x:c>
      <x:c r="H201" s="68" t="str">
        <x:f>IF(COLUMN()-2&lt;=$E$3,INDEX($B$10:$B$59,RANDBETWEEN(1,$E$3)),"")</x:f>
      </x:c>
      <x:c r="I201" s="68" t="str">
        <x:f>IF(COLUMN()-2&lt;=$E$3,INDEX($B$10:$B$59,RANDBETWEEN(1,$E$3)),"")</x:f>
      </x:c>
      <x:c r="J201" s="68" t="str">
        <x:f>IF(COLUMN()-2&lt;=$E$3,INDEX($B$10:$B$59,RANDBETWEEN(1,$E$3)),"")</x:f>
      </x:c>
      <x:c r="K201" s="68" t="str">
        <x:f>IF(COLUMN()-2&lt;=$E$3,INDEX($B$10:$B$59,RANDBETWEEN(1,$E$3)),"")</x:f>
      </x:c>
      <x:c r="L201" s="68" t="str">
        <x:f>IF(COLUMN()-2&lt;=$E$3,INDEX($B$10:$B$59,RANDBETWEEN(1,$E$3)),"")</x:f>
      </x:c>
      <x:c r="M201" s="68" t="str">
        <x:f>IF(COLUMN()-2&lt;=$E$3,INDEX($B$10:$B$59,RANDBETWEEN(1,$E$3)),"")</x:f>
      </x:c>
      <x:c r="N201" s="68" t="str">
        <x:f>IF(COLUMN()-2&lt;=$E$3,INDEX($B$10:$B$59,RANDBETWEEN(1,$E$3)),"")</x:f>
      </x:c>
      <x:c r="O201" s="68" t="str">
        <x:f>IF(COLUMN()-2&lt;=$E$3,INDEX($B$10:$B$59,RANDBETWEEN(1,$E$3)),"")</x:f>
      </x:c>
      <x:c r="P201" s="68" t="str">
        <x:f>IF(COLUMN()-2&lt;=$E$3,INDEX($B$10:$B$59,RANDBETWEEN(1,$E$3)),"")</x:f>
      </x:c>
      <x:c r="Q201" s="68" t="str">
        <x:f>IF(COLUMN()-2&lt;=$E$3,INDEX($B$10:$B$59,RANDBETWEEN(1,$E$3)),"")</x:f>
      </x:c>
      <x:c r="R201" s="68" t="str">
        <x:f>IF(COLUMN()-2&lt;=$E$3,INDEX($B$10:$B$59,RANDBETWEEN(1,$E$3)),"")</x:f>
      </x:c>
      <x:c r="S201" s="68" t="str">
        <x:f>IF(COLUMN()-2&lt;=$E$3,INDEX($B$10:$B$59,RANDBETWEEN(1,$E$3)),"")</x:f>
      </x:c>
      <x:c r="T201" s="68" t="str">
        <x:f>IF(COLUMN()-2&lt;=$E$3,INDEX($B$10:$B$59,RANDBETWEEN(1,$E$3)),"")</x:f>
      </x:c>
      <x:c r="U201" s="68" t="str">
        <x:f>IF(COLUMN()-2&lt;=$E$3,INDEX($B$10:$B$59,RANDBETWEEN(1,$E$3)),"")</x:f>
      </x:c>
      <x:c r="V201" s="68" t="str">
        <x:f>IF(COLUMN()-2&lt;=$E$3,INDEX($B$10:$B$59,RANDBETWEEN(1,$E$3)),"")</x:f>
      </x:c>
      <x:c r="W201" s="68" t="str">
        <x:f>IF(COLUMN()-2&lt;=$E$3,INDEX($B$10:$B$59,RANDBETWEEN(1,$E$3)),"")</x:f>
      </x:c>
      <x:c r="X201" s="68" t="str">
        <x:f>IF(COLUMN()-2&lt;=$E$3,INDEX($B$10:$B$59,RANDBETWEEN(1,$E$3)),"")</x:f>
      </x:c>
      <x:c r="Y201" s="68" t="str">
        <x:f>IF(COLUMN()-2&lt;=$E$3,INDEX($B$10:$B$59,RANDBETWEEN(1,$E$3)),"")</x:f>
      </x:c>
      <x:c r="Z201" s="68" t="str">
        <x:f>IF(COLUMN()-2&lt;=$E$3,INDEX($B$10:$B$59,RANDBETWEEN(1,$E$3)),"")</x:f>
      </x:c>
      <x:c r="AA201" s="68" t="str">
        <x:f>IF(COLUMN()-2&lt;=$E$3,INDEX($B$10:$B$59,RANDBETWEEN(1,$E$3)),"")</x:f>
      </x:c>
      <x:c r="AB201" s="68" t="str">
        <x:f>IF(COLUMN()-2&lt;=$E$3,INDEX($B$10:$B$59,RANDBETWEEN(1,$E$3)),"")</x:f>
      </x:c>
      <x:c r="AC201" s="68" t="str">
        <x:f>IF(COLUMN()-2&lt;=$E$3,INDEX($B$10:$B$59,RANDBETWEEN(1,$E$3)),"")</x:f>
      </x:c>
      <x:c r="AD201" s="68" t="str">
        <x:f>IF(COLUMN()-2&lt;=$E$3,INDEX($B$10:$B$59,RANDBETWEEN(1,$E$3)),"")</x:f>
      </x:c>
      <x:c r="AE201" s="68" t="str">
        <x:f>IF(COLUMN()-2&lt;=$E$3,INDEX($B$10:$B$59,RANDBETWEEN(1,$E$3)),"")</x:f>
      </x:c>
      <x:c r="AF201" s="68" t="str">
        <x:f>IF(COLUMN()-2&lt;=$E$3,INDEX($B$10:$B$59,RANDBETWEEN(1,$E$3)),"")</x:f>
      </x:c>
      <x:c r="AG201" s="68" t="str">
        <x:f>IF(COLUMN()-2&lt;=$E$3,INDEX($B$10:$B$59,RANDBETWEEN(1,$E$3)),"")</x:f>
      </x:c>
      <x:c r="AH201" s="68" t="str">
        <x:f>IF(COLUMN()-2&lt;=$E$3,INDEX($B$10:$B$59,RANDBETWEEN(1,$E$3)),"")</x:f>
      </x:c>
      <x:c r="AI201" s="68" t="str">
        <x:f>IF(COLUMN()-2&lt;=$E$3,INDEX($B$10:$B$59,RANDBETWEEN(1,$E$3)),"")</x:f>
      </x:c>
      <x:c r="AJ201" s="68" t="str">
        <x:f>IF(COLUMN()-2&lt;=$E$3,INDEX($B$10:$B$59,RANDBETWEEN(1,$E$3)),"")</x:f>
      </x:c>
      <x:c r="AK201" s="68" t="str">
        <x:f>IF(COLUMN()-2&lt;=$E$3,INDEX($B$10:$B$59,RANDBETWEEN(1,$E$3)),"")</x:f>
      </x:c>
      <x:c r="AL201" s="68" t="str">
        <x:f>IF(COLUMN()-2&lt;=$E$3,INDEX($B$10:$B$59,RANDBETWEEN(1,$E$3)),"")</x:f>
      </x:c>
      <x:c r="AM201" s="68" t="str">
        <x:f>IF(COLUMN()-2&lt;=$E$3,INDEX($B$10:$B$59,RANDBETWEEN(1,$E$3)),"")</x:f>
      </x:c>
      <x:c r="AN201" s="68" t="str">
        <x:f>IF(COLUMN()-2&lt;=$E$3,INDEX($B$10:$B$59,RANDBETWEEN(1,$E$3)),"")</x:f>
      </x:c>
      <x:c r="AO201" s="68" t="str">
        <x:f>IF(COLUMN()-2&lt;=$E$3,INDEX($B$10:$B$59,RANDBETWEEN(1,$E$3)),"")</x:f>
      </x:c>
      <x:c r="AP201" s="68" t="str">
        <x:f>IF(COLUMN()-2&lt;=$E$3,INDEX($B$10:$B$59,RANDBETWEEN(1,$E$3)),"")</x:f>
      </x:c>
      <x:c r="AQ201" s="68" t="str">
        <x:f>IF(COLUMN()-2&lt;=$E$3,INDEX($B$10:$B$59,RANDBETWEEN(1,$E$3)),"")</x:f>
      </x:c>
      <x:c r="AR201" s="68" t="str">
        <x:f>IF(COLUMN()-2&lt;=$E$3,INDEX($B$10:$B$59,RANDBETWEEN(1,$E$3)),"")</x:f>
      </x:c>
      <x:c r="AS201" s="68" t="str">
        <x:f>IF(COLUMN()-2&lt;=$E$3,INDEX($B$10:$B$59,RANDBETWEEN(1,$E$3)),"")</x:f>
      </x:c>
      <x:c r="AT201" s="68" t="str">
        <x:f>IF(COLUMN()-2&lt;=$E$3,INDEX($B$10:$B$59,RANDBETWEEN(1,$E$3)),"")</x:f>
      </x:c>
      <x:c r="AU201" s="68" t="str">
        <x:f>IF(COLUMN()-2&lt;=$E$3,INDEX($B$10:$B$59,RANDBETWEEN(1,$E$3)),"")</x:f>
      </x:c>
      <x:c r="AV201" s="68" t="str">
        <x:f>IF(COLUMN()-2&lt;=$E$3,INDEX($B$10:$B$59,RANDBETWEEN(1,$E$3)),"")</x:f>
      </x:c>
      <x:c r="AW201" s="68" t="str">
        <x:f>IF(COLUMN()-2&lt;=$E$3,INDEX($B$10:$B$59,RANDBETWEEN(1,$E$3)),"")</x:f>
      </x:c>
      <x:c r="AX201" s="68" t="str">
        <x:f>IF(COLUMN()-2&lt;=$E$3,INDEX($B$10:$B$59,RANDBETWEEN(1,$E$3)),"")</x:f>
      </x:c>
      <x:c r="AY201" s="68" t="str">
        <x:f>IF(COLUMN()-2&lt;=$E$3,INDEX($B$10:$B$59,RANDBETWEEN(1,$E$3)),"")</x:f>
      </x:c>
      <x:c r="AZ201" s="68" t="str">
        <x:f>IF(COLUMN()-2&lt;=$E$3,INDEX($B$10:$B$59,RANDBETWEEN(1,$E$3)),"")</x:f>
      </x:c>
      <x:c r="BA201" s="68" t="str">
        <x:f>IF($E$3=0,"",AVERAGE(C201:AZ201))</x:f>
      </x:c>
    </x:row>
    <x:row r="202">
      <x:c r="A202" t="n">
        <x:v>138</x:v>
      </x:c>
      <x:c r="C202" s="68" t="str">
        <x:f>IF(COLUMN()-2&lt;=$E$3,INDEX($B$10:$B$59,RANDBETWEEN(1,$E$3)),"")</x:f>
      </x:c>
      <x:c r="D202" s="68" t="str">
        <x:f>IF(COLUMN()-2&lt;=$E$3,INDEX($B$10:$B$59,RANDBETWEEN(1,$E$3)),"")</x:f>
      </x:c>
      <x:c r="E202" s="68" t="str">
        <x:f>IF(COLUMN()-2&lt;=$E$3,INDEX($B$10:$B$59,RANDBETWEEN(1,$E$3)),"")</x:f>
      </x:c>
      <x:c r="F202" s="68" t="str">
        <x:f>IF(COLUMN()-2&lt;=$E$3,INDEX($B$10:$B$59,RANDBETWEEN(1,$E$3)),"")</x:f>
      </x:c>
      <x:c r="G202" s="68" t="str">
        <x:f>IF(COLUMN()-2&lt;=$E$3,INDEX($B$10:$B$59,RANDBETWEEN(1,$E$3)),"")</x:f>
      </x:c>
      <x:c r="H202" s="68" t="str">
        <x:f>IF(COLUMN()-2&lt;=$E$3,INDEX($B$10:$B$59,RANDBETWEEN(1,$E$3)),"")</x:f>
      </x:c>
      <x:c r="I202" s="68" t="str">
        <x:f>IF(COLUMN()-2&lt;=$E$3,INDEX($B$10:$B$59,RANDBETWEEN(1,$E$3)),"")</x:f>
      </x:c>
      <x:c r="J202" s="68" t="str">
        <x:f>IF(COLUMN()-2&lt;=$E$3,INDEX($B$10:$B$59,RANDBETWEEN(1,$E$3)),"")</x:f>
      </x:c>
      <x:c r="K202" s="68" t="str">
        <x:f>IF(COLUMN()-2&lt;=$E$3,INDEX($B$10:$B$59,RANDBETWEEN(1,$E$3)),"")</x:f>
      </x:c>
      <x:c r="L202" s="68" t="str">
        <x:f>IF(COLUMN()-2&lt;=$E$3,INDEX($B$10:$B$59,RANDBETWEEN(1,$E$3)),"")</x:f>
      </x:c>
      <x:c r="M202" s="68" t="str">
        <x:f>IF(COLUMN()-2&lt;=$E$3,INDEX($B$10:$B$59,RANDBETWEEN(1,$E$3)),"")</x:f>
      </x:c>
      <x:c r="N202" s="68" t="str">
        <x:f>IF(COLUMN()-2&lt;=$E$3,INDEX($B$10:$B$59,RANDBETWEEN(1,$E$3)),"")</x:f>
      </x:c>
      <x:c r="O202" s="68" t="str">
        <x:f>IF(COLUMN()-2&lt;=$E$3,INDEX($B$10:$B$59,RANDBETWEEN(1,$E$3)),"")</x:f>
      </x:c>
      <x:c r="P202" s="68" t="str">
        <x:f>IF(COLUMN()-2&lt;=$E$3,INDEX($B$10:$B$59,RANDBETWEEN(1,$E$3)),"")</x:f>
      </x:c>
      <x:c r="Q202" s="68" t="str">
        <x:f>IF(COLUMN()-2&lt;=$E$3,INDEX($B$10:$B$59,RANDBETWEEN(1,$E$3)),"")</x:f>
      </x:c>
      <x:c r="R202" s="68" t="str">
        <x:f>IF(COLUMN()-2&lt;=$E$3,INDEX($B$10:$B$59,RANDBETWEEN(1,$E$3)),"")</x:f>
      </x:c>
      <x:c r="S202" s="68" t="str">
        <x:f>IF(COLUMN()-2&lt;=$E$3,INDEX($B$10:$B$59,RANDBETWEEN(1,$E$3)),"")</x:f>
      </x:c>
      <x:c r="T202" s="68" t="str">
        <x:f>IF(COLUMN()-2&lt;=$E$3,INDEX($B$10:$B$59,RANDBETWEEN(1,$E$3)),"")</x:f>
      </x:c>
      <x:c r="U202" s="68" t="str">
        <x:f>IF(COLUMN()-2&lt;=$E$3,INDEX($B$10:$B$59,RANDBETWEEN(1,$E$3)),"")</x:f>
      </x:c>
      <x:c r="V202" s="68" t="str">
        <x:f>IF(COLUMN()-2&lt;=$E$3,INDEX($B$10:$B$59,RANDBETWEEN(1,$E$3)),"")</x:f>
      </x:c>
      <x:c r="W202" s="68" t="str">
        <x:f>IF(COLUMN()-2&lt;=$E$3,INDEX($B$10:$B$59,RANDBETWEEN(1,$E$3)),"")</x:f>
      </x:c>
      <x:c r="X202" s="68" t="str">
        <x:f>IF(COLUMN()-2&lt;=$E$3,INDEX($B$10:$B$59,RANDBETWEEN(1,$E$3)),"")</x:f>
      </x:c>
      <x:c r="Y202" s="68" t="str">
        <x:f>IF(COLUMN()-2&lt;=$E$3,INDEX($B$10:$B$59,RANDBETWEEN(1,$E$3)),"")</x:f>
      </x:c>
      <x:c r="Z202" s="68" t="str">
        <x:f>IF(COLUMN()-2&lt;=$E$3,INDEX($B$10:$B$59,RANDBETWEEN(1,$E$3)),"")</x:f>
      </x:c>
      <x:c r="AA202" s="68" t="str">
        <x:f>IF(COLUMN()-2&lt;=$E$3,INDEX($B$10:$B$59,RANDBETWEEN(1,$E$3)),"")</x:f>
      </x:c>
      <x:c r="AB202" s="68" t="str">
        <x:f>IF(COLUMN()-2&lt;=$E$3,INDEX($B$10:$B$59,RANDBETWEEN(1,$E$3)),"")</x:f>
      </x:c>
      <x:c r="AC202" s="68" t="str">
        <x:f>IF(COLUMN()-2&lt;=$E$3,INDEX($B$10:$B$59,RANDBETWEEN(1,$E$3)),"")</x:f>
      </x:c>
      <x:c r="AD202" s="68" t="str">
        <x:f>IF(COLUMN()-2&lt;=$E$3,INDEX($B$10:$B$59,RANDBETWEEN(1,$E$3)),"")</x:f>
      </x:c>
      <x:c r="AE202" s="68" t="str">
        <x:f>IF(COLUMN()-2&lt;=$E$3,INDEX($B$10:$B$59,RANDBETWEEN(1,$E$3)),"")</x:f>
      </x:c>
      <x:c r="AF202" s="68" t="str">
        <x:f>IF(COLUMN()-2&lt;=$E$3,INDEX($B$10:$B$59,RANDBETWEEN(1,$E$3)),"")</x:f>
      </x:c>
      <x:c r="AG202" s="68" t="str">
        <x:f>IF(COLUMN()-2&lt;=$E$3,INDEX($B$10:$B$59,RANDBETWEEN(1,$E$3)),"")</x:f>
      </x:c>
      <x:c r="AH202" s="68" t="str">
        <x:f>IF(COLUMN()-2&lt;=$E$3,INDEX($B$10:$B$59,RANDBETWEEN(1,$E$3)),"")</x:f>
      </x:c>
      <x:c r="AI202" s="68" t="str">
        <x:f>IF(COLUMN()-2&lt;=$E$3,INDEX($B$10:$B$59,RANDBETWEEN(1,$E$3)),"")</x:f>
      </x:c>
      <x:c r="AJ202" s="68" t="str">
        <x:f>IF(COLUMN()-2&lt;=$E$3,INDEX($B$10:$B$59,RANDBETWEEN(1,$E$3)),"")</x:f>
      </x:c>
      <x:c r="AK202" s="68" t="str">
        <x:f>IF(COLUMN()-2&lt;=$E$3,INDEX($B$10:$B$59,RANDBETWEEN(1,$E$3)),"")</x:f>
      </x:c>
      <x:c r="AL202" s="68" t="str">
        <x:f>IF(COLUMN()-2&lt;=$E$3,INDEX($B$10:$B$59,RANDBETWEEN(1,$E$3)),"")</x:f>
      </x:c>
      <x:c r="AM202" s="68" t="str">
        <x:f>IF(COLUMN()-2&lt;=$E$3,INDEX($B$10:$B$59,RANDBETWEEN(1,$E$3)),"")</x:f>
      </x:c>
      <x:c r="AN202" s="68" t="str">
        <x:f>IF(COLUMN()-2&lt;=$E$3,INDEX($B$10:$B$59,RANDBETWEEN(1,$E$3)),"")</x:f>
      </x:c>
      <x:c r="AO202" s="68" t="str">
        <x:f>IF(COLUMN()-2&lt;=$E$3,INDEX($B$10:$B$59,RANDBETWEEN(1,$E$3)),"")</x:f>
      </x:c>
      <x:c r="AP202" s="68" t="str">
        <x:f>IF(COLUMN()-2&lt;=$E$3,INDEX($B$10:$B$59,RANDBETWEEN(1,$E$3)),"")</x:f>
      </x:c>
      <x:c r="AQ202" s="68" t="str">
        <x:f>IF(COLUMN()-2&lt;=$E$3,INDEX($B$10:$B$59,RANDBETWEEN(1,$E$3)),"")</x:f>
      </x:c>
      <x:c r="AR202" s="68" t="str">
        <x:f>IF(COLUMN()-2&lt;=$E$3,INDEX($B$10:$B$59,RANDBETWEEN(1,$E$3)),"")</x:f>
      </x:c>
      <x:c r="AS202" s="68" t="str">
        <x:f>IF(COLUMN()-2&lt;=$E$3,INDEX($B$10:$B$59,RANDBETWEEN(1,$E$3)),"")</x:f>
      </x:c>
      <x:c r="AT202" s="68" t="str">
        <x:f>IF(COLUMN()-2&lt;=$E$3,INDEX($B$10:$B$59,RANDBETWEEN(1,$E$3)),"")</x:f>
      </x:c>
      <x:c r="AU202" s="68" t="str">
        <x:f>IF(COLUMN()-2&lt;=$E$3,INDEX($B$10:$B$59,RANDBETWEEN(1,$E$3)),"")</x:f>
      </x:c>
      <x:c r="AV202" s="68" t="str">
        <x:f>IF(COLUMN()-2&lt;=$E$3,INDEX($B$10:$B$59,RANDBETWEEN(1,$E$3)),"")</x:f>
      </x:c>
      <x:c r="AW202" s="68" t="str">
        <x:f>IF(COLUMN()-2&lt;=$E$3,INDEX($B$10:$B$59,RANDBETWEEN(1,$E$3)),"")</x:f>
      </x:c>
      <x:c r="AX202" s="68" t="str">
        <x:f>IF(COLUMN()-2&lt;=$E$3,INDEX($B$10:$B$59,RANDBETWEEN(1,$E$3)),"")</x:f>
      </x:c>
      <x:c r="AY202" s="68" t="str">
        <x:f>IF(COLUMN()-2&lt;=$E$3,INDEX($B$10:$B$59,RANDBETWEEN(1,$E$3)),"")</x:f>
      </x:c>
      <x:c r="AZ202" s="68" t="str">
        <x:f>IF(COLUMN()-2&lt;=$E$3,INDEX($B$10:$B$59,RANDBETWEEN(1,$E$3)),"")</x:f>
      </x:c>
      <x:c r="BA202" s="68" t="str">
        <x:f>IF($E$3=0,"",AVERAGE(C202:AZ202))</x:f>
      </x:c>
    </x:row>
    <x:row r="203">
      <x:c r="A203" t="n">
        <x:v>139</x:v>
      </x:c>
      <x:c r="C203" s="68" t="str">
        <x:f>IF(COLUMN()-2&lt;=$E$3,INDEX($B$10:$B$59,RANDBETWEEN(1,$E$3)),"")</x:f>
      </x:c>
      <x:c r="D203" s="68" t="str">
        <x:f>IF(COLUMN()-2&lt;=$E$3,INDEX($B$10:$B$59,RANDBETWEEN(1,$E$3)),"")</x:f>
      </x:c>
      <x:c r="E203" s="68" t="str">
        <x:f>IF(COLUMN()-2&lt;=$E$3,INDEX($B$10:$B$59,RANDBETWEEN(1,$E$3)),"")</x:f>
      </x:c>
      <x:c r="F203" s="68" t="str">
        <x:f>IF(COLUMN()-2&lt;=$E$3,INDEX($B$10:$B$59,RANDBETWEEN(1,$E$3)),"")</x:f>
      </x:c>
      <x:c r="G203" s="68" t="str">
        <x:f>IF(COLUMN()-2&lt;=$E$3,INDEX($B$10:$B$59,RANDBETWEEN(1,$E$3)),"")</x:f>
      </x:c>
      <x:c r="H203" s="68" t="str">
        <x:f>IF(COLUMN()-2&lt;=$E$3,INDEX($B$10:$B$59,RANDBETWEEN(1,$E$3)),"")</x:f>
      </x:c>
      <x:c r="I203" s="68" t="str">
        <x:f>IF(COLUMN()-2&lt;=$E$3,INDEX($B$10:$B$59,RANDBETWEEN(1,$E$3)),"")</x:f>
      </x:c>
      <x:c r="J203" s="68" t="str">
        <x:f>IF(COLUMN()-2&lt;=$E$3,INDEX($B$10:$B$59,RANDBETWEEN(1,$E$3)),"")</x:f>
      </x:c>
      <x:c r="K203" s="68" t="str">
        <x:f>IF(COLUMN()-2&lt;=$E$3,INDEX($B$10:$B$59,RANDBETWEEN(1,$E$3)),"")</x:f>
      </x:c>
      <x:c r="L203" s="68" t="str">
        <x:f>IF(COLUMN()-2&lt;=$E$3,INDEX($B$10:$B$59,RANDBETWEEN(1,$E$3)),"")</x:f>
      </x:c>
      <x:c r="M203" s="68" t="str">
        <x:f>IF(COLUMN()-2&lt;=$E$3,INDEX($B$10:$B$59,RANDBETWEEN(1,$E$3)),"")</x:f>
      </x:c>
      <x:c r="N203" s="68" t="str">
        <x:f>IF(COLUMN()-2&lt;=$E$3,INDEX($B$10:$B$59,RANDBETWEEN(1,$E$3)),"")</x:f>
      </x:c>
      <x:c r="O203" s="68" t="str">
        <x:f>IF(COLUMN()-2&lt;=$E$3,INDEX($B$10:$B$59,RANDBETWEEN(1,$E$3)),"")</x:f>
      </x:c>
      <x:c r="P203" s="68" t="str">
        <x:f>IF(COLUMN()-2&lt;=$E$3,INDEX($B$10:$B$59,RANDBETWEEN(1,$E$3)),"")</x:f>
      </x:c>
      <x:c r="Q203" s="68" t="str">
        <x:f>IF(COLUMN()-2&lt;=$E$3,INDEX($B$10:$B$59,RANDBETWEEN(1,$E$3)),"")</x:f>
      </x:c>
      <x:c r="R203" s="68" t="str">
        <x:f>IF(COLUMN()-2&lt;=$E$3,INDEX($B$10:$B$59,RANDBETWEEN(1,$E$3)),"")</x:f>
      </x:c>
      <x:c r="S203" s="68" t="str">
        <x:f>IF(COLUMN()-2&lt;=$E$3,INDEX($B$10:$B$59,RANDBETWEEN(1,$E$3)),"")</x:f>
      </x:c>
      <x:c r="T203" s="68" t="str">
        <x:f>IF(COLUMN()-2&lt;=$E$3,INDEX($B$10:$B$59,RANDBETWEEN(1,$E$3)),"")</x:f>
      </x:c>
      <x:c r="U203" s="68" t="str">
        <x:f>IF(COLUMN()-2&lt;=$E$3,INDEX($B$10:$B$59,RANDBETWEEN(1,$E$3)),"")</x:f>
      </x:c>
      <x:c r="V203" s="68" t="str">
        <x:f>IF(COLUMN()-2&lt;=$E$3,INDEX($B$10:$B$59,RANDBETWEEN(1,$E$3)),"")</x:f>
      </x:c>
      <x:c r="W203" s="68" t="str">
        <x:f>IF(COLUMN()-2&lt;=$E$3,INDEX($B$10:$B$59,RANDBETWEEN(1,$E$3)),"")</x:f>
      </x:c>
      <x:c r="X203" s="68" t="str">
        <x:f>IF(COLUMN()-2&lt;=$E$3,INDEX($B$10:$B$59,RANDBETWEEN(1,$E$3)),"")</x:f>
      </x:c>
      <x:c r="Y203" s="68" t="str">
        <x:f>IF(COLUMN()-2&lt;=$E$3,INDEX($B$10:$B$59,RANDBETWEEN(1,$E$3)),"")</x:f>
      </x:c>
      <x:c r="Z203" s="68" t="str">
        <x:f>IF(COLUMN()-2&lt;=$E$3,INDEX($B$10:$B$59,RANDBETWEEN(1,$E$3)),"")</x:f>
      </x:c>
      <x:c r="AA203" s="68" t="str">
        <x:f>IF(COLUMN()-2&lt;=$E$3,INDEX($B$10:$B$59,RANDBETWEEN(1,$E$3)),"")</x:f>
      </x:c>
      <x:c r="AB203" s="68" t="str">
        <x:f>IF(COLUMN()-2&lt;=$E$3,INDEX($B$10:$B$59,RANDBETWEEN(1,$E$3)),"")</x:f>
      </x:c>
      <x:c r="AC203" s="68" t="str">
        <x:f>IF(COLUMN()-2&lt;=$E$3,INDEX($B$10:$B$59,RANDBETWEEN(1,$E$3)),"")</x:f>
      </x:c>
      <x:c r="AD203" s="68" t="str">
        <x:f>IF(COLUMN()-2&lt;=$E$3,INDEX($B$10:$B$59,RANDBETWEEN(1,$E$3)),"")</x:f>
      </x:c>
      <x:c r="AE203" s="68" t="str">
        <x:f>IF(COLUMN()-2&lt;=$E$3,INDEX($B$10:$B$59,RANDBETWEEN(1,$E$3)),"")</x:f>
      </x:c>
      <x:c r="AF203" s="68" t="str">
        <x:f>IF(COLUMN()-2&lt;=$E$3,INDEX($B$10:$B$59,RANDBETWEEN(1,$E$3)),"")</x:f>
      </x:c>
      <x:c r="AG203" s="68" t="str">
        <x:f>IF(COLUMN()-2&lt;=$E$3,INDEX($B$10:$B$59,RANDBETWEEN(1,$E$3)),"")</x:f>
      </x:c>
      <x:c r="AH203" s="68" t="str">
        <x:f>IF(COLUMN()-2&lt;=$E$3,INDEX($B$10:$B$59,RANDBETWEEN(1,$E$3)),"")</x:f>
      </x:c>
      <x:c r="AI203" s="68" t="str">
        <x:f>IF(COLUMN()-2&lt;=$E$3,INDEX($B$10:$B$59,RANDBETWEEN(1,$E$3)),"")</x:f>
      </x:c>
      <x:c r="AJ203" s="68" t="str">
        <x:f>IF(COLUMN()-2&lt;=$E$3,INDEX($B$10:$B$59,RANDBETWEEN(1,$E$3)),"")</x:f>
      </x:c>
      <x:c r="AK203" s="68" t="str">
        <x:f>IF(COLUMN()-2&lt;=$E$3,INDEX($B$10:$B$59,RANDBETWEEN(1,$E$3)),"")</x:f>
      </x:c>
      <x:c r="AL203" s="68" t="str">
        <x:f>IF(COLUMN()-2&lt;=$E$3,INDEX($B$10:$B$59,RANDBETWEEN(1,$E$3)),"")</x:f>
      </x:c>
      <x:c r="AM203" s="68" t="str">
        <x:f>IF(COLUMN()-2&lt;=$E$3,INDEX($B$10:$B$59,RANDBETWEEN(1,$E$3)),"")</x:f>
      </x:c>
      <x:c r="AN203" s="68" t="str">
        <x:f>IF(COLUMN()-2&lt;=$E$3,INDEX($B$10:$B$59,RANDBETWEEN(1,$E$3)),"")</x:f>
      </x:c>
      <x:c r="AO203" s="68" t="str">
        <x:f>IF(COLUMN()-2&lt;=$E$3,INDEX($B$10:$B$59,RANDBETWEEN(1,$E$3)),"")</x:f>
      </x:c>
      <x:c r="AP203" s="68" t="str">
        <x:f>IF(COLUMN()-2&lt;=$E$3,INDEX($B$10:$B$59,RANDBETWEEN(1,$E$3)),"")</x:f>
      </x:c>
      <x:c r="AQ203" s="68" t="str">
        <x:f>IF(COLUMN()-2&lt;=$E$3,INDEX($B$10:$B$59,RANDBETWEEN(1,$E$3)),"")</x:f>
      </x:c>
      <x:c r="AR203" s="68" t="str">
        <x:f>IF(COLUMN()-2&lt;=$E$3,INDEX($B$10:$B$59,RANDBETWEEN(1,$E$3)),"")</x:f>
      </x:c>
      <x:c r="AS203" s="68" t="str">
        <x:f>IF(COLUMN()-2&lt;=$E$3,INDEX($B$10:$B$59,RANDBETWEEN(1,$E$3)),"")</x:f>
      </x:c>
      <x:c r="AT203" s="68" t="str">
        <x:f>IF(COLUMN()-2&lt;=$E$3,INDEX($B$10:$B$59,RANDBETWEEN(1,$E$3)),"")</x:f>
      </x:c>
      <x:c r="AU203" s="68" t="str">
        <x:f>IF(COLUMN()-2&lt;=$E$3,INDEX($B$10:$B$59,RANDBETWEEN(1,$E$3)),"")</x:f>
      </x:c>
      <x:c r="AV203" s="68" t="str">
        <x:f>IF(COLUMN()-2&lt;=$E$3,INDEX($B$10:$B$59,RANDBETWEEN(1,$E$3)),"")</x:f>
      </x:c>
      <x:c r="AW203" s="68" t="str">
        <x:f>IF(COLUMN()-2&lt;=$E$3,INDEX($B$10:$B$59,RANDBETWEEN(1,$E$3)),"")</x:f>
      </x:c>
      <x:c r="AX203" s="68" t="str">
        <x:f>IF(COLUMN()-2&lt;=$E$3,INDEX($B$10:$B$59,RANDBETWEEN(1,$E$3)),"")</x:f>
      </x:c>
      <x:c r="AY203" s="68" t="str">
        <x:f>IF(COLUMN()-2&lt;=$E$3,INDEX($B$10:$B$59,RANDBETWEEN(1,$E$3)),"")</x:f>
      </x:c>
      <x:c r="AZ203" s="68" t="str">
        <x:f>IF(COLUMN()-2&lt;=$E$3,INDEX($B$10:$B$59,RANDBETWEEN(1,$E$3)),"")</x:f>
      </x:c>
      <x:c r="BA203" s="68" t="str">
        <x:f>IF($E$3=0,"",AVERAGE(C203:AZ203))</x:f>
      </x:c>
    </x:row>
    <x:row r="204">
      <x:c r="A204" t="n">
        <x:v>140</x:v>
      </x:c>
      <x:c r="C204" s="68" t="str">
        <x:f>IF(COLUMN()-2&lt;=$E$3,INDEX($B$10:$B$59,RANDBETWEEN(1,$E$3)),"")</x:f>
      </x:c>
      <x:c r="D204" s="68" t="str">
        <x:f>IF(COLUMN()-2&lt;=$E$3,INDEX($B$10:$B$59,RANDBETWEEN(1,$E$3)),"")</x:f>
      </x:c>
      <x:c r="E204" s="68" t="str">
        <x:f>IF(COLUMN()-2&lt;=$E$3,INDEX($B$10:$B$59,RANDBETWEEN(1,$E$3)),"")</x:f>
      </x:c>
      <x:c r="F204" s="68" t="str">
        <x:f>IF(COLUMN()-2&lt;=$E$3,INDEX($B$10:$B$59,RANDBETWEEN(1,$E$3)),"")</x:f>
      </x:c>
      <x:c r="G204" s="68" t="str">
        <x:f>IF(COLUMN()-2&lt;=$E$3,INDEX($B$10:$B$59,RANDBETWEEN(1,$E$3)),"")</x:f>
      </x:c>
      <x:c r="H204" s="68" t="str">
        <x:f>IF(COLUMN()-2&lt;=$E$3,INDEX($B$10:$B$59,RANDBETWEEN(1,$E$3)),"")</x:f>
      </x:c>
      <x:c r="I204" s="68" t="str">
        <x:f>IF(COLUMN()-2&lt;=$E$3,INDEX($B$10:$B$59,RANDBETWEEN(1,$E$3)),"")</x:f>
      </x:c>
      <x:c r="J204" s="68" t="str">
        <x:f>IF(COLUMN()-2&lt;=$E$3,INDEX($B$10:$B$59,RANDBETWEEN(1,$E$3)),"")</x:f>
      </x:c>
      <x:c r="K204" s="68" t="str">
        <x:f>IF(COLUMN()-2&lt;=$E$3,INDEX($B$10:$B$59,RANDBETWEEN(1,$E$3)),"")</x:f>
      </x:c>
      <x:c r="L204" s="68" t="str">
        <x:f>IF(COLUMN()-2&lt;=$E$3,INDEX($B$10:$B$59,RANDBETWEEN(1,$E$3)),"")</x:f>
      </x:c>
      <x:c r="M204" s="68" t="str">
        <x:f>IF(COLUMN()-2&lt;=$E$3,INDEX($B$10:$B$59,RANDBETWEEN(1,$E$3)),"")</x:f>
      </x:c>
      <x:c r="N204" s="68" t="str">
        <x:f>IF(COLUMN()-2&lt;=$E$3,INDEX($B$10:$B$59,RANDBETWEEN(1,$E$3)),"")</x:f>
      </x:c>
      <x:c r="O204" s="68" t="str">
        <x:f>IF(COLUMN()-2&lt;=$E$3,INDEX($B$10:$B$59,RANDBETWEEN(1,$E$3)),"")</x:f>
      </x:c>
      <x:c r="P204" s="68" t="str">
        <x:f>IF(COLUMN()-2&lt;=$E$3,INDEX($B$10:$B$59,RANDBETWEEN(1,$E$3)),"")</x:f>
      </x:c>
      <x:c r="Q204" s="68" t="str">
        <x:f>IF(COLUMN()-2&lt;=$E$3,INDEX($B$10:$B$59,RANDBETWEEN(1,$E$3)),"")</x:f>
      </x:c>
      <x:c r="R204" s="68" t="str">
        <x:f>IF(COLUMN()-2&lt;=$E$3,INDEX($B$10:$B$59,RANDBETWEEN(1,$E$3)),"")</x:f>
      </x:c>
      <x:c r="S204" s="68" t="str">
        <x:f>IF(COLUMN()-2&lt;=$E$3,INDEX($B$10:$B$59,RANDBETWEEN(1,$E$3)),"")</x:f>
      </x:c>
      <x:c r="T204" s="68" t="str">
        <x:f>IF(COLUMN()-2&lt;=$E$3,INDEX($B$10:$B$59,RANDBETWEEN(1,$E$3)),"")</x:f>
      </x:c>
      <x:c r="U204" s="68" t="str">
        <x:f>IF(COLUMN()-2&lt;=$E$3,INDEX($B$10:$B$59,RANDBETWEEN(1,$E$3)),"")</x:f>
      </x:c>
      <x:c r="V204" s="68" t="str">
        <x:f>IF(COLUMN()-2&lt;=$E$3,INDEX($B$10:$B$59,RANDBETWEEN(1,$E$3)),"")</x:f>
      </x:c>
      <x:c r="W204" s="68" t="str">
        <x:f>IF(COLUMN()-2&lt;=$E$3,INDEX($B$10:$B$59,RANDBETWEEN(1,$E$3)),"")</x:f>
      </x:c>
      <x:c r="X204" s="68" t="str">
        <x:f>IF(COLUMN()-2&lt;=$E$3,INDEX($B$10:$B$59,RANDBETWEEN(1,$E$3)),"")</x:f>
      </x:c>
      <x:c r="Y204" s="68" t="str">
        <x:f>IF(COLUMN()-2&lt;=$E$3,INDEX($B$10:$B$59,RANDBETWEEN(1,$E$3)),"")</x:f>
      </x:c>
      <x:c r="Z204" s="68" t="str">
        <x:f>IF(COLUMN()-2&lt;=$E$3,INDEX($B$10:$B$59,RANDBETWEEN(1,$E$3)),"")</x:f>
      </x:c>
      <x:c r="AA204" s="68" t="str">
        <x:f>IF(COLUMN()-2&lt;=$E$3,INDEX($B$10:$B$59,RANDBETWEEN(1,$E$3)),"")</x:f>
      </x:c>
      <x:c r="AB204" s="68" t="str">
        <x:f>IF(COLUMN()-2&lt;=$E$3,INDEX($B$10:$B$59,RANDBETWEEN(1,$E$3)),"")</x:f>
      </x:c>
      <x:c r="AC204" s="68" t="str">
        <x:f>IF(COLUMN()-2&lt;=$E$3,INDEX($B$10:$B$59,RANDBETWEEN(1,$E$3)),"")</x:f>
      </x:c>
      <x:c r="AD204" s="68" t="str">
        <x:f>IF(COLUMN()-2&lt;=$E$3,INDEX($B$10:$B$59,RANDBETWEEN(1,$E$3)),"")</x:f>
      </x:c>
      <x:c r="AE204" s="68" t="str">
        <x:f>IF(COLUMN()-2&lt;=$E$3,INDEX($B$10:$B$59,RANDBETWEEN(1,$E$3)),"")</x:f>
      </x:c>
      <x:c r="AF204" s="68" t="str">
        <x:f>IF(COLUMN()-2&lt;=$E$3,INDEX($B$10:$B$59,RANDBETWEEN(1,$E$3)),"")</x:f>
      </x:c>
      <x:c r="AG204" s="68" t="str">
        <x:f>IF(COLUMN()-2&lt;=$E$3,INDEX($B$10:$B$59,RANDBETWEEN(1,$E$3)),"")</x:f>
      </x:c>
      <x:c r="AH204" s="68" t="str">
        <x:f>IF(COLUMN()-2&lt;=$E$3,INDEX($B$10:$B$59,RANDBETWEEN(1,$E$3)),"")</x:f>
      </x:c>
      <x:c r="AI204" s="68" t="str">
        <x:f>IF(COLUMN()-2&lt;=$E$3,INDEX($B$10:$B$59,RANDBETWEEN(1,$E$3)),"")</x:f>
      </x:c>
      <x:c r="AJ204" s="68" t="str">
        <x:f>IF(COLUMN()-2&lt;=$E$3,INDEX($B$10:$B$59,RANDBETWEEN(1,$E$3)),"")</x:f>
      </x:c>
      <x:c r="AK204" s="68" t="str">
        <x:f>IF(COLUMN()-2&lt;=$E$3,INDEX($B$10:$B$59,RANDBETWEEN(1,$E$3)),"")</x:f>
      </x:c>
      <x:c r="AL204" s="68" t="str">
        <x:f>IF(COLUMN()-2&lt;=$E$3,INDEX($B$10:$B$59,RANDBETWEEN(1,$E$3)),"")</x:f>
      </x:c>
      <x:c r="AM204" s="68" t="str">
        <x:f>IF(COLUMN()-2&lt;=$E$3,INDEX($B$10:$B$59,RANDBETWEEN(1,$E$3)),"")</x:f>
      </x:c>
      <x:c r="AN204" s="68" t="str">
        <x:f>IF(COLUMN()-2&lt;=$E$3,INDEX($B$10:$B$59,RANDBETWEEN(1,$E$3)),"")</x:f>
      </x:c>
      <x:c r="AO204" s="68" t="str">
        <x:f>IF(COLUMN()-2&lt;=$E$3,INDEX($B$10:$B$59,RANDBETWEEN(1,$E$3)),"")</x:f>
      </x:c>
      <x:c r="AP204" s="68" t="str">
        <x:f>IF(COLUMN()-2&lt;=$E$3,INDEX($B$10:$B$59,RANDBETWEEN(1,$E$3)),"")</x:f>
      </x:c>
      <x:c r="AQ204" s="68" t="str">
        <x:f>IF(COLUMN()-2&lt;=$E$3,INDEX($B$10:$B$59,RANDBETWEEN(1,$E$3)),"")</x:f>
      </x:c>
      <x:c r="AR204" s="68" t="str">
        <x:f>IF(COLUMN()-2&lt;=$E$3,INDEX($B$10:$B$59,RANDBETWEEN(1,$E$3)),"")</x:f>
      </x:c>
      <x:c r="AS204" s="68" t="str">
        <x:f>IF(COLUMN()-2&lt;=$E$3,INDEX($B$10:$B$59,RANDBETWEEN(1,$E$3)),"")</x:f>
      </x:c>
      <x:c r="AT204" s="68" t="str">
        <x:f>IF(COLUMN()-2&lt;=$E$3,INDEX($B$10:$B$59,RANDBETWEEN(1,$E$3)),"")</x:f>
      </x:c>
      <x:c r="AU204" s="68" t="str">
        <x:f>IF(COLUMN()-2&lt;=$E$3,INDEX($B$10:$B$59,RANDBETWEEN(1,$E$3)),"")</x:f>
      </x:c>
      <x:c r="AV204" s="68" t="str">
        <x:f>IF(COLUMN()-2&lt;=$E$3,INDEX($B$10:$B$59,RANDBETWEEN(1,$E$3)),"")</x:f>
      </x:c>
      <x:c r="AW204" s="68" t="str">
        <x:f>IF(COLUMN()-2&lt;=$E$3,INDEX($B$10:$B$59,RANDBETWEEN(1,$E$3)),"")</x:f>
      </x:c>
      <x:c r="AX204" s="68" t="str">
        <x:f>IF(COLUMN()-2&lt;=$E$3,INDEX($B$10:$B$59,RANDBETWEEN(1,$E$3)),"")</x:f>
      </x:c>
      <x:c r="AY204" s="68" t="str">
        <x:f>IF(COLUMN()-2&lt;=$E$3,INDEX($B$10:$B$59,RANDBETWEEN(1,$E$3)),"")</x:f>
      </x:c>
      <x:c r="AZ204" s="68" t="str">
        <x:f>IF(COLUMN()-2&lt;=$E$3,INDEX($B$10:$B$59,RANDBETWEEN(1,$E$3)),"")</x:f>
      </x:c>
      <x:c r="BA204" s="68" t="str">
        <x:f>IF($E$3=0,"",AVERAGE(C204:AZ204))</x:f>
      </x:c>
    </x:row>
    <x:row r="205">
      <x:c r="A205" t="n">
        <x:v>141</x:v>
      </x:c>
      <x:c r="C205" s="68" t="str">
        <x:f>IF(COLUMN()-2&lt;=$E$3,INDEX($B$10:$B$59,RANDBETWEEN(1,$E$3)),"")</x:f>
      </x:c>
      <x:c r="D205" s="68" t="str">
        <x:f>IF(COLUMN()-2&lt;=$E$3,INDEX($B$10:$B$59,RANDBETWEEN(1,$E$3)),"")</x:f>
      </x:c>
      <x:c r="E205" s="68" t="str">
        <x:f>IF(COLUMN()-2&lt;=$E$3,INDEX($B$10:$B$59,RANDBETWEEN(1,$E$3)),"")</x:f>
      </x:c>
      <x:c r="F205" s="68" t="str">
        <x:f>IF(COLUMN()-2&lt;=$E$3,INDEX($B$10:$B$59,RANDBETWEEN(1,$E$3)),"")</x:f>
      </x:c>
      <x:c r="G205" s="68" t="str">
        <x:f>IF(COLUMN()-2&lt;=$E$3,INDEX($B$10:$B$59,RANDBETWEEN(1,$E$3)),"")</x:f>
      </x:c>
      <x:c r="H205" s="68" t="str">
        <x:f>IF(COLUMN()-2&lt;=$E$3,INDEX($B$10:$B$59,RANDBETWEEN(1,$E$3)),"")</x:f>
      </x:c>
      <x:c r="I205" s="68" t="str">
        <x:f>IF(COLUMN()-2&lt;=$E$3,INDEX($B$10:$B$59,RANDBETWEEN(1,$E$3)),"")</x:f>
      </x:c>
      <x:c r="J205" s="68" t="str">
        <x:f>IF(COLUMN()-2&lt;=$E$3,INDEX($B$10:$B$59,RANDBETWEEN(1,$E$3)),"")</x:f>
      </x:c>
      <x:c r="K205" s="68" t="str">
        <x:f>IF(COLUMN()-2&lt;=$E$3,INDEX($B$10:$B$59,RANDBETWEEN(1,$E$3)),"")</x:f>
      </x:c>
      <x:c r="L205" s="68" t="str">
        <x:f>IF(COLUMN()-2&lt;=$E$3,INDEX($B$10:$B$59,RANDBETWEEN(1,$E$3)),"")</x:f>
      </x:c>
      <x:c r="M205" s="68" t="str">
        <x:f>IF(COLUMN()-2&lt;=$E$3,INDEX($B$10:$B$59,RANDBETWEEN(1,$E$3)),"")</x:f>
      </x:c>
      <x:c r="N205" s="68" t="str">
        <x:f>IF(COLUMN()-2&lt;=$E$3,INDEX($B$10:$B$59,RANDBETWEEN(1,$E$3)),"")</x:f>
      </x:c>
      <x:c r="O205" s="68" t="str">
        <x:f>IF(COLUMN()-2&lt;=$E$3,INDEX($B$10:$B$59,RANDBETWEEN(1,$E$3)),"")</x:f>
      </x:c>
      <x:c r="P205" s="68" t="str">
        <x:f>IF(COLUMN()-2&lt;=$E$3,INDEX($B$10:$B$59,RANDBETWEEN(1,$E$3)),"")</x:f>
      </x:c>
      <x:c r="Q205" s="68" t="str">
        <x:f>IF(COLUMN()-2&lt;=$E$3,INDEX($B$10:$B$59,RANDBETWEEN(1,$E$3)),"")</x:f>
      </x:c>
      <x:c r="R205" s="68" t="str">
        <x:f>IF(COLUMN()-2&lt;=$E$3,INDEX($B$10:$B$59,RANDBETWEEN(1,$E$3)),"")</x:f>
      </x:c>
      <x:c r="S205" s="68" t="str">
        <x:f>IF(COLUMN()-2&lt;=$E$3,INDEX($B$10:$B$59,RANDBETWEEN(1,$E$3)),"")</x:f>
      </x:c>
      <x:c r="T205" s="68" t="str">
        <x:f>IF(COLUMN()-2&lt;=$E$3,INDEX($B$10:$B$59,RANDBETWEEN(1,$E$3)),"")</x:f>
      </x:c>
      <x:c r="U205" s="68" t="str">
        <x:f>IF(COLUMN()-2&lt;=$E$3,INDEX($B$10:$B$59,RANDBETWEEN(1,$E$3)),"")</x:f>
      </x:c>
      <x:c r="V205" s="68" t="str">
        <x:f>IF(COLUMN()-2&lt;=$E$3,INDEX($B$10:$B$59,RANDBETWEEN(1,$E$3)),"")</x:f>
      </x:c>
      <x:c r="W205" s="68" t="str">
        <x:f>IF(COLUMN()-2&lt;=$E$3,INDEX($B$10:$B$59,RANDBETWEEN(1,$E$3)),"")</x:f>
      </x:c>
      <x:c r="X205" s="68" t="str">
        <x:f>IF(COLUMN()-2&lt;=$E$3,INDEX($B$10:$B$59,RANDBETWEEN(1,$E$3)),"")</x:f>
      </x:c>
      <x:c r="Y205" s="68" t="str">
        <x:f>IF(COLUMN()-2&lt;=$E$3,INDEX($B$10:$B$59,RANDBETWEEN(1,$E$3)),"")</x:f>
      </x:c>
      <x:c r="Z205" s="68" t="str">
        <x:f>IF(COLUMN()-2&lt;=$E$3,INDEX($B$10:$B$59,RANDBETWEEN(1,$E$3)),"")</x:f>
      </x:c>
      <x:c r="AA205" s="68" t="str">
        <x:f>IF(COLUMN()-2&lt;=$E$3,INDEX($B$10:$B$59,RANDBETWEEN(1,$E$3)),"")</x:f>
      </x:c>
      <x:c r="AB205" s="68" t="str">
        <x:f>IF(COLUMN()-2&lt;=$E$3,INDEX($B$10:$B$59,RANDBETWEEN(1,$E$3)),"")</x:f>
      </x:c>
      <x:c r="AC205" s="68" t="str">
        <x:f>IF(COLUMN()-2&lt;=$E$3,INDEX($B$10:$B$59,RANDBETWEEN(1,$E$3)),"")</x:f>
      </x:c>
      <x:c r="AD205" s="68" t="str">
        <x:f>IF(COLUMN()-2&lt;=$E$3,INDEX($B$10:$B$59,RANDBETWEEN(1,$E$3)),"")</x:f>
      </x:c>
      <x:c r="AE205" s="68" t="str">
        <x:f>IF(COLUMN()-2&lt;=$E$3,INDEX($B$10:$B$59,RANDBETWEEN(1,$E$3)),"")</x:f>
      </x:c>
      <x:c r="AF205" s="68" t="str">
        <x:f>IF(COLUMN()-2&lt;=$E$3,INDEX($B$10:$B$59,RANDBETWEEN(1,$E$3)),"")</x:f>
      </x:c>
      <x:c r="AG205" s="68" t="str">
        <x:f>IF(COLUMN()-2&lt;=$E$3,INDEX($B$10:$B$59,RANDBETWEEN(1,$E$3)),"")</x:f>
      </x:c>
      <x:c r="AH205" s="68" t="str">
        <x:f>IF(COLUMN()-2&lt;=$E$3,INDEX($B$10:$B$59,RANDBETWEEN(1,$E$3)),"")</x:f>
      </x:c>
      <x:c r="AI205" s="68" t="str">
        <x:f>IF(COLUMN()-2&lt;=$E$3,INDEX($B$10:$B$59,RANDBETWEEN(1,$E$3)),"")</x:f>
      </x:c>
      <x:c r="AJ205" s="68" t="str">
        <x:f>IF(COLUMN()-2&lt;=$E$3,INDEX($B$10:$B$59,RANDBETWEEN(1,$E$3)),"")</x:f>
      </x:c>
      <x:c r="AK205" s="68" t="str">
        <x:f>IF(COLUMN()-2&lt;=$E$3,INDEX($B$10:$B$59,RANDBETWEEN(1,$E$3)),"")</x:f>
      </x:c>
      <x:c r="AL205" s="68" t="str">
        <x:f>IF(COLUMN()-2&lt;=$E$3,INDEX($B$10:$B$59,RANDBETWEEN(1,$E$3)),"")</x:f>
      </x:c>
      <x:c r="AM205" s="68" t="str">
        <x:f>IF(COLUMN()-2&lt;=$E$3,INDEX($B$10:$B$59,RANDBETWEEN(1,$E$3)),"")</x:f>
      </x:c>
      <x:c r="AN205" s="68" t="str">
        <x:f>IF(COLUMN()-2&lt;=$E$3,INDEX($B$10:$B$59,RANDBETWEEN(1,$E$3)),"")</x:f>
      </x:c>
      <x:c r="AO205" s="68" t="str">
        <x:f>IF(COLUMN()-2&lt;=$E$3,INDEX($B$10:$B$59,RANDBETWEEN(1,$E$3)),"")</x:f>
      </x:c>
      <x:c r="AP205" s="68" t="str">
        <x:f>IF(COLUMN()-2&lt;=$E$3,INDEX($B$10:$B$59,RANDBETWEEN(1,$E$3)),"")</x:f>
      </x:c>
      <x:c r="AQ205" s="68" t="str">
        <x:f>IF(COLUMN()-2&lt;=$E$3,INDEX($B$10:$B$59,RANDBETWEEN(1,$E$3)),"")</x:f>
      </x:c>
      <x:c r="AR205" s="68" t="str">
        <x:f>IF(COLUMN()-2&lt;=$E$3,INDEX($B$10:$B$59,RANDBETWEEN(1,$E$3)),"")</x:f>
      </x:c>
      <x:c r="AS205" s="68" t="str">
        <x:f>IF(COLUMN()-2&lt;=$E$3,INDEX($B$10:$B$59,RANDBETWEEN(1,$E$3)),"")</x:f>
      </x:c>
      <x:c r="AT205" s="68" t="str">
        <x:f>IF(COLUMN()-2&lt;=$E$3,INDEX($B$10:$B$59,RANDBETWEEN(1,$E$3)),"")</x:f>
      </x:c>
      <x:c r="AU205" s="68" t="str">
        <x:f>IF(COLUMN()-2&lt;=$E$3,INDEX($B$10:$B$59,RANDBETWEEN(1,$E$3)),"")</x:f>
      </x:c>
      <x:c r="AV205" s="68" t="str">
        <x:f>IF(COLUMN()-2&lt;=$E$3,INDEX($B$10:$B$59,RANDBETWEEN(1,$E$3)),"")</x:f>
      </x:c>
      <x:c r="AW205" s="68" t="str">
        <x:f>IF(COLUMN()-2&lt;=$E$3,INDEX($B$10:$B$59,RANDBETWEEN(1,$E$3)),"")</x:f>
      </x:c>
      <x:c r="AX205" s="68" t="str">
        <x:f>IF(COLUMN()-2&lt;=$E$3,INDEX($B$10:$B$59,RANDBETWEEN(1,$E$3)),"")</x:f>
      </x:c>
      <x:c r="AY205" s="68" t="str">
        <x:f>IF(COLUMN()-2&lt;=$E$3,INDEX($B$10:$B$59,RANDBETWEEN(1,$E$3)),"")</x:f>
      </x:c>
      <x:c r="AZ205" s="68" t="str">
        <x:f>IF(COLUMN()-2&lt;=$E$3,INDEX($B$10:$B$59,RANDBETWEEN(1,$E$3)),"")</x:f>
      </x:c>
      <x:c r="BA205" s="68" t="str">
        <x:f>IF($E$3=0,"",AVERAGE(C205:AZ205))</x:f>
      </x:c>
    </x:row>
    <x:row r="206">
      <x:c r="A206" t="n">
        <x:v>142</x:v>
      </x:c>
      <x:c r="C206" s="68" t="str">
        <x:f>IF(COLUMN()-2&lt;=$E$3,INDEX($B$10:$B$59,RANDBETWEEN(1,$E$3)),"")</x:f>
      </x:c>
      <x:c r="D206" s="68" t="str">
        <x:f>IF(COLUMN()-2&lt;=$E$3,INDEX($B$10:$B$59,RANDBETWEEN(1,$E$3)),"")</x:f>
      </x:c>
      <x:c r="E206" s="68" t="str">
        <x:f>IF(COLUMN()-2&lt;=$E$3,INDEX($B$10:$B$59,RANDBETWEEN(1,$E$3)),"")</x:f>
      </x:c>
      <x:c r="F206" s="68" t="str">
        <x:f>IF(COLUMN()-2&lt;=$E$3,INDEX($B$10:$B$59,RANDBETWEEN(1,$E$3)),"")</x:f>
      </x:c>
      <x:c r="G206" s="68" t="str">
        <x:f>IF(COLUMN()-2&lt;=$E$3,INDEX($B$10:$B$59,RANDBETWEEN(1,$E$3)),"")</x:f>
      </x:c>
      <x:c r="H206" s="68" t="str">
        <x:f>IF(COLUMN()-2&lt;=$E$3,INDEX($B$10:$B$59,RANDBETWEEN(1,$E$3)),"")</x:f>
      </x:c>
      <x:c r="I206" s="68" t="str">
        <x:f>IF(COLUMN()-2&lt;=$E$3,INDEX($B$10:$B$59,RANDBETWEEN(1,$E$3)),"")</x:f>
      </x:c>
      <x:c r="J206" s="68" t="str">
        <x:f>IF(COLUMN()-2&lt;=$E$3,INDEX($B$10:$B$59,RANDBETWEEN(1,$E$3)),"")</x:f>
      </x:c>
      <x:c r="K206" s="68" t="str">
        <x:f>IF(COLUMN()-2&lt;=$E$3,INDEX($B$10:$B$59,RANDBETWEEN(1,$E$3)),"")</x:f>
      </x:c>
      <x:c r="L206" s="68" t="str">
        <x:f>IF(COLUMN()-2&lt;=$E$3,INDEX($B$10:$B$59,RANDBETWEEN(1,$E$3)),"")</x:f>
      </x:c>
      <x:c r="M206" s="68" t="str">
        <x:f>IF(COLUMN()-2&lt;=$E$3,INDEX($B$10:$B$59,RANDBETWEEN(1,$E$3)),"")</x:f>
      </x:c>
      <x:c r="N206" s="68" t="str">
        <x:f>IF(COLUMN()-2&lt;=$E$3,INDEX($B$10:$B$59,RANDBETWEEN(1,$E$3)),"")</x:f>
      </x:c>
      <x:c r="O206" s="68" t="str">
        <x:f>IF(COLUMN()-2&lt;=$E$3,INDEX($B$10:$B$59,RANDBETWEEN(1,$E$3)),"")</x:f>
      </x:c>
      <x:c r="P206" s="68" t="str">
        <x:f>IF(COLUMN()-2&lt;=$E$3,INDEX($B$10:$B$59,RANDBETWEEN(1,$E$3)),"")</x:f>
      </x:c>
      <x:c r="Q206" s="68" t="str">
        <x:f>IF(COLUMN()-2&lt;=$E$3,INDEX($B$10:$B$59,RANDBETWEEN(1,$E$3)),"")</x:f>
      </x:c>
      <x:c r="R206" s="68" t="str">
        <x:f>IF(COLUMN()-2&lt;=$E$3,INDEX($B$10:$B$59,RANDBETWEEN(1,$E$3)),"")</x:f>
      </x:c>
      <x:c r="S206" s="68" t="str">
        <x:f>IF(COLUMN()-2&lt;=$E$3,INDEX($B$10:$B$59,RANDBETWEEN(1,$E$3)),"")</x:f>
      </x:c>
      <x:c r="T206" s="68" t="str">
        <x:f>IF(COLUMN()-2&lt;=$E$3,INDEX($B$10:$B$59,RANDBETWEEN(1,$E$3)),"")</x:f>
      </x:c>
      <x:c r="U206" s="68" t="str">
        <x:f>IF(COLUMN()-2&lt;=$E$3,INDEX($B$10:$B$59,RANDBETWEEN(1,$E$3)),"")</x:f>
      </x:c>
      <x:c r="V206" s="68" t="str">
        <x:f>IF(COLUMN()-2&lt;=$E$3,INDEX($B$10:$B$59,RANDBETWEEN(1,$E$3)),"")</x:f>
      </x:c>
      <x:c r="W206" s="68" t="str">
        <x:f>IF(COLUMN()-2&lt;=$E$3,INDEX($B$10:$B$59,RANDBETWEEN(1,$E$3)),"")</x:f>
      </x:c>
      <x:c r="X206" s="68" t="str">
        <x:f>IF(COLUMN()-2&lt;=$E$3,INDEX($B$10:$B$59,RANDBETWEEN(1,$E$3)),"")</x:f>
      </x:c>
      <x:c r="Y206" s="68" t="str">
        <x:f>IF(COLUMN()-2&lt;=$E$3,INDEX($B$10:$B$59,RANDBETWEEN(1,$E$3)),"")</x:f>
      </x:c>
      <x:c r="Z206" s="68" t="str">
        <x:f>IF(COLUMN()-2&lt;=$E$3,INDEX($B$10:$B$59,RANDBETWEEN(1,$E$3)),"")</x:f>
      </x:c>
      <x:c r="AA206" s="68" t="str">
        <x:f>IF(COLUMN()-2&lt;=$E$3,INDEX($B$10:$B$59,RANDBETWEEN(1,$E$3)),"")</x:f>
      </x:c>
      <x:c r="AB206" s="68" t="str">
        <x:f>IF(COLUMN()-2&lt;=$E$3,INDEX($B$10:$B$59,RANDBETWEEN(1,$E$3)),"")</x:f>
      </x:c>
      <x:c r="AC206" s="68" t="str">
        <x:f>IF(COLUMN()-2&lt;=$E$3,INDEX($B$10:$B$59,RANDBETWEEN(1,$E$3)),"")</x:f>
      </x:c>
      <x:c r="AD206" s="68" t="str">
        <x:f>IF(COLUMN()-2&lt;=$E$3,INDEX($B$10:$B$59,RANDBETWEEN(1,$E$3)),"")</x:f>
      </x:c>
      <x:c r="AE206" s="68" t="str">
        <x:f>IF(COLUMN()-2&lt;=$E$3,INDEX($B$10:$B$59,RANDBETWEEN(1,$E$3)),"")</x:f>
      </x:c>
      <x:c r="AF206" s="68" t="str">
        <x:f>IF(COLUMN()-2&lt;=$E$3,INDEX($B$10:$B$59,RANDBETWEEN(1,$E$3)),"")</x:f>
      </x:c>
      <x:c r="AG206" s="68" t="str">
        <x:f>IF(COLUMN()-2&lt;=$E$3,INDEX($B$10:$B$59,RANDBETWEEN(1,$E$3)),"")</x:f>
      </x:c>
      <x:c r="AH206" s="68" t="str">
        <x:f>IF(COLUMN()-2&lt;=$E$3,INDEX($B$10:$B$59,RANDBETWEEN(1,$E$3)),"")</x:f>
      </x:c>
      <x:c r="AI206" s="68" t="str">
        <x:f>IF(COLUMN()-2&lt;=$E$3,INDEX($B$10:$B$59,RANDBETWEEN(1,$E$3)),"")</x:f>
      </x:c>
      <x:c r="AJ206" s="68" t="str">
        <x:f>IF(COLUMN()-2&lt;=$E$3,INDEX($B$10:$B$59,RANDBETWEEN(1,$E$3)),"")</x:f>
      </x:c>
      <x:c r="AK206" s="68" t="str">
        <x:f>IF(COLUMN()-2&lt;=$E$3,INDEX($B$10:$B$59,RANDBETWEEN(1,$E$3)),"")</x:f>
      </x:c>
      <x:c r="AL206" s="68" t="str">
        <x:f>IF(COLUMN()-2&lt;=$E$3,INDEX($B$10:$B$59,RANDBETWEEN(1,$E$3)),"")</x:f>
      </x:c>
      <x:c r="AM206" s="68" t="str">
        <x:f>IF(COLUMN()-2&lt;=$E$3,INDEX($B$10:$B$59,RANDBETWEEN(1,$E$3)),"")</x:f>
      </x:c>
      <x:c r="AN206" s="68" t="str">
        <x:f>IF(COLUMN()-2&lt;=$E$3,INDEX($B$10:$B$59,RANDBETWEEN(1,$E$3)),"")</x:f>
      </x:c>
      <x:c r="AO206" s="68" t="str">
        <x:f>IF(COLUMN()-2&lt;=$E$3,INDEX($B$10:$B$59,RANDBETWEEN(1,$E$3)),"")</x:f>
      </x:c>
      <x:c r="AP206" s="68" t="str">
        <x:f>IF(COLUMN()-2&lt;=$E$3,INDEX($B$10:$B$59,RANDBETWEEN(1,$E$3)),"")</x:f>
      </x:c>
      <x:c r="AQ206" s="68" t="str">
        <x:f>IF(COLUMN()-2&lt;=$E$3,INDEX($B$10:$B$59,RANDBETWEEN(1,$E$3)),"")</x:f>
      </x:c>
      <x:c r="AR206" s="68" t="str">
        <x:f>IF(COLUMN()-2&lt;=$E$3,INDEX($B$10:$B$59,RANDBETWEEN(1,$E$3)),"")</x:f>
      </x:c>
      <x:c r="AS206" s="68" t="str">
        <x:f>IF(COLUMN()-2&lt;=$E$3,INDEX($B$10:$B$59,RANDBETWEEN(1,$E$3)),"")</x:f>
      </x:c>
      <x:c r="AT206" s="68" t="str">
        <x:f>IF(COLUMN()-2&lt;=$E$3,INDEX($B$10:$B$59,RANDBETWEEN(1,$E$3)),"")</x:f>
      </x:c>
      <x:c r="AU206" s="68" t="str">
        <x:f>IF(COLUMN()-2&lt;=$E$3,INDEX($B$10:$B$59,RANDBETWEEN(1,$E$3)),"")</x:f>
      </x:c>
      <x:c r="AV206" s="68" t="str">
        <x:f>IF(COLUMN()-2&lt;=$E$3,INDEX($B$10:$B$59,RANDBETWEEN(1,$E$3)),"")</x:f>
      </x:c>
      <x:c r="AW206" s="68" t="str">
        <x:f>IF(COLUMN()-2&lt;=$E$3,INDEX($B$10:$B$59,RANDBETWEEN(1,$E$3)),"")</x:f>
      </x:c>
      <x:c r="AX206" s="68" t="str">
        <x:f>IF(COLUMN()-2&lt;=$E$3,INDEX($B$10:$B$59,RANDBETWEEN(1,$E$3)),"")</x:f>
      </x:c>
      <x:c r="AY206" s="68" t="str">
        <x:f>IF(COLUMN()-2&lt;=$E$3,INDEX($B$10:$B$59,RANDBETWEEN(1,$E$3)),"")</x:f>
      </x:c>
      <x:c r="AZ206" s="68" t="str">
        <x:f>IF(COLUMN()-2&lt;=$E$3,INDEX($B$10:$B$59,RANDBETWEEN(1,$E$3)),"")</x:f>
      </x:c>
      <x:c r="BA206" s="68" t="str">
        <x:f>IF($E$3=0,"",AVERAGE(C206:AZ206))</x:f>
      </x:c>
    </x:row>
    <x:row r="207">
      <x:c r="A207" t="n">
        <x:v>143</x:v>
      </x:c>
      <x:c r="C207" s="68" t="str">
        <x:f>IF(COLUMN()-2&lt;=$E$3,INDEX($B$10:$B$59,RANDBETWEEN(1,$E$3)),"")</x:f>
      </x:c>
      <x:c r="D207" s="68" t="str">
        <x:f>IF(COLUMN()-2&lt;=$E$3,INDEX($B$10:$B$59,RANDBETWEEN(1,$E$3)),"")</x:f>
      </x:c>
      <x:c r="E207" s="68" t="str">
        <x:f>IF(COLUMN()-2&lt;=$E$3,INDEX($B$10:$B$59,RANDBETWEEN(1,$E$3)),"")</x:f>
      </x:c>
      <x:c r="F207" s="68" t="str">
        <x:f>IF(COLUMN()-2&lt;=$E$3,INDEX($B$10:$B$59,RANDBETWEEN(1,$E$3)),"")</x:f>
      </x:c>
      <x:c r="G207" s="68" t="str">
        <x:f>IF(COLUMN()-2&lt;=$E$3,INDEX($B$10:$B$59,RANDBETWEEN(1,$E$3)),"")</x:f>
      </x:c>
      <x:c r="H207" s="68" t="str">
        <x:f>IF(COLUMN()-2&lt;=$E$3,INDEX($B$10:$B$59,RANDBETWEEN(1,$E$3)),"")</x:f>
      </x:c>
      <x:c r="I207" s="68" t="str">
        <x:f>IF(COLUMN()-2&lt;=$E$3,INDEX($B$10:$B$59,RANDBETWEEN(1,$E$3)),"")</x:f>
      </x:c>
      <x:c r="J207" s="68" t="str">
        <x:f>IF(COLUMN()-2&lt;=$E$3,INDEX($B$10:$B$59,RANDBETWEEN(1,$E$3)),"")</x:f>
      </x:c>
      <x:c r="K207" s="68" t="str">
        <x:f>IF(COLUMN()-2&lt;=$E$3,INDEX($B$10:$B$59,RANDBETWEEN(1,$E$3)),"")</x:f>
      </x:c>
      <x:c r="L207" s="68" t="str">
        <x:f>IF(COLUMN()-2&lt;=$E$3,INDEX($B$10:$B$59,RANDBETWEEN(1,$E$3)),"")</x:f>
      </x:c>
      <x:c r="M207" s="68" t="str">
        <x:f>IF(COLUMN()-2&lt;=$E$3,INDEX($B$10:$B$59,RANDBETWEEN(1,$E$3)),"")</x:f>
      </x:c>
      <x:c r="N207" s="68" t="str">
        <x:f>IF(COLUMN()-2&lt;=$E$3,INDEX($B$10:$B$59,RANDBETWEEN(1,$E$3)),"")</x:f>
      </x:c>
      <x:c r="O207" s="68" t="str">
        <x:f>IF(COLUMN()-2&lt;=$E$3,INDEX($B$10:$B$59,RANDBETWEEN(1,$E$3)),"")</x:f>
      </x:c>
      <x:c r="P207" s="68" t="str">
        <x:f>IF(COLUMN()-2&lt;=$E$3,INDEX($B$10:$B$59,RANDBETWEEN(1,$E$3)),"")</x:f>
      </x:c>
      <x:c r="Q207" s="68" t="str">
        <x:f>IF(COLUMN()-2&lt;=$E$3,INDEX($B$10:$B$59,RANDBETWEEN(1,$E$3)),"")</x:f>
      </x:c>
      <x:c r="R207" s="68" t="str">
        <x:f>IF(COLUMN()-2&lt;=$E$3,INDEX($B$10:$B$59,RANDBETWEEN(1,$E$3)),"")</x:f>
      </x:c>
      <x:c r="S207" s="68" t="str">
        <x:f>IF(COLUMN()-2&lt;=$E$3,INDEX($B$10:$B$59,RANDBETWEEN(1,$E$3)),"")</x:f>
      </x:c>
      <x:c r="T207" s="68" t="str">
        <x:f>IF(COLUMN()-2&lt;=$E$3,INDEX($B$10:$B$59,RANDBETWEEN(1,$E$3)),"")</x:f>
      </x:c>
      <x:c r="U207" s="68" t="str">
        <x:f>IF(COLUMN()-2&lt;=$E$3,INDEX($B$10:$B$59,RANDBETWEEN(1,$E$3)),"")</x:f>
      </x:c>
      <x:c r="V207" s="68" t="str">
        <x:f>IF(COLUMN()-2&lt;=$E$3,INDEX($B$10:$B$59,RANDBETWEEN(1,$E$3)),"")</x:f>
      </x:c>
      <x:c r="W207" s="68" t="str">
        <x:f>IF(COLUMN()-2&lt;=$E$3,INDEX($B$10:$B$59,RANDBETWEEN(1,$E$3)),"")</x:f>
      </x:c>
      <x:c r="X207" s="68" t="str">
        <x:f>IF(COLUMN()-2&lt;=$E$3,INDEX($B$10:$B$59,RANDBETWEEN(1,$E$3)),"")</x:f>
      </x:c>
      <x:c r="Y207" s="68" t="str">
        <x:f>IF(COLUMN()-2&lt;=$E$3,INDEX($B$10:$B$59,RANDBETWEEN(1,$E$3)),"")</x:f>
      </x:c>
      <x:c r="Z207" s="68" t="str">
        <x:f>IF(COLUMN()-2&lt;=$E$3,INDEX($B$10:$B$59,RANDBETWEEN(1,$E$3)),"")</x:f>
      </x:c>
      <x:c r="AA207" s="68" t="str">
        <x:f>IF(COLUMN()-2&lt;=$E$3,INDEX($B$10:$B$59,RANDBETWEEN(1,$E$3)),"")</x:f>
      </x:c>
      <x:c r="AB207" s="68" t="str">
        <x:f>IF(COLUMN()-2&lt;=$E$3,INDEX($B$10:$B$59,RANDBETWEEN(1,$E$3)),"")</x:f>
      </x:c>
      <x:c r="AC207" s="68" t="str">
        <x:f>IF(COLUMN()-2&lt;=$E$3,INDEX($B$10:$B$59,RANDBETWEEN(1,$E$3)),"")</x:f>
      </x:c>
      <x:c r="AD207" s="68" t="str">
        <x:f>IF(COLUMN()-2&lt;=$E$3,INDEX($B$10:$B$59,RANDBETWEEN(1,$E$3)),"")</x:f>
      </x:c>
      <x:c r="AE207" s="68" t="str">
        <x:f>IF(COLUMN()-2&lt;=$E$3,INDEX($B$10:$B$59,RANDBETWEEN(1,$E$3)),"")</x:f>
      </x:c>
      <x:c r="AF207" s="68" t="str">
        <x:f>IF(COLUMN()-2&lt;=$E$3,INDEX($B$10:$B$59,RANDBETWEEN(1,$E$3)),"")</x:f>
      </x:c>
      <x:c r="AG207" s="68" t="str">
        <x:f>IF(COLUMN()-2&lt;=$E$3,INDEX($B$10:$B$59,RANDBETWEEN(1,$E$3)),"")</x:f>
      </x:c>
      <x:c r="AH207" s="68" t="str">
        <x:f>IF(COLUMN()-2&lt;=$E$3,INDEX($B$10:$B$59,RANDBETWEEN(1,$E$3)),"")</x:f>
      </x:c>
      <x:c r="AI207" s="68" t="str">
        <x:f>IF(COLUMN()-2&lt;=$E$3,INDEX($B$10:$B$59,RANDBETWEEN(1,$E$3)),"")</x:f>
      </x:c>
      <x:c r="AJ207" s="68" t="str">
        <x:f>IF(COLUMN()-2&lt;=$E$3,INDEX($B$10:$B$59,RANDBETWEEN(1,$E$3)),"")</x:f>
      </x:c>
      <x:c r="AK207" s="68" t="str">
        <x:f>IF(COLUMN()-2&lt;=$E$3,INDEX($B$10:$B$59,RANDBETWEEN(1,$E$3)),"")</x:f>
      </x:c>
      <x:c r="AL207" s="68" t="str">
        <x:f>IF(COLUMN()-2&lt;=$E$3,INDEX($B$10:$B$59,RANDBETWEEN(1,$E$3)),"")</x:f>
      </x:c>
      <x:c r="AM207" s="68" t="str">
        <x:f>IF(COLUMN()-2&lt;=$E$3,INDEX($B$10:$B$59,RANDBETWEEN(1,$E$3)),"")</x:f>
      </x:c>
      <x:c r="AN207" s="68" t="str">
        <x:f>IF(COLUMN()-2&lt;=$E$3,INDEX($B$10:$B$59,RANDBETWEEN(1,$E$3)),"")</x:f>
      </x:c>
      <x:c r="AO207" s="68" t="str">
        <x:f>IF(COLUMN()-2&lt;=$E$3,INDEX($B$10:$B$59,RANDBETWEEN(1,$E$3)),"")</x:f>
      </x:c>
      <x:c r="AP207" s="68" t="str">
        <x:f>IF(COLUMN()-2&lt;=$E$3,INDEX($B$10:$B$59,RANDBETWEEN(1,$E$3)),"")</x:f>
      </x:c>
      <x:c r="AQ207" s="68" t="str">
        <x:f>IF(COLUMN()-2&lt;=$E$3,INDEX($B$10:$B$59,RANDBETWEEN(1,$E$3)),"")</x:f>
      </x:c>
      <x:c r="AR207" s="68" t="str">
        <x:f>IF(COLUMN()-2&lt;=$E$3,INDEX($B$10:$B$59,RANDBETWEEN(1,$E$3)),"")</x:f>
      </x:c>
      <x:c r="AS207" s="68" t="str">
        <x:f>IF(COLUMN()-2&lt;=$E$3,INDEX($B$10:$B$59,RANDBETWEEN(1,$E$3)),"")</x:f>
      </x:c>
      <x:c r="AT207" s="68" t="str">
        <x:f>IF(COLUMN()-2&lt;=$E$3,INDEX($B$10:$B$59,RANDBETWEEN(1,$E$3)),"")</x:f>
      </x:c>
      <x:c r="AU207" s="68" t="str">
        <x:f>IF(COLUMN()-2&lt;=$E$3,INDEX($B$10:$B$59,RANDBETWEEN(1,$E$3)),"")</x:f>
      </x:c>
      <x:c r="AV207" s="68" t="str">
        <x:f>IF(COLUMN()-2&lt;=$E$3,INDEX($B$10:$B$59,RANDBETWEEN(1,$E$3)),"")</x:f>
      </x:c>
      <x:c r="AW207" s="68" t="str">
        <x:f>IF(COLUMN()-2&lt;=$E$3,INDEX($B$10:$B$59,RANDBETWEEN(1,$E$3)),"")</x:f>
      </x:c>
      <x:c r="AX207" s="68" t="str">
        <x:f>IF(COLUMN()-2&lt;=$E$3,INDEX($B$10:$B$59,RANDBETWEEN(1,$E$3)),"")</x:f>
      </x:c>
      <x:c r="AY207" s="68" t="str">
        <x:f>IF(COLUMN()-2&lt;=$E$3,INDEX($B$10:$B$59,RANDBETWEEN(1,$E$3)),"")</x:f>
      </x:c>
      <x:c r="AZ207" s="68" t="str">
        <x:f>IF(COLUMN()-2&lt;=$E$3,INDEX($B$10:$B$59,RANDBETWEEN(1,$E$3)),"")</x:f>
      </x:c>
      <x:c r="BA207" s="68" t="str">
        <x:f>IF($E$3=0,"",AVERAGE(C207:AZ207))</x:f>
      </x:c>
    </x:row>
    <x:row r="208">
      <x:c r="A208" t="n">
        <x:v>144</x:v>
      </x:c>
      <x:c r="C208" s="68" t="str">
        <x:f>IF(COLUMN()-2&lt;=$E$3,INDEX($B$10:$B$59,RANDBETWEEN(1,$E$3)),"")</x:f>
      </x:c>
      <x:c r="D208" s="68" t="str">
        <x:f>IF(COLUMN()-2&lt;=$E$3,INDEX($B$10:$B$59,RANDBETWEEN(1,$E$3)),"")</x:f>
      </x:c>
      <x:c r="E208" s="68" t="str">
        <x:f>IF(COLUMN()-2&lt;=$E$3,INDEX($B$10:$B$59,RANDBETWEEN(1,$E$3)),"")</x:f>
      </x:c>
      <x:c r="F208" s="68" t="str">
        <x:f>IF(COLUMN()-2&lt;=$E$3,INDEX($B$10:$B$59,RANDBETWEEN(1,$E$3)),"")</x:f>
      </x:c>
      <x:c r="G208" s="68" t="str">
        <x:f>IF(COLUMN()-2&lt;=$E$3,INDEX($B$10:$B$59,RANDBETWEEN(1,$E$3)),"")</x:f>
      </x:c>
      <x:c r="H208" s="68" t="str">
        <x:f>IF(COLUMN()-2&lt;=$E$3,INDEX($B$10:$B$59,RANDBETWEEN(1,$E$3)),"")</x:f>
      </x:c>
      <x:c r="I208" s="68" t="str">
        <x:f>IF(COLUMN()-2&lt;=$E$3,INDEX($B$10:$B$59,RANDBETWEEN(1,$E$3)),"")</x:f>
      </x:c>
      <x:c r="J208" s="68" t="str">
        <x:f>IF(COLUMN()-2&lt;=$E$3,INDEX($B$10:$B$59,RANDBETWEEN(1,$E$3)),"")</x:f>
      </x:c>
      <x:c r="K208" s="68" t="str">
        <x:f>IF(COLUMN()-2&lt;=$E$3,INDEX($B$10:$B$59,RANDBETWEEN(1,$E$3)),"")</x:f>
      </x:c>
      <x:c r="L208" s="68" t="str">
        <x:f>IF(COLUMN()-2&lt;=$E$3,INDEX($B$10:$B$59,RANDBETWEEN(1,$E$3)),"")</x:f>
      </x:c>
      <x:c r="M208" s="68" t="str">
        <x:f>IF(COLUMN()-2&lt;=$E$3,INDEX($B$10:$B$59,RANDBETWEEN(1,$E$3)),"")</x:f>
      </x:c>
      <x:c r="N208" s="68" t="str">
        <x:f>IF(COLUMN()-2&lt;=$E$3,INDEX($B$10:$B$59,RANDBETWEEN(1,$E$3)),"")</x:f>
      </x:c>
      <x:c r="O208" s="68" t="str">
        <x:f>IF(COLUMN()-2&lt;=$E$3,INDEX($B$10:$B$59,RANDBETWEEN(1,$E$3)),"")</x:f>
      </x:c>
      <x:c r="P208" s="68" t="str">
        <x:f>IF(COLUMN()-2&lt;=$E$3,INDEX($B$10:$B$59,RANDBETWEEN(1,$E$3)),"")</x:f>
      </x:c>
      <x:c r="Q208" s="68" t="str">
        <x:f>IF(COLUMN()-2&lt;=$E$3,INDEX($B$10:$B$59,RANDBETWEEN(1,$E$3)),"")</x:f>
      </x:c>
      <x:c r="R208" s="68" t="str">
        <x:f>IF(COLUMN()-2&lt;=$E$3,INDEX($B$10:$B$59,RANDBETWEEN(1,$E$3)),"")</x:f>
      </x:c>
      <x:c r="S208" s="68" t="str">
        <x:f>IF(COLUMN()-2&lt;=$E$3,INDEX($B$10:$B$59,RANDBETWEEN(1,$E$3)),"")</x:f>
      </x:c>
      <x:c r="T208" s="68" t="str">
        <x:f>IF(COLUMN()-2&lt;=$E$3,INDEX($B$10:$B$59,RANDBETWEEN(1,$E$3)),"")</x:f>
      </x:c>
      <x:c r="U208" s="68" t="str">
        <x:f>IF(COLUMN()-2&lt;=$E$3,INDEX($B$10:$B$59,RANDBETWEEN(1,$E$3)),"")</x:f>
      </x:c>
      <x:c r="V208" s="68" t="str">
        <x:f>IF(COLUMN()-2&lt;=$E$3,INDEX($B$10:$B$59,RANDBETWEEN(1,$E$3)),"")</x:f>
      </x:c>
      <x:c r="W208" s="68" t="str">
        <x:f>IF(COLUMN()-2&lt;=$E$3,INDEX($B$10:$B$59,RANDBETWEEN(1,$E$3)),"")</x:f>
      </x:c>
      <x:c r="X208" s="68" t="str">
        <x:f>IF(COLUMN()-2&lt;=$E$3,INDEX($B$10:$B$59,RANDBETWEEN(1,$E$3)),"")</x:f>
      </x:c>
      <x:c r="Y208" s="68" t="str">
        <x:f>IF(COLUMN()-2&lt;=$E$3,INDEX($B$10:$B$59,RANDBETWEEN(1,$E$3)),"")</x:f>
      </x:c>
      <x:c r="Z208" s="68" t="str">
        <x:f>IF(COLUMN()-2&lt;=$E$3,INDEX($B$10:$B$59,RANDBETWEEN(1,$E$3)),"")</x:f>
      </x:c>
      <x:c r="AA208" s="68" t="str">
        <x:f>IF(COLUMN()-2&lt;=$E$3,INDEX($B$10:$B$59,RANDBETWEEN(1,$E$3)),"")</x:f>
      </x:c>
      <x:c r="AB208" s="68" t="str">
        <x:f>IF(COLUMN()-2&lt;=$E$3,INDEX($B$10:$B$59,RANDBETWEEN(1,$E$3)),"")</x:f>
      </x:c>
      <x:c r="AC208" s="68" t="str">
        <x:f>IF(COLUMN()-2&lt;=$E$3,INDEX($B$10:$B$59,RANDBETWEEN(1,$E$3)),"")</x:f>
      </x:c>
      <x:c r="AD208" s="68" t="str">
        <x:f>IF(COLUMN()-2&lt;=$E$3,INDEX($B$10:$B$59,RANDBETWEEN(1,$E$3)),"")</x:f>
      </x:c>
      <x:c r="AE208" s="68" t="str">
        <x:f>IF(COLUMN()-2&lt;=$E$3,INDEX($B$10:$B$59,RANDBETWEEN(1,$E$3)),"")</x:f>
      </x:c>
      <x:c r="AF208" s="68" t="str">
        <x:f>IF(COLUMN()-2&lt;=$E$3,INDEX($B$10:$B$59,RANDBETWEEN(1,$E$3)),"")</x:f>
      </x:c>
      <x:c r="AG208" s="68" t="str">
        <x:f>IF(COLUMN()-2&lt;=$E$3,INDEX($B$10:$B$59,RANDBETWEEN(1,$E$3)),"")</x:f>
      </x:c>
      <x:c r="AH208" s="68" t="str">
        <x:f>IF(COLUMN()-2&lt;=$E$3,INDEX($B$10:$B$59,RANDBETWEEN(1,$E$3)),"")</x:f>
      </x:c>
      <x:c r="AI208" s="68" t="str">
        <x:f>IF(COLUMN()-2&lt;=$E$3,INDEX($B$10:$B$59,RANDBETWEEN(1,$E$3)),"")</x:f>
      </x:c>
      <x:c r="AJ208" s="68" t="str">
        <x:f>IF(COLUMN()-2&lt;=$E$3,INDEX($B$10:$B$59,RANDBETWEEN(1,$E$3)),"")</x:f>
      </x:c>
      <x:c r="AK208" s="68" t="str">
        <x:f>IF(COLUMN()-2&lt;=$E$3,INDEX($B$10:$B$59,RANDBETWEEN(1,$E$3)),"")</x:f>
      </x:c>
      <x:c r="AL208" s="68" t="str">
        <x:f>IF(COLUMN()-2&lt;=$E$3,INDEX($B$10:$B$59,RANDBETWEEN(1,$E$3)),"")</x:f>
      </x:c>
      <x:c r="AM208" s="68" t="str">
        <x:f>IF(COLUMN()-2&lt;=$E$3,INDEX($B$10:$B$59,RANDBETWEEN(1,$E$3)),"")</x:f>
      </x:c>
      <x:c r="AN208" s="68" t="str">
        <x:f>IF(COLUMN()-2&lt;=$E$3,INDEX($B$10:$B$59,RANDBETWEEN(1,$E$3)),"")</x:f>
      </x:c>
      <x:c r="AO208" s="68" t="str">
        <x:f>IF(COLUMN()-2&lt;=$E$3,INDEX($B$10:$B$59,RANDBETWEEN(1,$E$3)),"")</x:f>
      </x:c>
      <x:c r="AP208" s="68" t="str">
        <x:f>IF(COLUMN()-2&lt;=$E$3,INDEX($B$10:$B$59,RANDBETWEEN(1,$E$3)),"")</x:f>
      </x:c>
      <x:c r="AQ208" s="68" t="str">
        <x:f>IF(COLUMN()-2&lt;=$E$3,INDEX($B$10:$B$59,RANDBETWEEN(1,$E$3)),"")</x:f>
      </x:c>
      <x:c r="AR208" s="68" t="str">
        <x:f>IF(COLUMN()-2&lt;=$E$3,INDEX($B$10:$B$59,RANDBETWEEN(1,$E$3)),"")</x:f>
      </x:c>
      <x:c r="AS208" s="68" t="str">
        <x:f>IF(COLUMN()-2&lt;=$E$3,INDEX($B$10:$B$59,RANDBETWEEN(1,$E$3)),"")</x:f>
      </x:c>
      <x:c r="AT208" s="68" t="str">
        <x:f>IF(COLUMN()-2&lt;=$E$3,INDEX($B$10:$B$59,RANDBETWEEN(1,$E$3)),"")</x:f>
      </x:c>
      <x:c r="AU208" s="68" t="str">
        <x:f>IF(COLUMN()-2&lt;=$E$3,INDEX($B$10:$B$59,RANDBETWEEN(1,$E$3)),"")</x:f>
      </x:c>
      <x:c r="AV208" s="68" t="str">
        <x:f>IF(COLUMN()-2&lt;=$E$3,INDEX($B$10:$B$59,RANDBETWEEN(1,$E$3)),"")</x:f>
      </x:c>
      <x:c r="AW208" s="68" t="str">
        <x:f>IF(COLUMN()-2&lt;=$E$3,INDEX($B$10:$B$59,RANDBETWEEN(1,$E$3)),"")</x:f>
      </x:c>
      <x:c r="AX208" s="68" t="str">
        <x:f>IF(COLUMN()-2&lt;=$E$3,INDEX($B$10:$B$59,RANDBETWEEN(1,$E$3)),"")</x:f>
      </x:c>
      <x:c r="AY208" s="68" t="str">
        <x:f>IF(COLUMN()-2&lt;=$E$3,INDEX($B$10:$B$59,RANDBETWEEN(1,$E$3)),"")</x:f>
      </x:c>
      <x:c r="AZ208" s="68" t="str">
        <x:f>IF(COLUMN()-2&lt;=$E$3,INDEX($B$10:$B$59,RANDBETWEEN(1,$E$3)),"")</x:f>
      </x:c>
      <x:c r="BA208" s="68" t="str">
        <x:f>IF($E$3=0,"",AVERAGE(C208:AZ208))</x:f>
      </x:c>
    </x:row>
    <x:row r="209">
      <x:c r="A209" t="n">
        <x:v>145</x:v>
      </x:c>
      <x:c r="C209" s="68" t="str">
        <x:f>IF(COLUMN()-2&lt;=$E$3,INDEX($B$10:$B$59,RANDBETWEEN(1,$E$3)),"")</x:f>
      </x:c>
      <x:c r="D209" s="68" t="str">
        <x:f>IF(COLUMN()-2&lt;=$E$3,INDEX($B$10:$B$59,RANDBETWEEN(1,$E$3)),"")</x:f>
      </x:c>
      <x:c r="E209" s="68" t="str">
        <x:f>IF(COLUMN()-2&lt;=$E$3,INDEX($B$10:$B$59,RANDBETWEEN(1,$E$3)),"")</x:f>
      </x:c>
      <x:c r="F209" s="68" t="str">
        <x:f>IF(COLUMN()-2&lt;=$E$3,INDEX($B$10:$B$59,RANDBETWEEN(1,$E$3)),"")</x:f>
      </x:c>
      <x:c r="G209" s="68" t="str">
        <x:f>IF(COLUMN()-2&lt;=$E$3,INDEX($B$10:$B$59,RANDBETWEEN(1,$E$3)),"")</x:f>
      </x:c>
      <x:c r="H209" s="68" t="str">
        <x:f>IF(COLUMN()-2&lt;=$E$3,INDEX($B$10:$B$59,RANDBETWEEN(1,$E$3)),"")</x:f>
      </x:c>
      <x:c r="I209" s="68" t="str">
        <x:f>IF(COLUMN()-2&lt;=$E$3,INDEX($B$10:$B$59,RANDBETWEEN(1,$E$3)),"")</x:f>
      </x:c>
      <x:c r="J209" s="68" t="str">
        <x:f>IF(COLUMN()-2&lt;=$E$3,INDEX($B$10:$B$59,RANDBETWEEN(1,$E$3)),"")</x:f>
      </x:c>
      <x:c r="K209" s="68" t="str">
        <x:f>IF(COLUMN()-2&lt;=$E$3,INDEX($B$10:$B$59,RANDBETWEEN(1,$E$3)),"")</x:f>
      </x:c>
      <x:c r="L209" s="68" t="str">
        <x:f>IF(COLUMN()-2&lt;=$E$3,INDEX($B$10:$B$59,RANDBETWEEN(1,$E$3)),"")</x:f>
      </x:c>
      <x:c r="M209" s="68" t="str">
        <x:f>IF(COLUMN()-2&lt;=$E$3,INDEX($B$10:$B$59,RANDBETWEEN(1,$E$3)),"")</x:f>
      </x:c>
      <x:c r="N209" s="68" t="str">
        <x:f>IF(COLUMN()-2&lt;=$E$3,INDEX($B$10:$B$59,RANDBETWEEN(1,$E$3)),"")</x:f>
      </x:c>
      <x:c r="O209" s="68" t="str">
        <x:f>IF(COLUMN()-2&lt;=$E$3,INDEX($B$10:$B$59,RANDBETWEEN(1,$E$3)),"")</x:f>
      </x:c>
      <x:c r="P209" s="68" t="str">
        <x:f>IF(COLUMN()-2&lt;=$E$3,INDEX($B$10:$B$59,RANDBETWEEN(1,$E$3)),"")</x:f>
      </x:c>
      <x:c r="Q209" s="68" t="str">
        <x:f>IF(COLUMN()-2&lt;=$E$3,INDEX($B$10:$B$59,RANDBETWEEN(1,$E$3)),"")</x:f>
      </x:c>
      <x:c r="R209" s="68" t="str">
        <x:f>IF(COLUMN()-2&lt;=$E$3,INDEX($B$10:$B$59,RANDBETWEEN(1,$E$3)),"")</x:f>
      </x:c>
      <x:c r="S209" s="68" t="str">
        <x:f>IF(COLUMN()-2&lt;=$E$3,INDEX($B$10:$B$59,RANDBETWEEN(1,$E$3)),"")</x:f>
      </x:c>
      <x:c r="T209" s="68" t="str">
        <x:f>IF(COLUMN()-2&lt;=$E$3,INDEX($B$10:$B$59,RANDBETWEEN(1,$E$3)),"")</x:f>
      </x:c>
      <x:c r="U209" s="68" t="str">
        <x:f>IF(COLUMN()-2&lt;=$E$3,INDEX($B$10:$B$59,RANDBETWEEN(1,$E$3)),"")</x:f>
      </x:c>
      <x:c r="V209" s="68" t="str">
        <x:f>IF(COLUMN()-2&lt;=$E$3,INDEX($B$10:$B$59,RANDBETWEEN(1,$E$3)),"")</x:f>
      </x:c>
      <x:c r="W209" s="68" t="str">
        <x:f>IF(COLUMN()-2&lt;=$E$3,INDEX($B$10:$B$59,RANDBETWEEN(1,$E$3)),"")</x:f>
      </x:c>
      <x:c r="X209" s="68" t="str">
        <x:f>IF(COLUMN()-2&lt;=$E$3,INDEX($B$10:$B$59,RANDBETWEEN(1,$E$3)),"")</x:f>
      </x:c>
      <x:c r="Y209" s="68" t="str">
        <x:f>IF(COLUMN()-2&lt;=$E$3,INDEX($B$10:$B$59,RANDBETWEEN(1,$E$3)),"")</x:f>
      </x:c>
      <x:c r="Z209" s="68" t="str">
        <x:f>IF(COLUMN()-2&lt;=$E$3,INDEX($B$10:$B$59,RANDBETWEEN(1,$E$3)),"")</x:f>
      </x:c>
      <x:c r="AA209" s="68" t="str">
        <x:f>IF(COLUMN()-2&lt;=$E$3,INDEX($B$10:$B$59,RANDBETWEEN(1,$E$3)),"")</x:f>
      </x:c>
      <x:c r="AB209" s="68" t="str">
        <x:f>IF(COLUMN()-2&lt;=$E$3,INDEX($B$10:$B$59,RANDBETWEEN(1,$E$3)),"")</x:f>
      </x:c>
      <x:c r="AC209" s="68" t="str">
        <x:f>IF(COLUMN()-2&lt;=$E$3,INDEX($B$10:$B$59,RANDBETWEEN(1,$E$3)),"")</x:f>
      </x:c>
      <x:c r="AD209" s="68" t="str">
        <x:f>IF(COLUMN()-2&lt;=$E$3,INDEX($B$10:$B$59,RANDBETWEEN(1,$E$3)),"")</x:f>
      </x:c>
      <x:c r="AE209" s="68" t="str">
        <x:f>IF(COLUMN()-2&lt;=$E$3,INDEX($B$10:$B$59,RANDBETWEEN(1,$E$3)),"")</x:f>
      </x:c>
      <x:c r="AF209" s="68" t="str">
        <x:f>IF(COLUMN()-2&lt;=$E$3,INDEX($B$10:$B$59,RANDBETWEEN(1,$E$3)),"")</x:f>
      </x:c>
      <x:c r="AG209" s="68" t="str">
        <x:f>IF(COLUMN()-2&lt;=$E$3,INDEX($B$10:$B$59,RANDBETWEEN(1,$E$3)),"")</x:f>
      </x:c>
      <x:c r="AH209" s="68" t="str">
        <x:f>IF(COLUMN()-2&lt;=$E$3,INDEX($B$10:$B$59,RANDBETWEEN(1,$E$3)),"")</x:f>
      </x:c>
      <x:c r="AI209" s="68" t="str">
        <x:f>IF(COLUMN()-2&lt;=$E$3,INDEX($B$10:$B$59,RANDBETWEEN(1,$E$3)),"")</x:f>
      </x:c>
      <x:c r="AJ209" s="68" t="str">
        <x:f>IF(COLUMN()-2&lt;=$E$3,INDEX($B$10:$B$59,RANDBETWEEN(1,$E$3)),"")</x:f>
      </x:c>
      <x:c r="AK209" s="68" t="str">
        <x:f>IF(COLUMN()-2&lt;=$E$3,INDEX($B$10:$B$59,RANDBETWEEN(1,$E$3)),"")</x:f>
      </x:c>
      <x:c r="AL209" s="68" t="str">
        <x:f>IF(COLUMN()-2&lt;=$E$3,INDEX($B$10:$B$59,RANDBETWEEN(1,$E$3)),"")</x:f>
      </x:c>
      <x:c r="AM209" s="68" t="str">
        <x:f>IF(COLUMN()-2&lt;=$E$3,INDEX($B$10:$B$59,RANDBETWEEN(1,$E$3)),"")</x:f>
      </x:c>
      <x:c r="AN209" s="68" t="str">
        <x:f>IF(COLUMN()-2&lt;=$E$3,INDEX($B$10:$B$59,RANDBETWEEN(1,$E$3)),"")</x:f>
      </x:c>
      <x:c r="AO209" s="68" t="str">
        <x:f>IF(COLUMN()-2&lt;=$E$3,INDEX($B$10:$B$59,RANDBETWEEN(1,$E$3)),"")</x:f>
      </x:c>
      <x:c r="AP209" s="68" t="str">
        <x:f>IF(COLUMN()-2&lt;=$E$3,INDEX($B$10:$B$59,RANDBETWEEN(1,$E$3)),"")</x:f>
      </x:c>
      <x:c r="AQ209" s="68" t="str">
        <x:f>IF(COLUMN()-2&lt;=$E$3,INDEX($B$10:$B$59,RANDBETWEEN(1,$E$3)),"")</x:f>
      </x:c>
      <x:c r="AR209" s="68" t="str">
        <x:f>IF(COLUMN()-2&lt;=$E$3,INDEX($B$10:$B$59,RANDBETWEEN(1,$E$3)),"")</x:f>
      </x:c>
      <x:c r="AS209" s="68" t="str">
        <x:f>IF(COLUMN()-2&lt;=$E$3,INDEX($B$10:$B$59,RANDBETWEEN(1,$E$3)),"")</x:f>
      </x:c>
      <x:c r="AT209" s="68" t="str">
        <x:f>IF(COLUMN()-2&lt;=$E$3,INDEX($B$10:$B$59,RANDBETWEEN(1,$E$3)),"")</x:f>
      </x:c>
      <x:c r="AU209" s="68" t="str">
        <x:f>IF(COLUMN()-2&lt;=$E$3,INDEX($B$10:$B$59,RANDBETWEEN(1,$E$3)),"")</x:f>
      </x:c>
      <x:c r="AV209" s="68" t="str">
        <x:f>IF(COLUMN()-2&lt;=$E$3,INDEX($B$10:$B$59,RANDBETWEEN(1,$E$3)),"")</x:f>
      </x:c>
      <x:c r="AW209" s="68" t="str">
        <x:f>IF(COLUMN()-2&lt;=$E$3,INDEX($B$10:$B$59,RANDBETWEEN(1,$E$3)),"")</x:f>
      </x:c>
      <x:c r="AX209" s="68" t="str">
        <x:f>IF(COLUMN()-2&lt;=$E$3,INDEX($B$10:$B$59,RANDBETWEEN(1,$E$3)),"")</x:f>
      </x:c>
      <x:c r="AY209" s="68" t="str">
        <x:f>IF(COLUMN()-2&lt;=$E$3,INDEX($B$10:$B$59,RANDBETWEEN(1,$E$3)),"")</x:f>
      </x:c>
      <x:c r="AZ209" s="68" t="str">
        <x:f>IF(COLUMN()-2&lt;=$E$3,INDEX($B$10:$B$59,RANDBETWEEN(1,$E$3)),"")</x:f>
      </x:c>
      <x:c r="BA209" s="68" t="str">
        <x:f>IF($E$3=0,"",AVERAGE(C209:AZ209))</x:f>
      </x:c>
    </x:row>
    <x:row r="210">
      <x:c r="A210" t="n">
        <x:v>146</x:v>
      </x:c>
      <x:c r="C210" s="68" t="str">
        <x:f>IF(COLUMN()-2&lt;=$E$3,INDEX($B$10:$B$59,RANDBETWEEN(1,$E$3)),"")</x:f>
      </x:c>
      <x:c r="D210" s="68" t="str">
        <x:f>IF(COLUMN()-2&lt;=$E$3,INDEX($B$10:$B$59,RANDBETWEEN(1,$E$3)),"")</x:f>
      </x:c>
      <x:c r="E210" s="68" t="str">
        <x:f>IF(COLUMN()-2&lt;=$E$3,INDEX($B$10:$B$59,RANDBETWEEN(1,$E$3)),"")</x:f>
      </x:c>
      <x:c r="F210" s="68" t="str">
        <x:f>IF(COLUMN()-2&lt;=$E$3,INDEX($B$10:$B$59,RANDBETWEEN(1,$E$3)),"")</x:f>
      </x:c>
      <x:c r="G210" s="68" t="str">
        <x:f>IF(COLUMN()-2&lt;=$E$3,INDEX($B$10:$B$59,RANDBETWEEN(1,$E$3)),"")</x:f>
      </x:c>
      <x:c r="H210" s="68" t="str">
        <x:f>IF(COLUMN()-2&lt;=$E$3,INDEX($B$10:$B$59,RANDBETWEEN(1,$E$3)),"")</x:f>
      </x:c>
      <x:c r="I210" s="68" t="str">
        <x:f>IF(COLUMN()-2&lt;=$E$3,INDEX($B$10:$B$59,RANDBETWEEN(1,$E$3)),"")</x:f>
      </x:c>
      <x:c r="J210" s="68" t="str">
        <x:f>IF(COLUMN()-2&lt;=$E$3,INDEX($B$10:$B$59,RANDBETWEEN(1,$E$3)),"")</x:f>
      </x:c>
      <x:c r="K210" s="68" t="str">
        <x:f>IF(COLUMN()-2&lt;=$E$3,INDEX($B$10:$B$59,RANDBETWEEN(1,$E$3)),"")</x:f>
      </x:c>
      <x:c r="L210" s="68" t="str">
        <x:f>IF(COLUMN()-2&lt;=$E$3,INDEX($B$10:$B$59,RANDBETWEEN(1,$E$3)),"")</x:f>
      </x:c>
      <x:c r="M210" s="68" t="str">
        <x:f>IF(COLUMN()-2&lt;=$E$3,INDEX($B$10:$B$59,RANDBETWEEN(1,$E$3)),"")</x:f>
      </x:c>
      <x:c r="N210" s="68" t="str">
        <x:f>IF(COLUMN()-2&lt;=$E$3,INDEX($B$10:$B$59,RANDBETWEEN(1,$E$3)),"")</x:f>
      </x:c>
      <x:c r="O210" s="68" t="str">
        <x:f>IF(COLUMN()-2&lt;=$E$3,INDEX($B$10:$B$59,RANDBETWEEN(1,$E$3)),"")</x:f>
      </x:c>
      <x:c r="P210" s="68" t="str">
        <x:f>IF(COLUMN()-2&lt;=$E$3,INDEX($B$10:$B$59,RANDBETWEEN(1,$E$3)),"")</x:f>
      </x:c>
      <x:c r="Q210" s="68" t="str">
        <x:f>IF(COLUMN()-2&lt;=$E$3,INDEX($B$10:$B$59,RANDBETWEEN(1,$E$3)),"")</x:f>
      </x:c>
      <x:c r="R210" s="68" t="str">
        <x:f>IF(COLUMN()-2&lt;=$E$3,INDEX($B$10:$B$59,RANDBETWEEN(1,$E$3)),"")</x:f>
      </x:c>
      <x:c r="S210" s="68" t="str">
        <x:f>IF(COLUMN()-2&lt;=$E$3,INDEX($B$10:$B$59,RANDBETWEEN(1,$E$3)),"")</x:f>
      </x:c>
      <x:c r="T210" s="68" t="str">
        <x:f>IF(COLUMN()-2&lt;=$E$3,INDEX($B$10:$B$59,RANDBETWEEN(1,$E$3)),"")</x:f>
      </x:c>
      <x:c r="U210" s="68" t="str">
        <x:f>IF(COLUMN()-2&lt;=$E$3,INDEX($B$10:$B$59,RANDBETWEEN(1,$E$3)),"")</x:f>
      </x:c>
      <x:c r="V210" s="68" t="str">
        <x:f>IF(COLUMN()-2&lt;=$E$3,INDEX($B$10:$B$59,RANDBETWEEN(1,$E$3)),"")</x:f>
      </x:c>
      <x:c r="W210" s="68" t="str">
        <x:f>IF(COLUMN()-2&lt;=$E$3,INDEX($B$10:$B$59,RANDBETWEEN(1,$E$3)),"")</x:f>
      </x:c>
      <x:c r="X210" s="68" t="str">
        <x:f>IF(COLUMN()-2&lt;=$E$3,INDEX($B$10:$B$59,RANDBETWEEN(1,$E$3)),"")</x:f>
      </x:c>
      <x:c r="Y210" s="68" t="str">
        <x:f>IF(COLUMN()-2&lt;=$E$3,INDEX($B$10:$B$59,RANDBETWEEN(1,$E$3)),"")</x:f>
      </x:c>
      <x:c r="Z210" s="68" t="str">
        <x:f>IF(COLUMN()-2&lt;=$E$3,INDEX($B$10:$B$59,RANDBETWEEN(1,$E$3)),"")</x:f>
      </x:c>
      <x:c r="AA210" s="68" t="str">
        <x:f>IF(COLUMN()-2&lt;=$E$3,INDEX($B$10:$B$59,RANDBETWEEN(1,$E$3)),"")</x:f>
      </x:c>
      <x:c r="AB210" s="68" t="str">
        <x:f>IF(COLUMN()-2&lt;=$E$3,INDEX($B$10:$B$59,RANDBETWEEN(1,$E$3)),"")</x:f>
      </x:c>
      <x:c r="AC210" s="68" t="str">
        <x:f>IF(COLUMN()-2&lt;=$E$3,INDEX($B$10:$B$59,RANDBETWEEN(1,$E$3)),"")</x:f>
      </x:c>
      <x:c r="AD210" s="68" t="str">
        <x:f>IF(COLUMN()-2&lt;=$E$3,INDEX($B$10:$B$59,RANDBETWEEN(1,$E$3)),"")</x:f>
      </x:c>
      <x:c r="AE210" s="68" t="str">
        <x:f>IF(COLUMN()-2&lt;=$E$3,INDEX($B$10:$B$59,RANDBETWEEN(1,$E$3)),"")</x:f>
      </x:c>
      <x:c r="AF210" s="68" t="str">
        <x:f>IF(COLUMN()-2&lt;=$E$3,INDEX($B$10:$B$59,RANDBETWEEN(1,$E$3)),"")</x:f>
      </x:c>
      <x:c r="AG210" s="68" t="str">
        <x:f>IF(COLUMN()-2&lt;=$E$3,INDEX($B$10:$B$59,RANDBETWEEN(1,$E$3)),"")</x:f>
      </x:c>
      <x:c r="AH210" s="68" t="str">
        <x:f>IF(COLUMN()-2&lt;=$E$3,INDEX($B$10:$B$59,RANDBETWEEN(1,$E$3)),"")</x:f>
      </x:c>
      <x:c r="AI210" s="68" t="str">
        <x:f>IF(COLUMN()-2&lt;=$E$3,INDEX($B$10:$B$59,RANDBETWEEN(1,$E$3)),"")</x:f>
      </x:c>
      <x:c r="AJ210" s="68" t="str">
        <x:f>IF(COLUMN()-2&lt;=$E$3,INDEX($B$10:$B$59,RANDBETWEEN(1,$E$3)),"")</x:f>
      </x:c>
      <x:c r="AK210" s="68" t="str">
        <x:f>IF(COLUMN()-2&lt;=$E$3,INDEX($B$10:$B$59,RANDBETWEEN(1,$E$3)),"")</x:f>
      </x:c>
      <x:c r="AL210" s="68" t="str">
        <x:f>IF(COLUMN()-2&lt;=$E$3,INDEX($B$10:$B$59,RANDBETWEEN(1,$E$3)),"")</x:f>
      </x:c>
      <x:c r="AM210" s="68" t="str">
        <x:f>IF(COLUMN()-2&lt;=$E$3,INDEX($B$10:$B$59,RANDBETWEEN(1,$E$3)),"")</x:f>
      </x:c>
      <x:c r="AN210" s="68" t="str">
        <x:f>IF(COLUMN()-2&lt;=$E$3,INDEX($B$10:$B$59,RANDBETWEEN(1,$E$3)),"")</x:f>
      </x:c>
      <x:c r="AO210" s="68" t="str">
        <x:f>IF(COLUMN()-2&lt;=$E$3,INDEX($B$10:$B$59,RANDBETWEEN(1,$E$3)),"")</x:f>
      </x:c>
      <x:c r="AP210" s="68" t="str">
        <x:f>IF(COLUMN()-2&lt;=$E$3,INDEX($B$10:$B$59,RANDBETWEEN(1,$E$3)),"")</x:f>
      </x:c>
      <x:c r="AQ210" s="68" t="str">
        <x:f>IF(COLUMN()-2&lt;=$E$3,INDEX($B$10:$B$59,RANDBETWEEN(1,$E$3)),"")</x:f>
      </x:c>
      <x:c r="AR210" s="68" t="str">
        <x:f>IF(COLUMN()-2&lt;=$E$3,INDEX($B$10:$B$59,RANDBETWEEN(1,$E$3)),"")</x:f>
      </x:c>
      <x:c r="AS210" s="68" t="str">
        <x:f>IF(COLUMN()-2&lt;=$E$3,INDEX($B$10:$B$59,RANDBETWEEN(1,$E$3)),"")</x:f>
      </x:c>
      <x:c r="AT210" s="68" t="str">
        <x:f>IF(COLUMN()-2&lt;=$E$3,INDEX($B$10:$B$59,RANDBETWEEN(1,$E$3)),"")</x:f>
      </x:c>
      <x:c r="AU210" s="68" t="str">
        <x:f>IF(COLUMN()-2&lt;=$E$3,INDEX($B$10:$B$59,RANDBETWEEN(1,$E$3)),"")</x:f>
      </x:c>
      <x:c r="AV210" s="68" t="str">
        <x:f>IF(COLUMN()-2&lt;=$E$3,INDEX($B$10:$B$59,RANDBETWEEN(1,$E$3)),"")</x:f>
      </x:c>
      <x:c r="AW210" s="68" t="str">
        <x:f>IF(COLUMN()-2&lt;=$E$3,INDEX($B$10:$B$59,RANDBETWEEN(1,$E$3)),"")</x:f>
      </x:c>
      <x:c r="AX210" s="68" t="str">
        <x:f>IF(COLUMN()-2&lt;=$E$3,INDEX($B$10:$B$59,RANDBETWEEN(1,$E$3)),"")</x:f>
      </x:c>
      <x:c r="AY210" s="68" t="str">
        <x:f>IF(COLUMN()-2&lt;=$E$3,INDEX($B$10:$B$59,RANDBETWEEN(1,$E$3)),"")</x:f>
      </x:c>
      <x:c r="AZ210" s="68" t="str">
        <x:f>IF(COLUMN()-2&lt;=$E$3,INDEX($B$10:$B$59,RANDBETWEEN(1,$E$3)),"")</x:f>
      </x:c>
      <x:c r="BA210" s="68" t="str">
        <x:f>IF($E$3=0,"",AVERAGE(C210:AZ210))</x:f>
      </x:c>
    </x:row>
    <x:row r="211">
      <x:c r="A211" t="n">
        <x:v>147</x:v>
      </x:c>
      <x:c r="C211" s="68" t="str">
        <x:f>IF(COLUMN()-2&lt;=$E$3,INDEX($B$10:$B$59,RANDBETWEEN(1,$E$3)),"")</x:f>
      </x:c>
      <x:c r="D211" s="68" t="str">
        <x:f>IF(COLUMN()-2&lt;=$E$3,INDEX($B$10:$B$59,RANDBETWEEN(1,$E$3)),"")</x:f>
      </x:c>
      <x:c r="E211" s="68" t="str">
        <x:f>IF(COLUMN()-2&lt;=$E$3,INDEX($B$10:$B$59,RANDBETWEEN(1,$E$3)),"")</x:f>
      </x:c>
      <x:c r="F211" s="68" t="str">
        <x:f>IF(COLUMN()-2&lt;=$E$3,INDEX($B$10:$B$59,RANDBETWEEN(1,$E$3)),"")</x:f>
      </x:c>
      <x:c r="G211" s="68" t="str">
        <x:f>IF(COLUMN()-2&lt;=$E$3,INDEX($B$10:$B$59,RANDBETWEEN(1,$E$3)),"")</x:f>
      </x:c>
      <x:c r="H211" s="68" t="str">
        <x:f>IF(COLUMN()-2&lt;=$E$3,INDEX($B$10:$B$59,RANDBETWEEN(1,$E$3)),"")</x:f>
      </x:c>
      <x:c r="I211" s="68" t="str">
        <x:f>IF(COLUMN()-2&lt;=$E$3,INDEX($B$10:$B$59,RANDBETWEEN(1,$E$3)),"")</x:f>
      </x:c>
      <x:c r="J211" s="68" t="str">
        <x:f>IF(COLUMN()-2&lt;=$E$3,INDEX($B$10:$B$59,RANDBETWEEN(1,$E$3)),"")</x:f>
      </x:c>
      <x:c r="K211" s="68" t="str">
        <x:f>IF(COLUMN()-2&lt;=$E$3,INDEX($B$10:$B$59,RANDBETWEEN(1,$E$3)),"")</x:f>
      </x:c>
      <x:c r="L211" s="68" t="str">
        <x:f>IF(COLUMN()-2&lt;=$E$3,INDEX($B$10:$B$59,RANDBETWEEN(1,$E$3)),"")</x:f>
      </x:c>
      <x:c r="M211" s="68" t="str">
        <x:f>IF(COLUMN()-2&lt;=$E$3,INDEX($B$10:$B$59,RANDBETWEEN(1,$E$3)),"")</x:f>
      </x:c>
      <x:c r="N211" s="68" t="str">
        <x:f>IF(COLUMN()-2&lt;=$E$3,INDEX($B$10:$B$59,RANDBETWEEN(1,$E$3)),"")</x:f>
      </x:c>
      <x:c r="O211" s="68" t="str">
        <x:f>IF(COLUMN()-2&lt;=$E$3,INDEX($B$10:$B$59,RANDBETWEEN(1,$E$3)),"")</x:f>
      </x:c>
      <x:c r="P211" s="68" t="str">
        <x:f>IF(COLUMN()-2&lt;=$E$3,INDEX($B$10:$B$59,RANDBETWEEN(1,$E$3)),"")</x:f>
      </x:c>
      <x:c r="Q211" s="68" t="str">
        <x:f>IF(COLUMN()-2&lt;=$E$3,INDEX($B$10:$B$59,RANDBETWEEN(1,$E$3)),"")</x:f>
      </x:c>
      <x:c r="R211" s="68" t="str">
        <x:f>IF(COLUMN()-2&lt;=$E$3,INDEX($B$10:$B$59,RANDBETWEEN(1,$E$3)),"")</x:f>
      </x:c>
      <x:c r="S211" s="68" t="str">
        <x:f>IF(COLUMN()-2&lt;=$E$3,INDEX($B$10:$B$59,RANDBETWEEN(1,$E$3)),"")</x:f>
      </x:c>
      <x:c r="T211" s="68" t="str">
        <x:f>IF(COLUMN()-2&lt;=$E$3,INDEX($B$10:$B$59,RANDBETWEEN(1,$E$3)),"")</x:f>
      </x:c>
      <x:c r="U211" s="68" t="str">
        <x:f>IF(COLUMN()-2&lt;=$E$3,INDEX($B$10:$B$59,RANDBETWEEN(1,$E$3)),"")</x:f>
      </x:c>
      <x:c r="V211" s="68" t="str">
        <x:f>IF(COLUMN()-2&lt;=$E$3,INDEX($B$10:$B$59,RANDBETWEEN(1,$E$3)),"")</x:f>
      </x:c>
      <x:c r="W211" s="68" t="str">
        <x:f>IF(COLUMN()-2&lt;=$E$3,INDEX($B$10:$B$59,RANDBETWEEN(1,$E$3)),"")</x:f>
      </x:c>
      <x:c r="X211" s="68" t="str">
        <x:f>IF(COLUMN()-2&lt;=$E$3,INDEX($B$10:$B$59,RANDBETWEEN(1,$E$3)),"")</x:f>
      </x:c>
      <x:c r="Y211" s="68" t="str">
        <x:f>IF(COLUMN()-2&lt;=$E$3,INDEX($B$10:$B$59,RANDBETWEEN(1,$E$3)),"")</x:f>
      </x:c>
      <x:c r="Z211" s="68" t="str">
        <x:f>IF(COLUMN()-2&lt;=$E$3,INDEX($B$10:$B$59,RANDBETWEEN(1,$E$3)),"")</x:f>
      </x:c>
      <x:c r="AA211" s="68" t="str">
        <x:f>IF(COLUMN()-2&lt;=$E$3,INDEX($B$10:$B$59,RANDBETWEEN(1,$E$3)),"")</x:f>
      </x:c>
      <x:c r="AB211" s="68" t="str">
        <x:f>IF(COLUMN()-2&lt;=$E$3,INDEX($B$10:$B$59,RANDBETWEEN(1,$E$3)),"")</x:f>
      </x:c>
      <x:c r="AC211" s="68" t="str">
        <x:f>IF(COLUMN()-2&lt;=$E$3,INDEX($B$10:$B$59,RANDBETWEEN(1,$E$3)),"")</x:f>
      </x:c>
      <x:c r="AD211" s="68" t="str">
        <x:f>IF(COLUMN()-2&lt;=$E$3,INDEX($B$10:$B$59,RANDBETWEEN(1,$E$3)),"")</x:f>
      </x:c>
      <x:c r="AE211" s="68" t="str">
        <x:f>IF(COLUMN()-2&lt;=$E$3,INDEX($B$10:$B$59,RANDBETWEEN(1,$E$3)),"")</x:f>
      </x:c>
      <x:c r="AF211" s="68" t="str">
        <x:f>IF(COLUMN()-2&lt;=$E$3,INDEX($B$10:$B$59,RANDBETWEEN(1,$E$3)),"")</x:f>
      </x:c>
      <x:c r="AG211" s="68" t="str">
        <x:f>IF(COLUMN()-2&lt;=$E$3,INDEX($B$10:$B$59,RANDBETWEEN(1,$E$3)),"")</x:f>
      </x:c>
      <x:c r="AH211" s="68" t="str">
        <x:f>IF(COLUMN()-2&lt;=$E$3,INDEX($B$10:$B$59,RANDBETWEEN(1,$E$3)),"")</x:f>
      </x:c>
      <x:c r="AI211" s="68" t="str">
        <x:f>IF(COLUMN()-2&lt;=$E$3,INDEX($B$10:$B$59,RANDBETWEEN(1,$E$3)),"")</x:f>
      </x:c>
      <x:c r="AJ211" s="68" t="str">
        <x:f>IF(COLUMN()-2&lt;=$E$3,INDEX($B$10:$B$59,RANDBETWEEN(1,$E$3)),"")</x:f>
      </x:c>
      <x:c r="AK211" s="68" t="str">
        <x:f>IF(COLUMN()-2&lt;=$E$3,INDEX($B$10:$B$59,RANDBETWEEN(1,$E$3)),"")</x:f>
      </x:c>
      <x:c r="AL211" s="68" t="str">
        <x:f>IF(COLUMN()-2&lt;=$E$3,INDEX($B$10:$B$59,RANDBETWEEN(1,$E$3)),"")</x:f>
      </x:c>
      <x:c r="AM211" s="68" t="str">
        <x:f>IF(COLUMN()-2&lt;=$E$3,INDEX($B$10:$B$59,RANDBETWEEN(1,$E$3)),"")</x:f>
      </x:c>
      <x:c r="AN211" s="68" t="str">
        <x:f>IF(COLUMN()-2&lt;=$E$3,INDEX($B$10:$B$59,RANDBETWEEN(1,$E$3)),"")</x:f>
      </x:c>
      <x:c r="AO211" s="68" t="str">
        <x:f>IF(COLUMN()-2&lt;=$E$3,INDEX($B$10:$B$59,RANDBETWEEN(1,$E$3)),"")</x:f>
      </x:c>
      <x:c r="AP211" s="68" t="str">
        <x:f>IF(COLUMN()-2&lt;=$E$3,INDEX($B$10:$B$59,RANDBETWEEN(1,$E$3)),"")</x:f>
      </x:c>
      <x:c r="AQ211" s="68" t="str">
        <x:f>IF(COLUMN()-2&lt;=$E$3,INDEX($B$10:$B$59,RANDBETWEEN(1,$E$3)),"")</x:f>
      </x:c>
      <x:c r="AR211" s="68" t="str">
        <x:f>IF(COLUMN()-2&lt;=$E$3,INDEX($B$10:$B$59,RANDBETWEEN(1,$E$3)),"")</x:f>
      </x:c>
      <x:c r="AS211" s="68" t="str">
        <x:f>IF(COLUMN()-2&lt;=$E$3,INDEX($B$10:$B$59,RANDBETWEEN(1,$E$3)),"")</x:f>
      </x:c>
      <x:c r="AT211" s="68" t="str">
        <x:f>IF(COLUMN()-2&lt;=$E$3,INDEX($B$10:$B$59,RANDBETWEEN(1,$E$3)),"")</x:f>
      </x:c>
      <x:c r="AU211" s="68" t="str">
        <x:f>IF(COLUMN()-2&lt;=$E$3,INDEX($B$10:$B$59,RANDBETWEEN(1,$E$3)),"")</x:f>
      </x:c>
      <x:c r="AV211" s="68" t="str">
        <x:f>IF(COLUMN()-2&lt;=$E$3,INDEX($B$10:$B$59,RANDBETWEEN(1,$E$3)),"")</x:f>
      </x:c>
      <x:c r="AW211" s="68" t="str">
        <x:f>IF(COLUMN()-2&lt;=$E$3,INDEX($B$10:$B$59,RANDBETWEEN(1,$E$3)),"")</x:f>
      </x:c>
      <x:c r="AX211" s="68" t="str">
        <x:f>IF(COLUMN()-2&lt;=$E$3,INDEX($B$10:$B$59,RANDBETWEEN(1,$E$3)),"")</x:f>
      </x:c>
      <x:c r="AY211" s="68" t="str">
        <x:f>IF(COLUMN()-2&lt;=$E$3,INDEX($B$10:$B$59,RANDBETWEEN(1,$E$3)),"")</x:f>
      </x:c>
      <x:c r="AZ211" s="68" t="str">
        <x:f>IF(COLUMN()-2&lt;=$E$3,INDEX($B$10:$B$59,RANDBETWEEN(1,$E$3)),"")</x:f>
      </x:c>
      <x:c r="BA211" s="68" t="str">
        <x:f>IF($E$3=0,"",AVERAGE(C211:AZ211))</x:f>
      </x:c>
    </x:row>
    <x:row r="212">
      <x:c r="A212" t="n">
        <x:v>148</x:v>
      </x:c>
      <x:c r="C212" s="68" t="str">
        <x:f>IF(COLUMN()-2&lt;=$E$3,INDEX($B$10:$B$59,RANDBETWEEN(1,$E$3)),"")</x:f>
      </x:c>
      <x:c r="D212" s="68" t="str">
        <x:f>IF(COLUMN()-2&lt;=$E$3,INDEX($B$10:$B$59,RANDBETWEEN(1,$E$3)),"")</x:f>
      </x:c>
      <x:c r="E212" s="68" t="str">
        <x:f>IF(COLUMN()-2&lt;=$E$3,INDEX($B$10:$B$59,RANDBETWEEN(1,$E$3)),"")</x:f>
      </x:c>
      <x:c r="F212" s="68" t="str">
        <x:f>IF(COLUMN()-2&lt;=$E$3,INDEX($B$10:$B$59,RANDBETWEEN(1,$E$3)),"")</x:f>
      </x:c>
      <x:c r="G212" s="68" t="str">
        <x:f>IF(COLUMN()-2&lt;=$E$3,INDEX($B$10:$B$59,RANDBETWEEN(1,$E$3)),"")</x:f>
      </x:c>
      <x:c r="H212" s="68" t="str">
        <x:f>IF(COLUMN()-2&lt;=$E$3,INDEX($B$10:$B$59,RANDBETWEEN(1,$E$3)),"")</x:f>
      </x:c>
      <x:c r="I212" s="68" t="str">
        <x:f>IF(COLUMN()-2&lt;=$E$3,INDEX($B$10:$B$59,RANDBETWEEN(1,$E$3)),"")</x:f>
      </x:c>
      <x:c r="J212" s="68" t="str">
        <x:f>IF(COLUMN()-2&lt;=$E$3,INDEX($B$10:$B$59,RANDBETWEEN(1,$E$3)),"")</x:f>
      </x:c>
      <x:c r="K212" s="68" t="str">
        <x:f>IF(COLUMN()-2&lt;=$E$3,INDEX($B$10:$B$59,RANDBETWEEN(1,$E$3)),"")</x:f>
      </x:c>
      <x:c r="L212" s="68" t="str">
        <x:f>IF(COLUMN()-2&lt;=$E$3,INDEX($B$10:$B$59,RANDBETWEEN(1,$E$3)),"")</x:f>
      </x:c>
      <x:c r="M212" s="68" t="str">
        <x:f>IF(COLUMN()-2&lt;=$E$3,INDEX($B$10:$B$59,RANDBETWEEN(1,$E$3)),"")</x:f>
      </x:c>
      <x:c r="N212" s="68" t="str">
        <x:f>IF(COLUMN()-2&lt;=$E$3,INDEX($B$10:$B$59,RANDBETWEEN(1,$E$3)),"")</x:f>
      </x:c>
      <x:c r="O212" s="68" t="str">
        <x:f>IF(COLUMN()-2&lt;=$E$3,INDEX($B$10:$B$59,RANDBETWEEN(1,$E$3)),"")</x:f>
      </x:c>
      <x:c r="P212" s="68" t="str">
        <x:f>IF(COLUMN()-2&lt;=$E$3,INDEX($B$10:$B$59,RANDBETWEEN(1,$E$3)),"")</x:f>
      </x:c>
      <x:c r="Q212" s="68" t="str">
        <x:f>IF(COLUMN()-2&lt;=$E$3,INDEX($B$10:$B$59,RANDBETWEEN(1,$E$3)),"")</x:f>
      </x:c>
      <x:c r="R212" s="68" t="str">
        <x:f>IF(COLUMN()-2&lt;=$E$3,INDEX($B$10:$B$59,RANDBETWEEN(1,$E$3)),"")</x:f>
      </x:c>
      <x:c r="S212" s="68" t="str">
        <x:f>IF(COLUMN()-2&lt;=$E$3,INDEX($B$10:$B$59,RANDBETWEEN(1,$E$3)),"")</x:f>
      </x:c>
      <x:c r="T212" s="68" t="str">
        <x:f>IF(COLUMN()-2&lt;=$E$3,INDEX($B$10:$B$59,RANDBETWEEN(1,$E$3)),"")</x:f>
      </x:c>
      <x:c r="U212" s="68" t="str">
        <x:f>IF(COLUMN()-2&lt;=$E$3,INDEX($B$10:$B$59,RANDBETWEEN(1,$E$3)),"")</x:f>
      </x:c>
      <x:c r="V212" s="68" t="str">
        <x:f>IF(COLUMN()-2&lt;=$E$3,INDEX($B$10:$B$59,RANDBETWEEN(1,$E$3)),"")</x:f>
      </x:c>
      <x:c r="W212" s="68" t="str">
        <x:f>IF(COLUMN()-2&lt;=$E$3,INDEX($B$10:$B$59,RANDBETWEEN(1,$E$3)),"")</x:f>
      </x:c>
      <x:c r="X212" s="68" t="str">
        <x:f>IF(COLUMN()-2&lt;=$E$3,INDEX($B$10:$B$59,RANDBETWEEN(1,$E$3)),"")</x:f>
      </x:c>
      <x:c r="Y212" s="68" t="str">
        <x:f>IF(COLUMN()-2&lt;=$E$3,INDEX($B$10:$B$59,RANDBETWEEN(1,$E$3)),"")</x:f>
      </x:c>
      <x:c r="Z212" s="68" t="str">
        <x:f>IF(COLUMN()-2&lt;=$E$3,INDEX($B$10:$B$59,RANDBETWEEN(1,$E$3)),"")</x:f>
      </x:c>
      <x:c r="AA212" s="68" t="str">
        <x:f>IF(COLUMN()-2&lt;=$E$3,INDEX($B$10:$B$59,RANDBETWEEN(1,$E$3)),"")</x:f>
      </x:c>
      <x:c r="AB212" s="68" t="str">
        <x:f>IF(COLUMN()-2&lt;=$E$3,INDEX($B$10:$B$59,RANDBETWEEN(1,$E$3)),"")</x:f>
      </x:c>
      <x:c r="AC212" s="68" t="str">
        <x:f>IF(COLUMN()-2&lt;=$E$3,INDEX($B$10:$B$59,RANDBETWEEN(1,$E$3)),"")</x:f>
      </x:c>
      <x:c r="AD212" s="68" t="str">
        <x:f>IF(COLUMN()-2&lt;=$E$3,INDEX($B$10:$B$59,RANDBETWEEN(1,$E$3)),"")</x:f>
      </x:c>
      <x:c r="AE212" s="68" t="str">
        <x:f>IF(COLUMN()-2&lt;=$E$3,INDEX($B$10:$B$59,RANDBETWEEN(1,$E$3)),"")</x:f>
      </x:c>
      <x:c r="AF212" s="68" t="str">
        <x:f>IF(COLUMN()-2&lt;=$E$3,INDEX($B$10:$B$59,RANDBETWEEN(1,$E$3)),"")</x:f>
      </x:c>
      <x:c r="AG212" s="68" t="str">
        <x:f>IF(COLUMN()-2&lt;=$E$3,INDEX($B$10:$B$59,RANDBETWEEN(1,$E$3)),"")</x:f>
      </x:c>
      <x:c r="AH212" s="68" t="str">
        <x:f>IF(COLUMN()-2&lt;=$E$3,INDEX($B$10:$B$59,RANDBETWEEN(1,$E$3)),"")</x:f>
      </x:c>
      <x:c r="AI212" s="68" t="str">
        <x:f>IF(COLUMN()-2&lt;=$E$3,INDEX($B$10:$B$59,RANDBETWEEN(1,$E$3)),"")</x:f>
      </x:c>
      <x:c r="AJ212" s="68" t="str">
        <x:f>IF(COLUMN()-2&lt;=$E$3,INDEX($B$10:$B$59,RANDBETWEEN(1,$E$3)),"")</x:f>
      </x:c>
      <x:c r="AK212" s="68" t="str">
        <x:f>IF(COLUMN()-2&lt;=$E$3,INDEX($B$10:$B$59,RANDBETWEEN(1,$E$3)),"")</x:f>
      </x:c>
      <x:c r="AL212" s="68" t="str">
        <x:f>IF(COLUMN()-2&lt;=$E$3,INDEX($B$10:$B$59,RANDBETWEEN(1,$E$3)),"")</x:f>
      </x:c>
      <x:c r="AM212" s="68" t="str">
        <x:f>IF(COLUMN()-2&lt;=$E$3,INDEX($B$10:$B$59,RANDBETWEEN(1,$E$3)),"")</x:f>
      </x:c>
      <x:c r="AN212" s="68" t="str">
        <x:f>IF(COLUMN()-2&lt;=$E$3,INDEX($B$10:$B$59,RANDBETWEEN(1,$E$3)),"")</x:f>
      </x:c>
      <x:c r="AO212" s="68" t="str">
        <x:f>IF(COLUMN()-2&lt;=$E$3,INDEX($B$10:$B$59,RANDBETWEEN(1,$E$3)),"")</x:f>
      </x:c>
      <x:c r="AP212" s="68" t="str">
        <x:f>IF(COLUMN()-2&lt;=$E$3,INDEX($B$10:$B$59,RANDBETWEEN(1,$E$3)),"")</x:f>
      </x:c>
      <x:c r="AQ212" s="68" t="str">
        <x:f>IF(COLUMN()-2&lt;=$E$3,INDEX($B$10:$B$59,RANDBETWEEN(1,$E$3)),"")</x:f>
      </x:c>
      <x:c r="AR212" s="68" t="str">
        <x:f>IF(COLUMN()-2&lt;=$E$3,INDEX($B$10:$B$59,RANDBETWEEN(1,$E$3)),"")</x:f>
      </x:c>
      <x:c r="AS212" s="68" t="str">
        <x:f>IF(COLUMN()-2&lt;=$E$3,INDEX($B$10:$B$59,RANDBETWEEN(1,$E$3)),"")</x:f>
      </x:c>
      <x:c r="AT212" s="68" t="str">
        <x:f>IF(COLUMN()-2&lt;=$E$3,INDEX($B$10:$B$59,RANDBETWEEN(1,$E$3)),"")</x:f>
      </x:c>
      <x:c r="AU212" s="68" t="str">
        <x:f>IF(COLUMN()-2&lt;=$E$3,INDEX($B$10:$B$59,RANDBETWEEN(1,$E$3)),"")</x:f>
      </x:c>
      <x:c r="AV212" s="68" t="str">
        <x:f>IF(COLUMN()-2&lt;=$E$3,INDEX($B$10:$B$59,RANDBETWEEN(1,$E$3)),"")</x:f>
      </x:c>
      <x:c r="AW212" s="68" t="str">
        <x:f>IF(COLUMN()-2&lt;=$E$3,INDEX($B$10:$B$59,RANDBETWEEN(1,$E$3)),"")</x:f>
      </x:c>
      <x:c r="AX212" s="68" t="str">
        <x:f>IF(COLUMN()-2&lt;=$E$3,INDEX($B$10:$B$59,RANDBETWEEN(1,$E$3)),"")</x:f>
      </x:c>
      <x:c r="AY212" s="68" t="str">
        <x:f>IF(COLUMN()-2&lt;=$E$3,INDEX($B$10:$B$59,RANDBETWEEN(1,$E$3)),"")</x:f>
      </x:c>
      <x:c r="AZ212" s="68" t="str">
        <x:f>IF(COLUMN()-2&lt;=$E$3,INDEX($B$10:$B$59,RANDBETWEEN(1,$E$3)),"")</x:f>
      </x:c>
      <x:c r="BA212" s="68" t="str">
        <x:f>IF($E$3=0,"",AVERAGE(C212:AZ212))</x:f>
      </x:c>
    </x:row>
    <x:row r="213">
      <x:c r="A213" t="n">
        <x:v>149</x:v>
      </x:c>
      <x:c r="C213" s="68" t="str">
        <x:f>IF(COLUMN()-2&lt;=$E$3,INDEX($B$10:$B$59,RANDBETWEEN(1,$E$3)),"")</x:f>
      </x:c>
      <x:c r="D213" s="68" t="str">
        <x:f>IF(COLUMN()-2&lt;=$E$3,INDEX($B$10:$B$59,RANDBETWEEN(1,$E$3)),"")</x:f>
      </x:c>
      <x:c r="E213" s="68" t="str">
        <x:f>IF(COLUMN()-2&lt;=$E$3,INDEX($B$10:$B$59,RANDBETWEEN(1,$E$3)),"")</x:f>
      </x:c>
      <x:c r="F213" s="68" t="str">
        <x:f>IF(COLUMN()-2&lt;=$E$3,INDEX($B$10:$B$59,RANDBETWEEN(1,$E$3)),"")</x:f>
      </x:c>
      <x:c r="G213" s="68" t="str">
        <x:f>IF(COLUMN()-2&lt;=$E$3,INDEX($B$10:$B$59,RANDBETWEEN(1,$E$3)),"")</x:f>
      </x:c>
      <x:c r="H213" s="68" t="str">
        <x:f>IF(COLUMN()-2&lt;=$E$3,INDEX($B$10:$B$59,RANDBETWEEN(1,$E$3)),"")</x:f>
      </x:c>
      <x:c r="I213" s="68" t="str">
        <x:f>IF(COLUMN()-2&lt;=$E$3,INDEX($B$10:$B$59,RANDBETWEEN(1,$E$3)),"")</x:f>
      </x:c>
      <x:c r="J213" s="68" t="str">
        <x:f>IF(COLUMN()-2&lt;=$E$3,INDEX($B$10:$B$59,RANDBETWEEN(1,$E$3)),"")</x:f>
      </x:c>
      <x:c r="K213" s="68" t="str">
        <x:f>IF(COLUMN()-2&lt;=$E$3,INDEX($B$10:$B$59,RANDBETWEEN(1,$E$3)),"")</x:f>
      </x:c>
      <x:c r="L213" s="68" t="str">
        <x:f>IF(COLUMN()-2&lt;=$E$3,INDEX($B$10:$B$59,RANDBETWEEN(1,$E$3)),"")</x:f>
      </x:c>
      <x:c r="M213" s="68" t="str">
        <x:f>IF(COLUMN()-2&lt;=$E$3,INDEX($B$10:$B$59,RANDBETWEEN(1,$E$3)),"")</x:f>
      </x:c>
      <x:c r="N213" s="68" t="str">
        <x:f>IF(COLUMN()-2&lt;=$E$3,INDEX($B$10:$B$59,RANDBETWEEN(1,$E$3)),"")</x:f>
      </x:c>
      <x:c r="O213" s="68" t="str">
        <x:f>IF(COLUMN()-2&lt;=$E$3,INDEX($B$10:$B$59,RANDBETWEEN(1,$E$3)),"")</x:f>
      </x:c>
      <x:c r="P213" s="68" t="str">
        <x:f>IF(COLUMN()-2&lt;=$E$3,INDEX($B$10:$B$59,RANDBETWEEN(1,$E$3)),"")</x:f>
      </x:c>
      <x:c r="Q213" s="68" t="str">
        <x:f>IF(COLUMN()-2&lt;=$E$3,INDEX($B$10:$B$59,RANDBETWEEN(1,$E$3)),"")</x:f>
      </x:c>
      <x:c r="R213" s="68" t="str">
        <x:f>IF(COLUMN()-2&lt;=$E$3,INDEX($B$10:$B$59,RANDBETWEEN(1,$E$3)),"")</x:f>
      </x:c>
      <x:c r="S213" s="68" t="str">
        <x:f>IF(COLUMN()-2&lt;=$E$3,INDEX($B$10:$B$59,RANDBETWEEN(1,$E$3)),"")</x:f>
      </x:c>
      <x:c r="T213" s="68" t="str">
        <x:f>IF(COLUMN()-2&lt;=$E$3,INDEX($B$10:$B$59,RANDBETWEEN(1,$E$3)),"")</x:f>
      </x:c>
      <x:c r="U213" s="68" t="str">
        <x:f>IF(COLUMN()-2&lt;=$E$3,INDEX($B$10:$B$59,RANDBETWEEN(1,$E$3)),"")</x:f>
      </x:c>
      <x:c r="V213" s="68" t="str">
        <x:f>IF(COLUMN()-2&lt;=$E$3,INDEX($B$10:$B$59,RANDBETWEEN(1,$E$3)),"")</x:f>
      </x:c>
      <x:c r="W213" s="68" t="str">
        <x:f>IF(COLUMN()-2&lt;=$E$3,INDEX($B$10:$B$59,RANDBETWEEN(1,$E$3)),"")</x:f>
      </x:c>
      <x:c r="X213" s="68" t="str">
        <x:f>IF(COLUMN()-2&lt;=$E$3,INDEX($B$10:$B$59,RANDBETWEEN(1,$E$3)),"")</x:f>
      </x:c>
      <x:c r="Y213" s="68" t="str">
        <x:f>IF(COLUMN()-2&lt;=$E$3,INDEX($B$10:$B$59,RANDBETWEEN(1,$E$3)),"")</x:f>
      </x:c>
      <x:c r="Z213" s="68" t="str">
        <x:f>IF(COLUMN()-2&lt;=$E$3,INDEX($B$10:$B$59,RANDBETWEEN(1,$E$3)),"")</x:f>
      </x:c>
      <x:c r="AA213" s="68" t="str">
        <x:f>IF(COLUMN()-2&lt;=$E$3,INDEX($B$10:$B$59,RANDBETWEEN(1,$E$3)),"")</x:f>
      </x:c>
      <x:c r="AB213" s="68" t="str">
        <x:f>IF(COLUMN()-2&lt;=$E$3,INDEX($B$10:$B$59,RANDBETWEEN(1,$E$3)),"")</x:f>
      </x:c>
      <x:c r="AC213" s="68" t="str">
        <x:f>IF(COLUMN()-2&lt;=$E$3,INDEX($B$10:$B$59,RANDBETWEEN(1,$E$3)),"")</x:f>
      </x:c>
      <x:c r="AD213" s="68" t="str">
        <x:f>IF(COLUMN()-2&lt;=$E$3,INDEX($B$10:$B$59,RANDBETWEEN(1,$E$3)),"")</x:f>
      </x:c>
      <x:c r="AE213" s="68" t="str">
        <x:f>IF(COLUMN()-2&lt;=$E$3,INDEX($B$10:$B$59,RANDBETWEEN(1,$E$3)),"")</x:f>
      </x:c>
      <x:c r="AF213" s="68" t="str">
        <x:f>IF(COLUMN()-2&lt;=$E$3,INDEX($B$10:$B$59,RANDBETWEEN(1,$E$3)),"")</x:f>
      </x:c>
      <x:c r="AG213" s="68" t="str">
        <x:f>IF(COLUMN()-2&lt;=$E$3,INDEX($B$10:$B$59,RANDBETWEEN(1,$E$3)),"")</x:f>
      </x:c>
      <x:c r="AH213" s="68" t="str">
        <x:f>IF(COLUMN()-2&lt;=$E$3,INDEX($B$10:$B$59,RANDBETWEEN(1,$E$3)),"")</x:f>
      </x:c>
      <x:c r="AI213" s="68" t="str">
        <x:f>IF(COLUMN()-2&lt;=$E$3,INDEX($B$10:$B$59,RANDBETWEEN(1,$E$3)),"")</x:f>
      </x:c>
      <x:c r="AJ213" s="68" t="str">
        <x:f>IF(COLUMN()-2&lt;=$E$3,INDEX($B$10:$B$59,RANDBETWEEN(1,$E$3)),"")</x:f>
      </x:c>
      <x:c r="AK213" s="68" t="str">
        <x:f>IF(COLUMN()-2&lt;=$E$3,INDEX($B$10:$B$59,RANDBETWEEN(1,$E$3)),"")</x:f>
      </x:c>
      <x:c r="AL213" s="68" t="str">
        <x:f>IF(COLUMN()-2&lt;=$E$3,INDEX($B$10:$B$59,RANDBETWEEN(1,$E$3)),"")</x:f>
      </x:c>
      <x:c r="AM213" s="68" t="str">
        <x:f>IF(COLUMN()-2&lt;=$E$3,INDEX($B$10:$B$59,RANDBETWEEN(1,$E$3)),"")</x:f>
      </x:c>
      <x:c r="AN213" s="68" t="str">
        <x:f>IF(COLUMN()-2&lt;=$E$3,INDEX($B$10:$B$59,RANDBETWEEN(1,$E$3)),"")</x:f>
      </x:c>
      <x:c r="AO213" s="68" t="str">
        <x:f>IF(COLUMN()-2&lt;=$E$3,INDEX($B$10:$B$59,RANDBETWEEN(1,$E$3)),"")</x:f>
      </x:c>
      <x:c r="AP213" s="68" t="str">
        <x:f>IF(COLUMN()-2&lt;=$E$3,INDEX($B$10:$B$59,RANDBETWEEN(1,$E$3)),"")</x:f>
      </x:c>
      <x:c r="AQ213" s="68" t="str">
        <x:f>IF(COLUMN()-2&lt;=$E$3,INDEX($B$10:$B$59,RANDBETWEEN(1,$E$3)),"")</x:f>
      </x:c>
      <x:c r="AR213" s="68" t="str">
        <x:f>IF(COLUMN()-2&lt;=$E$3,INDEX($B$10:$B$59,RANDBETWEEN(1,$E$3)),"")</x:f>
      </x:c>
      <x:c r="AS213" s="68" t="str">
        <x:f>IF(COLUMN()-2&lt;=$E$3,INDEX($B$10:$B$59,RANDBETWEEN(1,$E$3)),"")</x:f>
      </x:c>
      <x:c r="AT213" s="68" t="str">
        <x:f>IF(COLUMN()-2&lt;=$E$3,INDEX($B$10:$B$59,RANDBETWEEN(1,$E$3)),"")</x:f>
      </x:c>
      <x:c r="AU213" s="68" t="str">
        <x:f>IF(COLUMN()-2&lt;=$E$3,INDEX($B$10:$B$59,RANDBETWEEN(1,$E$3)),"")</x:f>
      </x:c>
      <x:c r="AV213" s="68" t="str">
        <x:f>IF(COLUMN()-2&lt;=$E$3,INDEX($B$10:$B$59,RANDBETWEEN(1,$E$3)),"")</x:f>
      </x:c>
      <x:c r="AW213" s="68" t="str">
        <x:f>IF(COLUMN()-2&lt;=$E$3,INDEX($B$10:$B$59,RANDBETWEEN(1,$E$3)),"")</x:f>
      </x:c>
      <x:c r="AX213" s="68" t="str">
        <x:f>IF(COLUMN()-2&lt;=$E$3,INDEX($B$10:$B$59,RANDBETWEEN(1,$E$3)),"")</x:f>
      </x:c>
      <x:c r="AY213" s="68" t="str">
        <x:f>IF(COLUMN()-2&lt;=$E$3,INDEX($B$10:$B$59,RANDBETWEEN(1,$E$3)),"")</x:f>
      </x:c>
      <x:c r="AZ213" s="68" t="str">
        <x:f>IF(COLUMN()-2&lt;=$E$3,INDEX($B$10:$B$59,RANDBETWEEN(1,$E$3)),"")</x:f>
      </x:c>
      <x:c r="BA213" s="68" t="str">
        <x:f>IF($E$3=0,"",AVERAGE(C213:AZ213))</x:f>
      </x:c>
    </x:row>
    <x:row r="214">
      <x:c r="A214" t="n">
        <x:v>150</x:v>
      </x:c>
      <x:c r="C214" s="68" t="str">
        <x:f>IF(COLUMN()-2&lt;=$E$3,INDEX($B$10:$B$59,RANDBETWEEN(1,$E$3)),"")</x:f>
      </x:c>
      <x:c r="D214" s="68" t="str">
        <x:f>IF(COLUMN()-2&lt;=$E$3,INDEX($B$10:$B$59,RANDBETWEEN(1,$E$3)),"")</x:f>
      </x:c>
      <x:c r="E214" s="68" t="str">
        <x:f>IF(COLUMN()-2&lt;=$E$3,INDEX($B$10:$B$59,RANDBETWEEN(1,$E$3)),"")</x:f>
      </x:c>
      <x:c r="F214" s="68" t="str">
        <x:f>IF(COLUMN()-2&lt;=$E$3,INDEX($B$10:$B$59,RANDBETWEEN(1,$E$3)),"")</x:f>
      </x:c>
      <x:c r="G214" s="68" t="str">
        <x:f>IF(COLUMN()-2&lt;=$E$3,INDEX($B$10:$B$59,RANDBETWEEN(1,$E$3)),"")</x:f>
      </x:c>
      <x:c r="H214" s="68" t="str">
        <x:f>IF(COLUMN()-2&lt;=$E$3,INDEX($B$10:$B$59,RANDBETWEEN(1,$E$3)),"")</x:f>
      </x:c>
      <x:c r="I214" s="68" t="str">
        <x:f>IF(COLUMN()-2&lt;=$E$3,INDEX($B$10:$B$59,RANDBETWEEN(1,$E$3)),"")</x:f>
      </x:c>
      <x:c r="J214" s="68" t="str">
        <x:f>IF(COLUMN()-2&lt;=$E$3,INDEX($B$10:$B$59,RANDBETWEEN(1,$E$3)),"")</x:f>
      </x:c>
      <x:c r="K214" s="68" t="str">
        <x:f>IF(COLUMN()-2&lt;=$E$3,INDEX($B$10:$B$59,RANDBETWEEN(1,$E$3)),"")</x:f>
      </x:c>
      <x:c r="L214" s="68" t="str">
        <x:f>IF(COLUMN()-2&lt;=$E$3,INDEX($B$10:$B$59,RANDBETWEEN(1,$E$3)),"")</x:f>
      </x:c>
      <x:c r="M214" s="68" t="str">
        <x:f>IF(COLUMN()-2&lt;=$E$3,INDEX($B$10:$B$59,RANDBETWEEN(1,$E$3)),"")</x:f>
      </x:c>
      <x:c r="N214" s="68" t="str">
        <x:f>IF(COLUMN()-2&lt;=$E$3,INDEX($B$10:$B$59,RANDBETWEEN(1,$E$3)),"")</x:f>
      </x:c>
      <x:c r="O214" s="68" t="str">
        <x:f>IF(COLUMN()-2&lt;=$E$3,INDEX($B$10:$B$59,RANDBETWEEN(1,$E$3)),"")</x:f>
      </x:c>
      <x:c r="P214" s="68" t="str">
        <x:f>IF(COLUMN()-2&lt;=$E$3,INDEX($B$10:$B$59,RANDBETWEEN(1,$E$3)),"")</x:f>
      </x:c>
      <x:c r="Q214" s="68" t="str">
        <x:f>IF(COLUMN()-2&lt;=$E$3,INDEX($B$10:$B$59,RANDBETWEEN(1,$E$3)),"")</x:f>
      </x:c>
      <x:c r="R214" s="68" t="str">
        <x:f>IF(COLUMN()-2&lt;=$E$3,INDEX($B$10:$B$59,RANDBETWEEN(1,$E$3)),"")</x:f>
      </x:c>
      <x:c r="S214" s="68" t="str">
        <x:f>IF(COLUMN()-2&lt;=$E$3,INDEX($B$10:$B$59,RANDBETWEEN(1,$E$3)),"")</x:f>
      </x:c>
      <x:c r="T214" s="68" t="str">
        <x:f>IF(COLUMN()-2&lt;=$E$3,INDEX($B$10:$B$59,RANDBETWEEN(1,$E$3)),"")</x:f>
      </x:c>
      <x:c r="U214" s="68" t="str">
        <x:f>IF(COLUMN()-2&lt;=$E$3,INDEX($B$10:$B$59,RANDBETWEEN(1,$E$3)),"")</x:f>
      </x:c>
      <x:c r="V214" s="68" t="str">
        <x:f>IF(COLUMN()-2&lt;=$E$3,INDEX($B$10:$B$59,RANDBETWEEN(1,$E$3)),"")</x:f>
      </x:c>
      <x:c r="W214" s="68" t="str">
        <x:f>IF(COLUMN()-2&lt;=$E$3,INDEX($B$10:$B$59,RANDBETWEEN(1,$E$3)),"")</x:f>
      </x:c>
      <x:c r="X214" s="68" t="str">
        <x:f>IF(COLUMN()-2&lt;=$E$3,INDEX($B$10:$B$59,RANDBETWEEN(1,$E$3)),"")</x:f>
      </x:c>
      <x:c r="Y214" s="68" t="str">
        <x:f>IF(COLUMN()-2&lt;=$E$3,INDEX($B$10:$B$59,RANDBETWEEN(1,$E$3)),"")</x:f>
      </x:c>
      <x:c r="Z214" s="68" t="str">
        <x:f>IF(COLUMN()-2&lt;=$E$3,INDEX($B$10:$B$59,RANDBETWEEN(1,$E$3)),"")</x:f>
      </x:c>
      <x:c r="AA214" s="68" t="str">
        <x:f>IF(COLUMN()-2&lt;=$E$3,INDEX($B$10:$B$59,RANDBETWEEN(1,$E$3)),"")</x:f>
      </x:c>
      <x:c r="AB214" s="68" t="str">
        <x:f>IF(COLUMN()-2&lt;=$E$3,INDEX($B$10:$B$59,RANDBETWEEN(1,$E$3)),"")</x:f>
      </x:c>
      <x:c r="AC214" s="68" t="str">
        <x:f>IF(COLUMN()-2&lt;=$E$3,INDEX($B$10:$B$59,RANDBETWEEN(1,$E$3)),"")</x:f>
      </x:c>
      <x:c r="AD214" s="68" t="str">
        <x:f>IF(COLUMN()-2&lt;=$E$3,INDEX($B$10:$B$59,RANDBETWEEN(1,$E$3)),"")</x:f>
      </x:c>
      <x:c r="AE214" s="68" t="str">
        <x:f>IF(COLUMN()-2&lt;=$E$3,INDEX($B$10:$B$59,RANDBETWEEN(1,$E$3)),"")</x:f>
      </x:c>
      <x:c r="AF214" s="68" t="str">
        <x:f>IF(COLUMN()-2&lt;=$E$3,INDEX($B$10:$B$59,RANDBETWEEN(1,$E$3)),"")</x:f>
      </x:c>
      <x:c r="AG214" s="68" t="str">
        <x:f>IF(COLUMN()-2&lt;=$E$3,INDEX($B$10:$B$59,RANDBETWEEN(1,$E$3)),"")</x:f>
      </x:c>
      <x:c r="AH214" s="68" t="str">
        <x:f>IF(COLUMN()-2&lt;=$E$3,INDEX($B$10:$B$59,RANDBETWEEN(1,$E$3)),"")</x:f>
      </x:c>
      <x:c r="AI214" s="68" t="str">
        <x:f>IF(COLUMN()-2&lt;=$E$3,INDEX($B$10:$B$59,RANDBETWEEN(1,$E$3)),"")</x:f>
      </x:c>
      <x:c r="AJ214" s="68" t="str">
        <x:f>IF(COLUMN()-2&lt;=$E$3,INDEX($B$10:$B$59,RANDBETWEEN(1,$E$3)),"")</x:f>
      </x:c>
      <x:c r="AK214" s="68" t="str">
        <x:f>IF(COLUMN()-2&lt;=$E$3,INDEX($B$10:$B$59,RANDBETWEEN(1,$E$3)),"")</x:f>
      </x:c>
      <x:c r="AL214" s="68" t="str">
        <x:f>IF(COLUMN()-2&lt;=$E$3,INDEX($B$10:$B$59,RANDBETWEEN(1,$E$3)),"")</x:f>
      </x:c>
      <x:c r="AM214" s="68" t="str">
        <x:f>IF(COLUMN()-2&lt;=$E$3,INDEX($B$10:$B$59,RANDBETWEEN(1,$E$3)),"")</x:f>
      </x:c>
      <x:c r="AN214" s="68" t="str">
        <x:f>IF(COLUMN()-2&lt;=$E$3,INDEX($B$10:$B$59,RANDBETWEEN(1,$E$3)),"")</x:f>
      </x:c>
      <x:c r="AO214" s="68" t="str">
        <x:f>IF(COLUMN()-2&lt;=$E$3,INDEX($B$10:$B$59,RANDBETWEEN(1,$E$3)),"")</x:f>
      </x:c>
      <x:c r="AP214" s="68" t="str">
        <x:f>IF(COLUMN()-2&lt;=$E$3,INDEX($B$10:$B$59,RANDBETWEEN(1,$E$3)),"")</x:f>
      </x:c>
      <x:c r="AQ214" s="68" t="str">
        <x:f>IF(COLUMN()-2&lt;=$E$3,INDEX($B$10:$B$59,RANDBETWEEN(1,$E$3)),"")</x:f>
      </x:c>
      <x:c r="AR214" s="68" t="str">
        <x:f>IF(COLUMN()-2&lt;=$E$3,INDEX($B$10:$B$59,RANDBETWEEN(1,$E$3)),"")</x:f>
      </x:c>
      <x:c r="AS214" s="68" t="str">
        <x:f>IF(COLUMN()-2&lt;=$E$3,INDEX($B$10:$B$59,RANDBETWEEN(1,$E$3)),"")</x:f>
      </x:c>
      <x:c r="AT214" s="68" t="str">
        <x:f>IF(COLUMN()-2&lt;=$E$3,INDEX($B$10:$B$59,RANDBETWEEN(1,$E$3)),"")</x:f>
      </x:c>
      <x:c r="AU214" s="68" t="str">
        <x:f>IF(COLUMN()-2&lt;=$E$3,INDEX($B$10:$B$59,RANDBETWEEN(1,$E$3)),"")</x:f>
      </x:c>
      <x:c r="AV214" s="68" t="str">
        <x:f>IF(COLUMN()-2&lt;=$E$3,INDEX($B$10:$B$59,RANDBETWEEN(1,$E$3)),"")</x:f>
      </x:c>
      <x:c r="AW214" s="68" t="str">
        <x:f>IF(COLUMN()-2&lt;=$E$3,INDEX($B$10:$B$59,RANDBETWEEN(1,$E$3)),"")</x:f>
      </x:c>
      <x:c r="AX214" s="68" t="str">
        <x:f>IF(COLUMN()-2&lt;=$E$3,INDEX($B$10:$B$59,RANDBETWEEN(1,$E$3)),"")</x:f>
      </x:c>
      <x:c r="AY214" s="68" t="str">
        <x:f>IF(COLUMN()-2&lt;=$E$3,INDEX($B$10:$B$59,RANDBETWEEN(1,$E$3)),"")</x:f>
      </x:c>
      <x:c r="AZ214" s="68" t="str">
        <x:f>IF(COLUMN()-2&lt;=$E$3,INDEX($B$10:$B$59,RANDBETWEEN(1,$E$3)),"")</x:f>
      </x:c>
      <x:c r="BA214" s="68" t="str">
        <x:f>IF($E$3=0,"",AVERAGE(C214:AZ214))</x:f>
      </x:c>
    </x:row>
    <x:row r="215">
      <x:c r="A215" t="n">
        <x:v>151</x:v>
      </x:c>
      <x:c r="C215" s="68" t="str">
        <x:f>IF(COLUMN()-2&lt;=$E$3,INDEX($B$10:$B$59,RANDBETWEEN(1,$E$3)),"")</x:f>
      </x:c>
      <x:c r="D215" s="68" t="str">
        <x:f>IF(COLUMN()-2&lt;=$E$3,INDEX($B$10:$B$59,RANDBETWEEN(1,$E$3)),"")</x:f>
      </x:c>
      <x:c r="E215" s="68" t="str">
        <x:f>IF(COLUMN()-2&lt;=$E$3,INDEX($B$10:$B$59,RANDBETWEEN(1,$E$3)),"")</x:f>
      </x:c>
      <x:c r="F215" s="68" t="str">
        <x:f>IF(COLUMN()-2&lt;=$E$3,INDEX($B$10:$B$59,RANDBETWEEN(1,$E$3)),"")</x:f>
      </x:c>
      <x:c r="G215" s="68" t="str">
        <x:f>IF(COLUMN()-2&lt;=$E$3,INDEX($B$10:$B$59,RANDBETWEEN(1,$E$3)),"")</x:f>
      </x:c>
      <x:c r="H215" s="68" t="str">
        <x:f>IF(COLUMN()-2&lt;=$E$3,INDEX($B$10:$B$59,RANDBETWEEN(1,$E$3)),"")</x:f>
      </x:c>
      <x:c r="I215" s="68" t="str">
        <x:f>IF(COLUMN()-2&lt;=$E$3,INDEX($B$10:$B$59,RANDBETWEEN(1,$E$3)),"")</x:f>
      </x:c>
      <x:c r="J215" s="68" t="str">
        <x:f>IF(COLUMN()-2&lt;=$E$3,INDEX($B$10:$B$59,RANDBETWEEN(1,$E$3)),"")</x:f>
      </x:c>
      <x:c r="K215" s="68" t="str">
        <x:f>IF(COLUMN()-2&lt;=$E$3,INDEX($B$10:$B$59,RANDBETWEEN(1,$E$3)),"")</x:f>
      </x:c>
      <x:c r="L215" s="68" t="str">
        <x:f>IF(COLUMN()-2&lt;=$E$3,INDEX($B$10:$B$59,RANDBETWEEN(1,$E$3)),"")</x:f>
      </x:c>
      <x:c r="M215" s="68" t="str">
        <x:f>IF(COLUMN()-2&lt;=$E$3,INDEX($B$10:$B$59,RANDBETWEEN(1,$E$3)),"")</x:f>
      </x:c>
      <x:c r="N215" s="68" t="str">
        <x:f>IF(COLUMN()-2&lt;=$E$3,INDEX($B$10:$B$59,RANDBETWEEN(1,$E$3)),"")</x:f>
      </x:c>
      <x:c r="O215" s="68" t="str">
        <x:f>IF(COLUMN()-2&lt;=$E$3,INDEX($B$10:$B$59,RANDBETWEEN(1,$E$3)),"")</x:f>
      </x:c>
      <x:c r="P215" s="68" t="str">
        <x:f>IF(COLUMN()-2&lt;=$E$3,INDEX($B$10:$B$59,RANDBETWEEN(1,$E$3)),"")</x:f>
      </x:c>
      <x:c r="Q215" s="68" t="str">
        <x:f>IF(COLUMN()-2&lt;=$E$3,INDEX($B$10:$B$59,RANDBETWEEN(1,$E$3)),"")</x:f>
      </x:c>
      <x:c r="R215" s="68" t="str">
        <x:f>IF(COLUMN()-2&lt;=$E$3,INDEX($B$10:$B$59,RANDBETWEEN(1,$E$3)),"")</x:f>
      </x:c>
      <x:c r="S215" s="68" t="str">
        <x:f>IF(COLUMN()-2&lt;=$E$3,INDEX($B$10:$B$59,RANDBETWEEN(1,$E$3)),"")</x:f>
      </x:c>
      <x:c r="T215" s="68" t="str">
        <x:f>IF(COLUMN()-2&lt;=$E$3,INDEX($B$10:$B$59,RANDBETWEEN(1,$E$3)),"")</x:f>
      </x:c>
      <x:c r="U215" s="68" t="str">
        <x:f>IF(COLUMN()-2&lt;=$E$3,INDEX($B$10:$B$59,RANDBETWEEN(1,$E$3)),"")</x:f>
      </x:c>
      <x:c r="V215" s="68" t="str">
        <x:f>IF(COLUMN()-2&lt;=$E$3,INDEX($B$10:$B$59,RANDBETWEEN(1,$E$3)),"")</x:f>
      </x:c>
      <x:c r="W215" s="68" t="str">
        <x:f>IF(COLUMN()-2&lt;=$E$3,INDEX($B$10:$B$59,RANDBETWEEN(1,$E$3)),"")</x:f>
      </x:c>
      <x:c r="X215" s="68" t="str">
        <x:f>IF(COLUMN()-2&lt;=$E$3,INDEX($B$10:$B$59,RANDBETWEEN(1,$E$3)),"")</x:f>
      </x:c>
      <x:c r="Y215" s="68" t="str">
        <x:f>IF(COLUMN()-2&lt;=$E$3,INDEX($B$10:$B$59,RANDBETWEEN(1,$E$3)),"")</x:f>
      </x:c>
      <x:c r="Z215" s="68" t="str">
        <x:f>IF(COLUMN()-2&lt;=$E$3,INDEX($B$10:$B$59,RANDBETWEEN(1,$E$3)),"")</x:f>
      </x:c>
      <x:c r="AA215" s="68" t="str">
        <x:f>IF(COLUMN()-2&lt;=$E$3,INDEX($B$10:$B$59,RANDBETWEEN(1,$E$3)),"")</x:f>
      </x:c>
      <x:c r="AB215" s="68" t="str">
        <x:f>IF(COLUMN()-2&lt;=$E$3,INDEX($B$10:$B$59,RANDBETWEEN(1,$E$3)),"")</x:f>
      </x:c>
      <x:c r="AC215" s="68" t="str">
        <x:f>IF(COLUMN()-2&lt;=$E$3,INDEX($B$10:$B$59,RANDBETWEEN(1,$E$3)),"")</x:f>
      </x:c>
      <x:c r="AD215" s="68" t="str">
        <x:f>IF(COLUMN()-2&lt;=$E$3,INDEX($B$10:$B$59,RANDBETWEEN(1,$E$3)),"")</x:f>
      </x:c>
      <x:c r="AE215" s="68" t="str">
        <x:f>IF(COLUMN()-2&lt;=$E$3,INDEX($B$10:$B$59,RANDBETWEEN(1,$E$3)),"")</x:f>
      </x:c>
      <x:c r="AF215" s="68" t="str">
        <x:f>IF(COLUMN()-2&lt;=$E$3,INDEX($B$10:$B$59,RANDBETWEEN(1,$E$3)),"")</x:f>
      </x:c>
      <x:c r="AG215" s="68" t="str">
        <x:f>IF(COLUMN()-2&lt;=$E$3,INDEX($B$10:$B$59,RANDBETWEEN(1,$E$3)),"")</x:f>
      </x:c>
      <x:c r="AH215" s="68" t="str">
        <x:f>IF(COLUMN()-2&lt;=$E$3,INDEX($B$10:$B$59,RANDBETWEEN(1,$E$3)),"")</x:f>
      </x:c>
      <x:c r="AI215" s="68" t="str">
        <x:f>IF(COLUMN()-2&lt;=$E$3,INDEX($B$10:$B$59,RANDBETWEEN(1,$E$3)),"")</x:f>
      </x:c>
      <x:c r="AJ215" s="68" t="str">
        <x:f>IF(COLUMN()-2&lt;=$E$3,INDEX($B$10:$B$59,RANDBETWEEN(1,$E$3)),"")</x:f>
      </x:c>
      <x:c r="AK215" s="68" t="str">
        <x:f>IF(COLUMN()-2&lt;=$E$3,INDEX($B$10:$B$59,RANDBETWEEN(1,$E$3)),"")</x:f>
      </x:c>
      <x:c r="AL215" s="68" t="str">
        <x:f>IF(COLUMN()-2&lt;=$E$3,INDEX($B$10:$B$59,RANDBETWEEN(1,$E$3)),"")</x:f>
      </x:c>
      <x:c r="AM215" s="68" t="str">
        <x:f>IF(COLUMN()-2&lt;=$E$3,INDEX($B$10:$B$59,RANDBETWEEN(1,$E$3)),"")</x:f>
      </x:c>
      <x:c r="AN215" s="68" t="str">
        <x:f>IF(COLUMN()-2&lt;=$E$3,INDEX($B$10:$B$59,RANDBETWEEN(1,$E$3)),"")</x:f>
      </x:c>
      <x:c r="AO215" s="68" t="str">
        <x:f>IF(COLUMN()-2&lt;=$E$3,INDEX($B$10:$B$59,RANDBETWEEN(1,$E$3)),"")</x:f>
      </x:c>
      <x:c r="AP215" s="68" t="str">
        <x:f>IF(COLUMN()-2&lt;=$E$3,INDEX($B$10:$B$59,RANDBETWEEN(1,$E$3)),"")</x:f>
      </x:c>
      <x:c r="AQ215" s="68" t="str">
        <x:f>IF(COLUMN()-2&lt;=$E$3,INDEX($B$10:$B$59,RANDBETWEEN(1,$E$3)),"")</x:f>
      </x:c>
      <x:c r="AR215" s="68" t="str">
        <x:f>IF(COLUMN()-2&lt;=$E$3,INDEX($B$10:$B$59,RANDBETWEEN(1,$E$3)),"")</x:f>
      </x:c>
      <x:c r="AS215" s="68" t="str">
        <x:f>IF(COLUMN()-2&lt;=$E$3,INDEX($B$10:$B$59,RANDBETWEEN(1,$E$3)),"")</x:f>
      </x:c>
      <x:c r="AT215" s="68" t="str">
        <x:f>IF(COLUMN()-2&lt;=$E$3,INDEX($B$10:$B$59,RANDBETWEEN(1,$E$3)),"")</x:f>
      </x:c>
      <x:c r="AU215" s="68" t="str">
        <x:f>IF(COLUMN()-2&lt;=$E$3,INDEX($B$10:$B$59,RANDBETWEEN(1,$E$3)),"")</x:f>
      </x:c>
      <x:c r="AV215" s="68" t="str">
        <x:f>IF(COLUMN()-2&lt;=$E$3,INDEX($B$10:$B$59,RANDBETWEEN(1,$E$3)),"")</x:f>
      </x:c>
      <x:c r="AW215" s="68" t="str">
        <x:f>IF(COLUMN()-2&lt;=$E$3,INDEX($B$10:$B$59,RANDBETWEEN(1,$E$3)),"")</x:f>
      </x:c>
      <x:c r="AX215" s="68" t="str">
        <x:f>IF(COLUMN()-2&lt;=$E$3,INDEX($B$10:$B$59,RANDBETWEEN(1,$E$3)),"")</x:f>
      </x:c>
      <x:c r="AY215" s="68" t="str">
        <x:f>IF(COLUMN()-2&lt;=$E$3,INDEX($B$10:$B$59,RANDBETWEEN(1,$E$3)),"")</x:f>
      </x:c>
      <x:c r="AZ215" s="68" t="str">
        <x:f>IF(COLUMN()-2&lt;=$E$3,INDEX($B$10:$B$59,RANDBETWEEN(1,$E$3)),"")</x:f>
      </x:c>
      <x:c r="BA215" s="68" t="str">
        <x:f>IF($E$3=0,"",AVERAGE(C215:AZ215))</x:f>
      </x:c>
    </x:row>
    <x:row r="216">
      <x:c r="A216" t="n">
        <x:v>152</x:v>
      </x:c>
      <x:c r="C216" s="68" t="str">
        <x:f>IF(COLUMN()-2&lt;=$E$3,INDEX($B$10:$B$59,RANDBETWEEN(1,$E$3)),"")</x:f>
      </x:c>
      <x:c r="D216" s="68" t="str">
        <x:f>IF(COLUMN()-2&lt;=$E$3,INDEX($B$10:$B$59,RANDBETWEEN(1,$E$3)),"")</x:f>
      </x:c>
      <x:c r="E216" s="68" t="str">
        <x:f>IF(COLUMN()-2&lt;=$E$3,INDEX($B$10:$B$59,RANDBETWEEN(1,$E$3)),"")</x:f>
      </x:c>
      <x:c r="F216" s="68" t="str">
        <x:f>IF(COLUMN()-2&lt;=$E$3,INDEX($B$10:$B$59,RANDBETWEEN(1,$E$3)),"")</x:f>
      </x:c>
      <x:c r="G216" s="68" t="str">
        <x:f>IF(COLUMN()-2&lt;=$E$3,INDEX($B$10:$B$59,RANDBETWEEN(1,$E$3)),"")</x:f>
      </x:c>
      <x:c r="H216" s="68" t="str">
        <x:f>IF(COLUMN()-2&lt;=$E$3,INDEX($B$10:$B$59,RANDBETWEEN(1,$E$3)),"")</x:f>
      </x:c>
      <x:c r="I216" s="68" t="str">
        <x:f>IF(COLUMN()-2&lt;=$E$3,INDEX($B$10:$B$59,RANDBETWEEN(1,$E$3)),"")</x:f>
      </x:c>
      <x:c r="J216" s="68" t="str">
        <x:f>IF(COLUMN()-2&lt;=$E$3,INDEX($B$10:$B$59,RANDBETWEEN(1,$E$3)),"")</x:f>
      </x:c>
      <x:c r="K216" s="68" t="str">
        <x:f>IF(COLUMN()-2&lt;=$E$3,INDEX($B$10:$B$59,RANDBETWEEN(1,$E$3)),"")</x:f>
      </x:c>
      <x:c r="L216" s="68" t="str">
        <x:f>IF(COLUMN()-2&lt;=$E$3,INDEX($B$10:$B$59,RANDBETWEEN(1,$E$3)),"")</x:f>
      </x:c>
      <x:c r="M216" s="68" t="str">
        <x:f>IF(COLUMN()-2&lt;=$E$3,INDEX($B$10:$B$59,RANDBETWEEN(1,$E$3)),"")</x:f>
      </x:c>
      <x:c r="N216" s="68" t="str">
        <x:f>IF(COLUMN()-2&lt;=$E$3,INDEX($B$10:$B$59,RANDBETWEEN(1,$E$3)),"")</x:f>
      </x:c>
      <x:c r="O216" s="68" t="str">
        <x:f>IF(COLUMN()-2&lt;=$E$3,INDEX($B$10:$B$59,RANDBETWEEN(1,$E$3)),"")</x:f>
      </x:c>
      <x:c r="P216" s="68" t="str">
        <x:f>IF(COLUMN()-2&lt;=$E$3,INDEX($B$10:$B$59,RANDBETWEEN(1,$E$3)),"")</x:f>
      </x:c>
      <x:c r="Q216" s="68" t="str">
        <x:f>IF(COLUMN()-2&lt;=$E$3,INDEX($B$10:$B$59,RANDBETWEEN(1,$E$3)),"")</x:f>
      </x:c>
      <x:c r="R216" s="68" t="str">
        <x:f>IF(COLUMN()-2&lt;=$E$3,INDEX($B$10:$B$59,RANDBETWEEN(1,$E$3)),"")</x:f>
      </x:c>
      <x:c r="S216" s="68" t="str">
        <x:f>IF(COLUMN()-2&lt;=$E$3,INDEX($B$10:$B$59,RANDBETWEEN(1,$E$3)),"")</x:f>
      </x:c>
      <x:c r="T216" s="68" t="str">
        <x:f>IF(COLUMN()-2&lt;=$E$3,INDEX($B$10:$B$59,RANDBETWEEN(1,$E$3)),"")</x:f>
      </x:c>
      <x:c r="U216" s="68" t="str">
        <x:f>IF(COLUMN()-2&lt;=$E$3,INDEX($B$10:$B$59,RANDBETWEEN(1,$E$3)),"")</x:f>
      </x:c>
      <x:c r="V216" s="68" t="str">
        <x:f>IF(COLUMN()-2&lt;=$E$3,INDEX($B$10:$B$59,RANDBETWEEN(1,$E$3)),"")</x:f>
      </x:c>
      <x:c r="W216" s="68" t="str">
        <x:f>IF(COLUMN()-2&lt;=$E$3,INDEX($B$10:$B$59,RANDBETWEEN(1,$E$3)),"")</x:f>
      </x:c>
      <x:c r="X216" s="68" t="str">
        <x:f>IF(COLUMN()-2&lt;=$E$3,INDEX($B$10:$B$59,RANDBETWEEN(1,$E$3)),"")</x:f>
      </x:c>
      <x:c r="Y216" s="68" t="str">
        <x:f>IF(COLUMN()-2&lt;=$E$3,INDEX($B$10:$B$59,RANDBETWEEN(1,$E$3)),"")</x:f>
      </x:c>
      <x:c r="Z216" s="68" t="str">
        <x:f>IF(COLUMN()-2&lt;=$E$3,INDEX($B$10:$B$59,RANDBETWEEN(1,$E$3)),"")</x:f>
      </x:c>
      <x:c r="AA216" s="68" t="str">
        <x:f>IF(COLUMN()-2&lt;=$E$3,INDEX($B$10:$B$59,RANDBETWEEN(1,$E$3)),"")</x:f>
      </x:c>
      <x:c r="AB216" s="68" t="str">
        <x:f>IF(COLUMN()-2&lt;=$E$3,INDEX($B$10:$B$59,RANDBETWEEN(1,$E$3)),"")</x:f>
      </x:c>
      <x:c r="AC216" s="68" t="str">
        <x:f>IF(COLUMN()-2&lt;=$E$3,INDEX($B$10:$B$59,RANDBETWEEN(1,$E$3)),"")</x:f>
      </x:c>
      <x:c r="AD216" s="68" t="str">
        <x:f>IF(COLUMN()-2&lt;=$E$3,INDEX($B$10:$B$59,RANDBETWEEN(1,$E$3)),"")</x:f>
      </x:c>
      <x:c r="AE216" s="68" t="str">
        <x:f>IF(COLUMN()-2&lt;=$E$3,INDEX($B$10:$B$59,RANDBETWEEN(1,$E$3)),"")</x:f>
      </x:c>
      <x:c r="AF216" s="68" t="str">
        <x:f>IF(COLUMN()-2&lt;=$E$3,INDEX($B$10:$B$59,RANDBETWEEN(1,$E$3)),"")</x:f>
      </x:c>
      <x:c r="AG216" s="68" t="str">
        <x:f>IF(COLUMN()-2&lt;=$E$3,INDEX($B$10:$B$59,RANDBETWEEN(1,$E$3)),"")</x:f>
      </x:c>
      <x:c r="AH216" s="68" t="str">
        <x:f>IF(COLUMN()-2&lt;=$E$3,INDEX($B$10:$B$59,RANDBETWEEN(1,$E$3)),"")</x:f>
      </x:c>
      <x:c r="AI216" s="68" t="str">
        <x:f>IF(COLUMN()-2&lt;=$E$3,INDEX($B$10:$B$59,RANDBETWEEN(1,$E$3)),"")</x:f>
      </x:c>
      <x:c r="AJ216" s="68" t="str">
        <x:f>IF(COLUMN()-2&lt;=$E$3,INDEX($B$10:$B$59,RANDBETWEEN(1,$E$3)),"")</x:f>
      </x:c>
      <x:c r="AK216" s="68" t="str">
        <x:f>IF(COLUMN()-2&lt;=$E$3,INDEX($B$10:$B$59,RANDBETWEEN(1,$E$3)),"")</x:f>
      </x:c>
      <x:c r="AL216" s="68" t="str">
        <x:f>IF(COLUMN()-2&lt;=$E$3,INDEX($B$10:$B$59,RANDBETWEEN(1,$E$3)),"")</x:f>
      </x:c>
      <x:c r="AM216" s="68" t="str">
        <x:f>IF(COLUMN()-2&lt;=$E$3,INDEX($B$10:$B$59,RANDBETWEEN(1,$E$3)),"")</x:f>
      </x:c>
      <x:c r="AN216" s="68" t="str">
        <x:f>IF(COLUMN()-2&lt;=$E$3,INDEX($B$10:$B$59,RANDBETWEEN(1,$E$3)),"")</x:f>
      </x:c>
      <x:c r="AO216" s="68" t="str">
        <x:f>IF(COLUMN()-2&lt;=$E$3,INDEX($B$10:$B$59,RANDBETWEEN(1,$E$3)),"")</x:f>
      </x:c>
      <x:c r="AP216" s="68" t="str">
        <x:f>IF(COLUMN()-2&lt;=$E$3,INDEX($B$10:$B$59,RANDBETWEEN(1,$E$3)),"")</x:f>
      </x:c>
      <x:c r="AQ216" s="68" t="str">
        <x:f>IF(COLUMN()-2&lt;=$E$3,INDEX($B$10:$B$59,RANDBETWEEN(1,$E$3)),"")</x:f>
      </x:c>
      <x:c r="AR216" s="68" t="str">
        <x:f>IF(COLUMN()-2&lt;=$E$3,INDEX($B$10:$B$59,RANDBETWEEN(1,$E$3)),"")</x:f>
      </x:c>
      <x:c r="AS216" s="68" t="str">
        <x:f>IF(COLUMN()-2&lt;=$E$3,INDEX($B$10:$B$59,RANDBETWEEN(1,$E$3)),"")</x:f>
      </x:c>
      <x:c r="AT216" s="68" t="str">
        <x:f>IF(COLUMN()-2&lt;=$E$3,INDEX($B$10:$B$59,RANDBETWEEN(1,$E$3)),"")</x:f>
      </x:c>
      <x:c r="AU216" s="68" t="str">
        <x:f>IF(COLUMN()-2&lt;=$E$3,INDEX($B$10:$B$59,RANDBETWEEN(1,$E$3)),"")</x:f>
      </x:c>
      <x:c r="AV216" s="68" t="str">
        <x:f>IF(COLUMN()-2&lt;=$E$3,INDEX($B$10:$B$59,RANDBETWEEN(1,$E$3)),"")</x:f>
      </x:c>
      <x:c r="AW216" s="68" t="str">
        <x:f>IF(COLUMN()-2&lt;=$E$3,INDEX($B$10:$B$59,RANDBETWEEN(1,$E$3)),"")</x:f>
      </x:c>
      <x:c r="AX216" s="68" t="str">
        <x:f>IF(COLUMN()-2&lt;=$E$3,INDEX($B$10:$B$59,RANDBETWEEN(1,$E$3)),"")</x:f>
      </x:c>
      <x:c r="AY216" s="68" t="str">
        <x:f>IF(COLUMN()-2&lt;=$E$3,INDEX($B$10:$B$59,RANDBETWEEN(1,$E$3)),"")</x:f>
      </x:c>
      <x:c r="AZ216" s="68" t="str">
        <x:f>IF(COLUMN()-2&lt;=$E$3,INDEX($B$10:$B$59,RANDBETWEEN(1,$E$3)),"")</x:f>
      </x:c>
      <x:c r="BA216" s="68" t="str">
        <x:f>IF($E$3=0,"",AVERAGE(C216:AZ216))</x:f>
      </x:c>
    </x:row>
    <x:row r="217">
      <x:c r="A217" t="n">
        <x:v>153</x:v>
      </x:c>
      <x:c r="C217" s="68" t="str">
        <x:f>IF(COLUMN()-2&lt;=$E$3,INDEX($B$10:$B$59,RANDBETWEEN(1,$E$3)),"")</x:f>
      </x:c>
      <x:c r="D217" s="68" t="str">
        <x:f>IF(COLUMN()-2&lt;=$E$3,INDEX($B$10:$B$59,RANDBETWEEN(1,$E$3)),"")</x:f>
      </x:c>
      <x:c r="E217" s="68" t="str">
        <x:f>IF(COLUMN()-2&lt;=$E$3,INDEX($B$10:$B$59,RANDBETWEEN(1,$E$3)),"")</x:f>
      </x:c>
      <x:c r="F217" s="68" t="str">
        <x:f>IF(COLUMN()-2&lt;=$E$3,INDEX($B$10:$B$59,RANDBETWEEN(1,$E$3)),"")</x:f>
      </x:c>
      <x:c r="G217" s="68" t="str">
        <x:f>IF(COLUMN()-2&lt;=$E$3,INDEX($B$10:$B$59,RANDBETWEEN(1,$E$3)),"")</x:f>
      </x:c>
      <x:c r="H217" s="68" t="str">
        <x:f>IF(COLUMN()-2&lt;=$E$3,INDEX($B$10:$B$59,RANDBETWEEN(1,$E$3)),"")</x:f>
      </x:c>
      <x:c r="I217" s="68" t="str">
        <x:f>IF(COLUMN()-2&lt;=$E$3,INDEX($B$10:$B$59,RANDBETWEEN(1,$E$3)),"")</x:f>
      </x:c>
      <x:c r="J217" s="68" t="str">
        <x:f>IF(COLUMN()-2&lt;=$E$3,INDEX($B$10:$B$59,RANDBETWEEN(1,$E$3)),"")</x:f>
      </x:c>
      <x:c r="K217" s="68" t="str">
        <x:f>IF(COLUMN()-2&lt;=$E$3,INDEX($B$10:$B$59,RANDBETWEEN(1,$E$3)),"")</x:f>
      </x:c>
      <x:c r="L217" s="68" t="str">
        <x:f>IF(COLUMN()-2&lt;=$E$3,INDEX($B$10:$B$59,RANDBETWEEN(1,$E$3)),"")</x:f>
      </x:c>
      <x:c r="M217" s="68" t="str">
        <x:f>IF(COLUMN()-2&lt;=$E$3,INDEX($B$10:$B$59,RANDBETWEEN(1,$E$3)),"")</x:f>
      </x:c>
      <x:c r="N217" s="68" t="str">
        <x:f>IF(COLUMN()-2&lt;=$E$3,INDEX($B$10:$B$59,RANDBETWEEN(1,$E$3)),"")</x:f>
      </x:c>
      <x:c r="O217" s="68" t="str">
        <x:f>IF(COLUMN()-2&lt;=$E$3,INDEX($B$10:$B$59,RANDBETWEEN(1,$E$3)),"")</x:f>
      </x:c>
      <x:c r="P217" s="68" t="str">
        <x:f>IF(COLUMN()-2&lt;=$E$3,INDEX($B$10:$B$59,RANDBETWEEN(1,$E$3)),"")</x:f>
      </x:c>
      <x:c r="Q217" s="68" t="str">
        <x:f>IF(COLUMN()-2&lt;=$E$3,INDEX($B$10:$B$59,RANDBETWEEN(1,$E$3)),"")</x:f>
      </x:c>
      <x:c r="R217" s="68" t="str">
        <x:f>IF(COLUMN()-2&lt;=$E$3,INDEX($B$10:$B$59,RANDBETWEEN(1,$E$3)),"")</x:f>
      </x:c>
      <x:c r="S217" s="68" t="str">
        <x:f>IF(COLUMN()-2&lt;=$E$3,INDEX($B$10:$B$59,RANDBETWEEN(1,$E$3)),"")</x:f>
      </x:c>
      <x:c r="T217" s="68" t="str">
        <x:f>IF(COLUMN()-2&lt;=$E$3,INDEX($B$10:$B$59,RANDBETWEEN(1,$E$3)),"")</x:f>
      </x:c>
      <x:c r="U217" s="68" t="str">
        <x:f>IF(COLUMN()-2&lt;=$E$3,INDEX($B$10:$B$59,RANDBETWEEN(1,$E$3)),"")</x:f>
      </x:c>
      <x:c r="V217" s="68" t="str">
        <x:f>IF(COLUMN()-2&lt;=$E$3,INDEX($B$10:$B$59,RANDBETWEEN(1,$E$3)),"")</x:f>
      </x:c>
      <x:c r="W217" s="68" t="str">
        <x:f>IF(COLUMN()-2&lt;=$E$3,INDEX($B$10:$B$59,RANDBETWEEN(1,$E$3)),"")</x:f>
      </x:c>
      <x:c r="X217" s="68" t="str">
        <x:f>IF(COLUMN()-2&lt;=$E$3,INDEX($B$10:$B$59,RANDBETWEEN(1,$E$3)),"")</x:f>
      </x:c>
      <x:c r="Y217" s="68" t="str">
        <x:f>IF(COLUMN()-2&lt;=$E$3,INDEX($B$10:$B$59,RANDBETWEEN(1,$E$3)),"")</x:f>
      </x:c>
      <x:c r="Z217" s="68" t="str">
        <x:f>IF(COLUMN()-2&lt;=$E$3,INDEX($B$10:$B$59,RANDBETWEEN(1,$E$3)),"")</x:f>
      </x:c>
      <x:c r="AA217" s="68" t="str">
        <x:f>IF(COLUMN()-2&lt;=$E$3,INDEX($B$10:$B$59,RANDBETWEEN(1,$E$3)),"")</x:f>
      </x:c>
      <x:c r="AB217" s="68" t="str">
        <x:f>IF(COLUMN()-2&lt;=$E$3,INDEX($B$10:$B$59,RANDBETWEEN(1,$E$3)),"")</x:f>
      </x:c>
      <x:c r="AC217" s="68" t="str">
        <x:f>IF(COLUMN()-2&lt;=$E$3,INDEX($B$10:$B$59,RANDBETWEEN(1,$E$3)),"")</x:f>
      </x:c>
      <x:c r="AD217" s="68" t="str">
        <x:f>IF(COLUMN()-2&lt;=$E$3,INDEX($B$10:$B$59,RANDBETWEEN(1,$E$3)),"")</x:f>
      </x:c>
      <x:c r="AE217" s="68" t="str">
        <x:f>IF(COLUMN()-2&lt;=$E$3,INDEX($B$10:$B$59,RANDBETWEEN(1,$E$3)),"")</x:f>
      </x:c>
      <x:c r="AF217" s="68" t="str">
        <x:f>IF(COLUMN()-2&lt;=$E$3,INDEX($B$10:$B$59,RANDBETWEEN(1,$E$3)),"")</x:f>
      </x:c>
      <x:c r="AG217" s="68" t="str">
        <x:f>IF(COLUMN()-2&lt;=$E$3,INDEX($B$10:$B$59,RANDBETWEEN(1,$E$3)),"")</x:f>
      </x:c>
      <x:c r="AH217" s="68" t="str">
        <x:f>IF(COLUMN()-2&lt;=$E$3,INDEX($B$10:$B$59,RANDBETWEEN(1,$E$3)),"")</x:f>
      </x:c>
      <x:c r="AI217" s="68" t="str">
        <x:f>IF(COLUMN()-2&lt;=$E$3,INDEX($B$10:$B$59,RANDBETWEEN(1,$E$3)),"")</x:f>
      </x:c>
      <x:c r="AJ217" s="68" t="str">
        <x:f>IF(COLUMN()-2&lt;=$E$3,INDEX($B$10:$B$59,RANDBETWEEN(1,$E$3)),"")</x:f>
      </x:c>
      <x:c r="AK217" s="68" t="str">
        <x:f>IF(COLUMN()-2&lt;=$E$3,INDEX($B$10:$B$59,RANDBETWEEN(1,$E$3)),"")</x:f>
      </x:c>
      <x:c r="AL217" s="68" t="str">
        <x:f>IF(COLUMN()-2&lt;=$E$3,INDEX($B$10:$B$59,RANDBETWEEN(1,$E$3)),"")</x:f>
      </x:c>
      <x:c r="AM217" s="68" t="str">
        <x:f>IF(COLUMN()-2&lt;=$E$3,INDEX($B$10:$B$59,RANDBETWEEN(1,$E$3)),"")</x:f>
      </x:c>
      <x:c r="AN217" s="68" t="str">
        <x:f>IF(COLUMN()-2&lt;=$E$3,INDEX($B$10:$B$59,RANDBETWEEN(1,$E$3)),"")</x:f>
      </x:c>
      <x:c r="AO217" s="68" t="str">
        <x:f>IF(COLUMN()-2&lt;=$E$3,INDEX($B$10:$B$59,RANDBETWEEN(1,$E$3)),"")</x:f>
      </x:c>
      <x:c r="AP217" s="68" t="str">
        <x:f>IF(COLUMN()-2&lt;=$E$3,INDEX($B$10:$B$59,RANDBETWEEN(1,$E$3)),"")</x:f>
      </x:c>
      <x:c r="AQ217" s="68" t="str">
        <x:f>IF(COLUMN()-2&lt;=$E$3,INDEX($B$10:$B$59,RANDBETWEEN(1,$E$3)),"")</x:f>
      </x:c>
      <x:c r="AR217" s="68" t="str">
        <x:f>IF(COLUMN()-2&lt;=$E$3,INDEX($B$10:$B$59,RANDBETWEEN(1,$E$3)),"")</x:f>
      </x:c>
      <x:c r="AS217" s="68" t="str">
        <x:f>IF(COLUMN()-2&lt;=$E$3,INDEX($B$10:$B$59,RANDBETWEEN(1,$E$3)),"")</x:f>
      </x:c>
      <x:c r="AT217" s="68" t="str">
        <x:f>IF(COLUMN()-2&lt;=$E$3,INDEX($B$10:$B$59,RANDBETWEEN(1,$E$3)),"")</x:f>
      </x:c>
      <x:c r="AU217" s="68" t="str">
        <x:f>IF(COLUMN()-2&lt;=$E$3,INDEX($B$10:$B$59,RANDBETWEEN(1,$E$3)),"")</x:f>
      </x:c>
      <x:c r="AV217" s="68" t="str">
        <x:f>IF(COLUMN()-2&lt;=$E$3,INDEX($B$10:$B$59,RANDBETWEEN(1,$E$3)),"")</x:f>
      </x:c>
      <x:c r="AW217" s="68" t="str">
        <x:f>IF(COLUMN()-2&lt;=$E$3,INDEX($B$10:$B$59,RANDBETWEEN(1,$E$3)),"")</x:f>
      </x:c>
      <x:c r="AX217" s="68" t="str">
        <x:f>IF(COLUMN()-2&lt;=$E$3,INDEX($B$10:$B$59,RANDBETWEEN(1,$E$3)),"")</x:f>
      </x:c>
      <x:c r="AY217" s="68" t="str">
        <x:f>IF(COLUMN()-2&lt;=$E$3,INDEX($B$10:$B$59,RANDBETWEEN(1,$E$3)),"")</x:f>
      </x:c>
      <x:c r="AZ217" s="68" t="str">
        <x:f>IF(COLUMN()-2&lt;=$E$3,INDEX($B$10:$B$59,RANDBETWEEN(1,$E$3)),"")</x:f>
      </x:c>
      <x:c r="BA217" s="68" t="str">
        <x:f>IF($E$3=0,"",AVERAGE(C217:AZ217))</x:f>
      </x:c>
    </x:row>
    <x:row r="218">
      <x:c r="A218" t="n">
        <x:v>154</x:v>
      </x:c>
      <x:c r="C218" s="68" t="str">
        <x:f>IF(COLUMN()-2&lt;=$E$3,INDEX($B$10:$B$59,RANDBETWEEN(1,$E$3)),"")</x:f>
      </x:c>
      <x:c r="D218" s="68" t="str">
        <x:f>IF(COLUMN()-2&lt;=$E$3,INDEX($B$10:$B$59,RANDBETWEEN(1,$E$3)),"")</x:f>
      </x:c>
      <x:c r="E218" s="68" t="str">
        <x:f>IF(COLUMN()-2&lt;=$E$3,INDEX($B$10:$B$59,RANDBETWEEN(1,$E$3)),"")</x:f>
      </x:c>
      <x:c r="F218" s="68" t="str">
        <x:f>IF(COLUMN()-2&lt;=$E$3,INDEX($B$10:$B$59,RANDBETWEEN(1,$E$3)),"")</x:f>
      </x:c>
      <x:c r="G218" s="68" t="str">
        <x:f>IF(COLUMN()-2&lt;=$E$3,INDEX($B$10:$B$59,RANDBETWEEN(1,$E$3)),"")</x:f>
      </x:c>
      <x:c r="H218" s="68" t="str">
        <x:f>IF(COLUMN()-2&lt;=$E$3,INDEX($B$10:$B$59,RANDBETWEEN(1,$E$3)),"")</x:f>
      </x:c>
      <x:c r="I218" s="68" t="str">
        <x:f>IF(COLUMN()-2&lt;=$E$3,INDEX($B$10:$B$59,RANDBETWEEN(1,$E$3)),"")</x:f>
      </x:c>
      <x:c r="J218" s="68" t="str">
        <x:f>IF(COLUMN()-2&lt;=$E$3,INDEX($B$10:$B$59,RANDBETWEEN(1,$E$3)),"")</x:f>
      </x:c>
      <x:c r="K218" s="68" t="str">
        <x:f>IF(COLUMN()-2&lt;=$E$3,INDEX($B$10:$B$59,RANDBETWEEN(1,$E$3)),"")</x:f>
      </x:c>
      <x:c r="L218" s="68" t="str">
        <x:f>IF(COLUMN()-2&lt;=$E$3,INDEX($B$10:$B$59,RANDBETWEEN(1,$E$3)),"")</x:f>
      </x:c>
      <x:c r="M218" s="68" t="str">
        <x:f>IF(COLUMN()-2&lt;=$E$3,INDEX($B$10:$B$59,RANDBETWEEN(1,$E$3)),"")</x:f>
      </x:c>
      <x:c r="N218" s="68" t="str">
        <x:f>IF(COLUMN()-2&lt;=$E$3,INDEX($B$10:$B$59,RANDBETWEEN(1,$E$3)),"")</x:f>
      </x:c>
      <x:c r="O218" s="68" t="str">
        <x:f>IF(COLUMN()-2&lt;=$E$3,INDEX($B$10:$B$59,RANDBETWEEN(1,$E$3)),"")</x:f>
      </x:c>
      <x:c r="P218" s="68" t="str">
        <x:f>IF(COLUMN()-2&lt;=$E$3,INDEX($B$10:$B$59,RANDBETWEEN(1,$E$3)),"")</x:f>
      </x:c>
      <x:c r="Q218" s="68" t="str">
        <x:f>IF(COLUMN()-2&lt;=$E$3,INDEX($B$10:$B$59,RANDBETWEEN(1,$E$3)),"")</x:f>
      </x:c>
      <x:c r="R218" s="68" t="str">
        <x:f>IF(COLUMN()-2&lt;=$E$3,INDEX($B$10:$B$59,RANDBETWEEN(1,$E$3)),"")</x:f>
      </x:c>
      <x:c r="S218" s="68" t="str">
        <x:f>IF(COLUMN()-2&lt;=$E$3,INDEX($B$10:$B$59,RANDBETWEEN(1,$E$3)),"")</x:f>
      </x:c>
      <x:c r="T218" s="68" t="str">
        <x:f>IF(COLUMN()-2&lt;=$E$3,INDEX($B$10:$B$59,RANDBETWEEN(1,$E$3)),"")</x:f>
      </x:c>
      <x:c r="U218" s="68" t="str">
        <x:f>IF(COLUMN()-2&lt;=$E$3,INDEX($B$10:$B$59,RANDBETWEEN(1,$E$3)),"")</x:f>
      </x:c>
      <x:c r="V218" s="68" t="str">
        <x:f>IF(COLUMN()-2&lt;=$E$3,INDEX($B$10:$B$59,RANDBETWEEN(1,$E$3)),"")</x:f>
      </x:c>
      <x:c r="W218" s="68" t="str">
        <x:f>IF(COLUMN()-2&lt;=$E$3,INDEX($B$10:$B$59,RANDBETWEEN(1,$E$3)),"")</x:f>
      </x:c>
      <x:c r="X218" s="68" t="str">
        <x:f>IF(COLUMN()-2&lt;=$E$3,INDEX($B$10:$B$59,RANDBETWEEN(1,$E$3)),"")</x:f>
      </x:c>
      <x:c r="Y218" s="68" t="str">
        <x:f>IF(COLUMN()-2&lt;=$E$3,INDEX($B$10:$B$59,RANDBETWEEN(1,$E$3)),"")</x:f>
      </x:c>
      <x:c r="Z218" s="68" t="str">
        <x:f>IF(COLUMN()-2&lt;=$E$3,INDEX($B$10:$B$59,RANDBETWEEN(1,$E$3)),"")</x:f>
      </x:c>
      <x:c r="AA218" s="68" t="str">
        <x:f>IF(COLUMN()-2&lt;=$E$3,INDEX($B$10:$B$59,RANDBETWEEN(1,$E$3)),"")</x:f>
      </x:c>
      <x:c r="AB218" s="68" t="str">
        <x:f>IF(COLUMN()-2&lt;=$E$3,INDEX($B$10:$B$59,RANDBETWEEN(1,$E$3)),"")</x:f>
      </x:c>
      <x:c r="AC218" s="68" t="str">
        <x:f>IF(COLUMN()-2&lt;=$E$3,INDEX($B$10:$B$59,RANDBETWEEN(1,$E$3)),"")</x:f>
      </x:c>
      <x:c r="AD218" s="68" t="str">
        <x:f>IF(COLUMN()-2&lt;=$E$3,INDEX($B$10:$B$59,RANDBETWEEN(1,$E$3)),"")</x:f>
      </x:c>
      <x:c r="AE218" s="68" t="str">
        <x:f>IF(COLUMN()-2&lt;=$E$3,INDEX($B$10:$B$59,RANDBETWEEN(1,$E$3)),"")</x:f>
      </x:c>
      <x:c r="AF218" s="68" t="str">
        <x:f>IF(COLUMN()-2&lt;=$E$3,INDEX($B$10:$B$59,RANDBETWEEN(1,$E$3)),"")</x:f>
      </x:c>
      <x:c r="AG218" s="68" t="str">
        <x:f>IF(COLUMN()-2&lt;=$E$3,INDEX($B$10:$B$59,RANDBETWEEN(1,$E$3)),"")</x:f>
      </x:c>
      <x:c r="AH218" s="68" t="str">
        <x:f>IF(COLUMN()-2&lt;=$E$3,INDEX($B$10:$B$59,RANDBETWEEN(1,$E$3)),"")</x:f>
      </x:c>
      <x:c r="AI218" s="68" t="str">
        <x:f>IF(COLUMN()-2&lt;=$E$3,INDEX($B$10:$B$59,RANDBETWEEN(1,$E$3)),"")</x:f>
      </x:c>
      <x:c r="AJ218" s="68" t="str">
        <x:f>IF(COLUMN()-2&lt;=$E$3,INDEX($B$10:$B$59,RANDBETWEEN(1,$E$3)),"")</x:f>
      </x:c>
      <x:c r="AK218" s="68" t="str">
        <x:f>IF(COLUMN()-2&lt;=$E$3,INDEX($B$10:$B$59,RANDBETWEEN(1,$E$3)),"")</x:f>
      </x:c>
      <x:c r="AL218" s="68" t="str">
        <x:f>IF(COLUMN()-2&lt;=$E$3,INDEX($B$10:$B$59,RANDBETWEEN(1,$E$3)),"")</x:f>
      </x:c>
      <x:c r="AM218" s="68" t="str">
        <x:f>IF(COLUMN()-2&lt;=$E$3,INDEX($B$10:$B$59,RANDBETWEEN(1,$E$3)),"")</x:f>
      </x:c>
      <x:c r="AN218" s="68" t="str">
        <x:f>IF(COLUMN()-2&lt;=$E$3,INDEX($B$10:$B$59,RANDBETWEEN(1,$E$3)),"")</x:f>
      </x:c>
      <x:c r="AO218" s="68" t="str">
        <x:f>IF(COLUMN()-2&lt;=$E$3,INDEX($B$10:$B$59,RANDBETWEEN(1,$E$3)),"")</x:f>
      </x:c>
      <x:c r="AP218" s="68" t="str">
        <x:f>IF(COLUMN()-2&lt;=$E$3,INDEX($B$10:$B$59,RANDBETWEEN(1,$E$3)),"")</x:f>
      </x:c>
      <x:c r="AQ218" s="68" t="str">
        <x:f>IF(COLUMN()-2&lt;=$E$3,INDEX($B$10:$B$59,RANDBETWEEN(1,$E$3)),"")</x:f>
      </x:c>
      <x:c r="AR218" s="68" t="str">
        <x:f>IF(COLUMN()-2&lt;=$E$3,INDEX($B$10:$B$59,RANDBETWEEN(1,$E$3)),"")</x:f>
      </x:c>
      <x:c r="AS218" s="68" t="str">
        <x:f>IF(COLUMN()-2&lt;=$E$3,INDEX($B$10:$B$59,RANDBETWEEN(1,$E$3)),"")</x:f>
      </x:c>
      <x:c r="AT218" s="68" t="str">
        <x:f>IF(COLUMN()-2&lt;=$E$3,INDEX($B$10:$B$59,RANDBETWEEN(1,$E$3)),"")</x:f>
      </x:c>
      <x:c r="AU218" s="68" t="str">
        <x:f>IF(COLUMN()-2&lt;=$E$3,INDEX($B$10:$B$59,RANDBETWEEN(1,$E$3)),"")</x:f>
      </x:c>
      <x:c r="AV218" s="68" t="str">
        <x:f>IF(COLUMN()-2&lt;=$E$3,INDEX($B$10:$B$59,RANDBETWEEN(1,$E$3)),"")</x:f>
      </x:c>
      <x:c r="AW218" s="68" t="str">
        <x:f>IF(COLUMN()-2&lt;=$E$3,INDEX($B$10:$B$59,RANDBETWEEN(1,$E$3)),"")</x:f>
      </x:c>
      <x:c r="AX218" s="68" t="str">
        <x:f>IF(COLUMN()-2&lt;=$E$3,INDEX($B$10:$B$59,RANDBETWEEN(1,$E$3)),"")</x:f>
      </x:c>
      <x:c r="AY218" s="68" t="str">
        <x:f>IF(COLUMN()-2&lt;=$E$3,INDEX($B$10:$B$59,RANDBETWEEN(1,$E$3)),"")</x:f>
      </x:c>
      <x:c r="AZ218" s="68" t="str">
        <x:f>IF(COLUMN()-2&lt;=$E$3,INDEX($B$10:$B$59,RANDBETWEEN(1,$E$3)),"")</x:f>
      </x:c>
      <x:c r="BA218" s="68" t="str">
        <x:f>IF($E$3=0,"",AVERAGE(C218:AZ218))</x:f>
      </x:c>
    </x:row>
    <x:row r="219">
      <x:c r="A219" t="n">
        <x:v>155</x:v>
      </x:c>
      <x:c r="C219" s="68" t="str">
        <x:f>IF(COLUMN()-2&lt;=$E$3,INDEX($B$10:$B$59,RANDBETWEEN(1,$E$3)),"")</x:f>
      </x:c>
      <x:c r="D219" s="68" t="str">
        <x:f>IF(COLUMN()-2&lt;=$E$3,INDEX($B$10:$B$59,RANDBETWEEN(1,$E$3)),"")</x:f>
      </x:c>
      <x:c r="E219" s="68" t="str">
        <x:f>IF(COLUMN()-2&lt;=$E$3,INDEX($B$10:$B$59,RANDBETWEEN(1,$E$3)),"")</x:f>
      </x:c>
      <x:c r="F219" s="68" t="str">
        <x:f>IF(COLUMN()-2&lt;=$E$3,INDEX($B$10:$B$59,RANDBETWEEN(1,$E$3)),"")</x:f>
      </x:c>
      <x:c r="G219" s="68" t="str">
        <x:f>IF(COLUMN()-2&lt;=$E$3,INDEX($B$10:$B$59,RANDBETWEEN(1,$E$3)),"")</x:f>
      </x:c>
      <x:c r="H219" s="68" t="str">
        <x:f>IF(COLUMN()-2&lt;=$E$3,INDEX($B$10:$B$59,RANDBETWEEN(1,$E$3)),"")</x:f>
      </x:c>
      <x:c r="I219" s="68" t="str">
        <x:f>IF(COLUMN()-2&lt;=$E$3,INDEX($B$10:$B$59,RANDBETWEEN(1,$E$3)),"")</x:f>
      </x:c>
      <x:c r="J219" s="68" t="str">
        <x:f>IF(COLUMN()-2&lt;=$E$3,INDEX($B$10:$B$59,RANDBETWEEN(1,$E$3)),"")</x:f>
      </x:c>
      <x:c r="K219" s="68" t="str">
        <x:f>IF(COLUMN()-2&lt;=$E$3,INDEX($B$10:$B$59,RANDBETWEEN(1,$E$3)),"")</x:f>
      </x:c>
      <x:c r="L219" s="68" t="str">
        <x:f>IF(COLUMN()-2&lt;=$E$3,INDEX($B$10:$B$59,RANDBETWEEN(1,$E$3)),"")</x:f>
      </x:c>
      <x:c r="M219" s="68" t="str">
        <x:f>IF(COLUMN()-2&lt;=$E$3,INDEX($B$10:$B$59,RANDBETWEEN(1,$E$3)),"")</x:f>
      </x:c>
      <x:c r="N219" s="68" t="str">
        <x:f>IF(COLUMN()-2&lt;=$E$3,INDEX($B$10:$B$59,RANDBETWEEN(1,$E$3)),"")</x:f>
      </x:c>
      <x:c r="O219" s="68" t="str">
        <x:f>IF(COLUMN()-2&lt;=$E$3,INDEX($B$10:$B$59,RANDBETWEEN(1,$E$3)),"")</x:f>
      </x:c>
      <x:c r="P219" s="68" t="str">
        <x:f>IF(COLUMN()-2&lt;=$E$3,INDEX($B$10:$B$59,RANDBETWEEN(1,$E$3)),"")</x:f>
      </x:c>
      <x:c r="Q219" s="68" t="str">
        <x:f>IF(COLUMN()-2&lt;=$E$3,INDEX($B$10:$B$59,RANDBETWEEN(1,$E$3)),"")</x:f>
      </x:c>
      <x:c r="R219" s="68" t="str">
        <x:f>IF(COLUMN()-2&lt;=$E$3,INDEX($B$10:$B$59,RANDBETWEEN(1,$E$3)),"")</x:f>
      </x:c>
      <x:c r="S219" s="68" t="str">
        <x:f>IF(COLUMN()-2&lt;=$E$3,INDEX($B$10:$B$59,RANDBETWEEN(1,$E$3)),"")</x:f>
      </x:c>
      <x:c r="T219" s="68" t="str">
        <x:f>IF(COLUMN()-2&lt;=$E$3,INDEX($B$10:$B$59,RANDBETWEEN(1,$E$3)),"")</x:f>
      </x:c>
      <x:c r="U219" s="68" t="str">
        <x:f>IF(COLUMN()-2&lt;=$E$3,INDEX($B$10:$B$59,RANDBETWEEN(1,$E$3)),"")</x:f>
      </x:c>
      <x:c r="V219" s="68" t="str">
        <x:f>IF(COLUMN()-2&lt;=$E$3,INDEX($B$10:$B$59,RANDBETWEEN(1,$E$3)),"")</x:f>
      </x:c>
      <x:c r="W219" s="68" t="str">
        <x:f>IF(COLUMN()-2&lt;=$E$3,INDEX($B$10:$B$59,RANDBETWEEN(1,$E$3)),"")</x:f>
      </x:c>
      <x:c r="X219" s="68" t="str">
        <x:f>IF(COLUMN()-2&lt;=$E$3,INDEX($B$10:$B$59,RANDBETWEEN(1,$E$3)),"")</x:f>
      </x:c>
      <x:c r="Y219" s="68" t="str">
        <x:f>IF(COLUMN()-2&lt;=$E$3,INDEX($B$10:$B$59,RANDBETWEEN(1,$E$3)),"")</x:f>
      </x:c>
      <x:c r="Z219" s="68" t="str">
        <x:f>IF(COLUMN()-2&lt;=$E$3,INDEX($B$10:$B$59,RANDBETWEEN(1,$E$3)),"")</x:f>
      </x:c>
      <x:c r="AA219" s="68" t="str">
        <x:f>IF(COLUMN()-2&lt;=$E$3,INDEX($B$10:$B$59,RANDBETWEEN(1,$E$3)),"")</x:f>
      </x:c>
      <x:c r="AB219" s="68" t="str">
        <x:f>IF(COLUMN()-2&lt;=$E$3,INDEX($B$10:$B$59,RANDBETWEEN(1,$E$3)),"")</x:f>
      </x:c>
      <x:c r="AC219" s="68" t="str">
        <x:f>IF(COLUMN()-2&lt;=$E$3,INDEX($B$10:$B$59,RANDBETWEEN(1,$E$3)),"")</x:f>
      </x:c>
      <x:c r="AD219" s="68" t="str">
        <x:f>IF(COLUMN()-2&lt;=$E$3,INDEX($B$10:$B$59,RANDBETWEEN(1,$E$3)),"")</x:f>
      </x:c>
      <x:c r="AE219" s="68" t="str">
        <x:f>IF(COLUMN()-2&lt;=$E$3,INDEX($B$10:$B$59,RANDBETWEEN(1,$E$3)),"")</x:f>
      </x:c>
      <x:c r="AF219" s="68" t="str">
        <x:f>IF(COLUMN()-2&lt;=$E$3,INDEX($B$10:$B$59,RANDBETWEEN(1,$E$3)),"")</x:f>
      </x:c>
      <x:c r="AG219" s="68" t="str">
        <x:f>IF(COLUMN()-2&lt;=$E$3,INDEX($B$10:$B$59,RANDBETWEEN(1,$E$3)),"")</x:f>
      </x:c>
      <x:c r="AH219" s="68" t="str">
        <x:f>IF(COLUMN()-2&lt;=$E$3,INDEX($B$10:$B$59,RANDBETWEEN(1,$E$3)),"")</x:f>
      </x:c>
      <x:c r="AI219" s="68" t="str">
        <x:f>IF(COLUMN()-2&lt;=$E$3,INDEX($B$10:$B$59,RANDBETWEEN(1,$E$3)),"")</x:f>
      </x:c>
      <x:c r="AJ219" s="68" t="str">
        <x:f>IF(COLUMN()-2&lt;=$E$3,INDEX($B$10:$B$59,RANDBETWEEN(1,$E$3)),"")</x:f>
      </x:c>
      <x:c r="AK219" s="68" t="str">
        <x:f>IF(COLUMN()-2&lt;=$E$3,INDEX($B$10:$B$59,RANDBETWEEN(1,$E$3)),"")</x:f>
      </x:c>
      <x:c r="AL219" s="68" t="str">
        <x:f>IF(COLUMN()-2&lt;=$E$3,INDEX($B$10:$B$59,RANDBETWEEN(1,$E$3)),"")</x:f>
      </x:c>
      <x:c r="AM219" s="68" t="str">
        <x:f>IF(COLUMN()-2&lt;=$E$3,INDEX($B$10:$B$59,RANDBETWEEN(1,$E$3)),"")</x:f>
      </x:c>
      <x:c r="AN219" s="68" t="str">
        <x:f>IF(COLUMN()-2&lt;=$E$3,INDEX($B$10:$B$59,RANDBETWEEN(1,$E$3)),"")</x:f>
      </x:c>
      <x:c r="AO219" s="68" t="str">
        <x:f>IF(COLUMN()-2&lt;=$E$3,INDEX($B$10:$B$59,RANDBETWEEN(1,$E$3)),"")</x:f>
      </x:c>
      <x:c r="AP219" s="68" t="str">
        <x:f>IF(COLUMN()-2&lt;=$E$3,INDEX($B$10:$B$59,RANDBETWEEN(1,$E$3)),"")</x:f>
      </x:c>
      <x:c r="AQ219" s="68" t="str">
        <x:f>IF(COLUMN()-2&lt;=$E$3,INDEX($B$10:$B$59,RANDBETWEEN(1,$E$3)),"")</x:f>
      </x:c>
      <x:c r="AR219" s="68" t="str">
        <x:f>IF(COLUMN()-2&lt;=$E$3,INDEX($B$10:$B$59,RANDBETWEEN(1,$E$3)),"")</x:f>
      </x:c>
      <x:c r="AS219" s="68" t="str">
        <x:f>IF(COLUMN()-2&lt;=$E$3,INDEX($B$10:$B$59,RANDBETWEEN(1,$E$3)),"")</x:f>
      </x:c>
      <x:c r="AT219" s="68" t="str">
        <x:f>IF(COLUMN()-2&lt;=$E$3,INDEX($B$10:$B$59,RANDBETWEEN(1,$E$3)),"")</x:f>
      </x:c>
      <x:c r="AU219" s="68" t="str">
        <x:f>IF(COLUMN()-2&lt;=$E$3,INDEX($B$10:$B$59,RANDBETWEEN(1,$E$3)),"")</x:f>
      </x:c>
      <x:c r="AV219" s="68" t="str">
        <x:f>IF(COLUMN()-2&lt;=$E$3,INDEX($B$10:$B$59,RANDBETWEEN(1,$E$3)),"")</x:f>
      </x:c>
      <x:c r="AW219" s="68" t="str">
        <x:f>IF(COLUMN()-2&lt;=$E$3,INDEX($B$10:$B$59,RANDBETWEEN(1,$E$3)),"")</x:f>
      </x:c>
      <x:c r="AX219" s="68" t="str">
        <x:f>IF(COLUMN()-2&lt;=$E$3,INDEX($B$10:$B$59,RANDBETWEEN(1,$E$3)),"")</x:f>
      </x:c>
      <x:c r="AY219" s="68" t="str">
        <x:f>IF(COLUMN()-2&lt;=$E$3,INDEX($B$10:$B$59,RANDBETWEEN(1,$E$3)),"")</x:f>
      </x:c>
      <x:c r="AZ219" s="68" t="str">
        <x:f>IF(COLUMN()-2&lt;=$E$3,INDEX($B$10:$B$59,RANDBETWEEN(1,$E$3)),"")</x:f>
      </x:c>
      <x:c r="BA219" s="68" t="str">
        <x:f>IF($E$3=0,"",AVERAGE(C219:AZ219))</x:f>
      </x:c>
    </x:row>
    <x:row r="220">
      <x:c r="A220" t="n">
        <x:v>156</x:v>
      </x:c>
      <x:c r="C220" s="68" t="str">
        <x:f>IF(COLUMN()-2&lt;=$E$3,INDEX($B$10:$B$59,RANDBETWEEN(1,$E$3)),"")</x:f>
      </x:c>
      <x:c r="D220" s="68" t="str">
        <x:f>IF(COLUMN()-2&lt;=$E$3,INDEX($B$10:$B$59,RANDBETWEEN(1,$E$3)),"")</x:f>
      </x:c>
      <x:c r="E220" s="68" t="str">
        <x:f>IF(COLUMN()-2&lt;=$E$3,INDEX($B$10:$B$59,RANDBETWEEN(1,$E$3)),"")</x:f>
      </x:c>
      <x:c r="F220" s="68" t="str">
        <x:f>IF(COLUMN()-2&lt;=$E$3,INDEX($B$10:$B$59,RANDBETWEEN(1,$E$3)),"")</x:f>
      </x:c>
      <x:c r="G220" s="68" t="str">
        <x:f>IF(COLUMN()-2&lt;=$E$3,INDEX($B$10:$B$59,RANDBETWEEN(1,$E$3)),"")</x:f>
      </x:c>
      <x:c r="H220" s="68" t="str">
        <x:f>IF(COLUMN()-2&lt;=$E$3,INDEX($B$10:$B$59,RANDBETWEEN(1,$E$3)),"")</x:f>
      </x:c>
      <x:c r="I220" s="68" t="str">
        <x:f>IF(COLUMN()-2&lt;=$E$3,INDEX($B$10:$B$59,RANDBETWEEN(1,$E$3)),"")</x:f>
      </x:c>
      <x:c r="J220" s="68" t="str">
        <x:f>IF(COLUMN()-2&lt;=$E$3,INDEX($B$10:$B$59,RANDBETWEEN(1,$E$3)),"")</x:f>
      </x:c>
      <x:c r="K220" s="68" t="str">
        <x:f>IF(COLUMN()-2&lt;=$E$3,INDEX($B$10:$B$59,RANDBETWEEN(1,$E$3)),"")</x:f>
      </x:c>
      <x:c r="L220" s="68" t="str">
        <x:f>IF(COLUMN()-2&lt;=$E$3,INDEX($B$10:$B$59,RANDBETWEEN(1,$E$3)),"")</x:f>
      </x:c>
      <x:c r="M220" s="68" t="str">
        <x:f>IF(COLUMN()-2&lt;=$E$3,INDEX($B$10:$B$59,RANDBETWEEN(1,$E$3)),"")</x:f>
      </x:c>
      <x:c r="N220" s="68" t="str">
        <x:f>IF(COLUMN()-2&lt;=$E$3,INDEX($B$10:$B$59,RANDBETWEEN(1,$E$3)),"")</x:f>
      </x:c>
      <x:c r="O220" s="68" t="str">
        <x:f>IF(COLUMN()-2&lt;=$E$3,INDEX($B$10:$B$59,RANDBETWEEN(1,$E$3)),"")</x:f>
      </x:c>
      <x:c r="P220" s="68" t="str">
        <x:f>IF(COLUMN()-2&lt;=$E$3,INDEX($B$10:$B$59,RANDBETWEEN(1,$E$3)),"")</x:f>
      </x:c>
      <x:c r="Q220" s="68" t="str">
        <x:f>IF(COLUMN()-2&lt;=$E$3,INDEX($B$10:$B$59,RANDBETWEEN(1,$E$3)),"")</x:f>
      </x:c>
      <x:c r="R220" s="68" t="str">
        <x:f>IF(COLUMN()-2&lt;=$E$3,INDEX($B$10:$B$59,RANDBETWEEN(1,$E$3)),"")</x:f>
      </x:c>
      <x:c r="S220" s="68" t="str">
        <x:f>IF(COLUMN()-2&lt;=$E$3,INDEX($B$10:$B$59,RANDBETWEEN(1,$E$3)),"")</x:f>
      </x:c>
      <x:c r="T220" s="68" t="str">
        <x:f>IF(COLUMN()-2&lt;=$E$3,INDEX($B$10:$B$59,RANDBETWEEN(1,$E$3)),"")</x:f>
      </x:c>
      <x:c r="U220" s="68" t="str">
        <x:f>IF(COLUMN()-2&lt;=$E$3,INDEX($B$10:$B$59,RANDBETWEEN(1,$E$3)),"")</x:f>
      </x:c>
      <x:c r="V220" s="68" t="str">
        <x:f>IF(COLUMN()-2&lt;=$E$3,INDEX($B$10:$B$59,RANDBETWEEN(1,$E$3)),"")</x:f>
      </x:c>
      <x:c r="W220" s="68" t="str">
        <x:f>IF(COLUMN()-2&lt;=$E$3,INDEX($B$10:$B$59,RANDBETWEEN(1,$E$3)),"")</x:f>
      </x:c>
      <x:c r="X220" s="68" t="str">
        <x:f>IF(COLUMN()-2&lt;=$E$3,INDEX($B$10:$B$59,RANDBETWEEN(1,$E$3)),"")</x:f>
      </x:c>
      <x:c r="Y220" s="68" t="str">
        <x:f>IF(COLUMN()-2&lt;=$E$3,INDEX($B$10:$B$59,RANDBETWEEN(1,$E$3)),"")</x:f>
      </x:c>
      <x:c r="Z220" s="68" t="str">
        <x:f>IF(COLUMN()-2&lt;=$E$3,INDEX($B$10:$B$59,RANDBETWEEN(1,$E$3)),"")</x:f>
      </x:c>
      <x:c r="AA220" s="68" t="str">
        <x:f>IF(COLUMN()-2&lt;=$E$3,INDEX($B$10:$B$59,RANDBETWEEN(1,$E$3)),"")</x:f>
      </x:c>
      <x:c r="AB220" s="68" t="str">
        <x:f>IF(COLUMN()-2&lt;=$E$3,INDEX($B$10:$B$59,RANDBETWEEN(1,$E$3)),"")</x:f>
      </x:c>
      <x:c r="AC220" s="68" t="str">
        <x:f>IF(COLUMN()-2&lt;=$E$3,INDEX($B$10:$B$59,RANDBETWEEN(1,$E$3)),"")</x:f>
      </x:c>
      <x:c r="AD220" s="68" t="str">
        <x:f>IF(COLUMN()-2&lt;=$E$3,INDEX($B$10:$B$59,RANDBETWEEN(1,$E$3)),"")</x:f>
      </x:c>
      <x:c r="AE220" s="68" t="str">
        <x:f>IF(COLUMN()-2&lt;=$E$3,INDEX($B$10:$B$59,RANDBETWEEN(1,$E$3)),"")</x:f>
      </x:c>
      <x:c r="AF220" s="68" t="str">
        <x:f>IF(COLUMN()-2&lt;=$E$3,INDEX($B$10:$B$59,RANDBETWEEN(1,$E$3)),"")</x:f>
      </x:c>
      <x:c r="AG220" s="68" t="str">
        <x:f>IF(COLUMN()-2&lt;=$E$3,INDEX($B$10:$B$59,RANDBETWEEN(1,$E$3)),"")</x:f>
      </x:c>
      <x:c r="AH220" s="68" t="str">
        <x:f>IF(COLUMN()-2&lt;=$E$3,INDEX($B$10:$B$59,RANDBETWEEN(1,$E$3)),"")</x:f>
      </x:c>
      <x:c r="AI220" s="68" t="str">
        <x:f>IF(COLUMN()-2&lt;=$E$3,INDEX($B$10:$B$59,RANDBETWEEN(1,$E$3)),"")</x:f>
      </x:c>
      <x:c r="AJ220" s="68" t="str">
        <x:f>IF(COLUMN()-2&lt;=$E$3,INDEX($B$10:$B$59,RANDBETWEEN(1,$E$3)),"")</x:f>
      </x:c>
      <x:c r="AK220" s="68" t="str">
        <x:f>IF(COLUMN()-2&lt;=$E$3,INDEX($B$10:$B$59,RANDBETWEEN(1,$E$3)),"")</x:f>
      </x:c>
      <x:c r="AL220" s="68" t="str">
        <x:f>IF(COLUMN()-2&lt;=$E$3,INDEX($B$10:$B$59,RANDBETWEEN(1,$E$3)),"")</x:f>
      </x:c>
      <x:c r="AM220" s="68" t="str">
        <x:f>IF(COLUMN()-2&lt;=$E$3,INDEX($B$10:$B$59,RANDBETWEEN(1,$E$3)),"")</x:f>
      </x:c>
      <x:c r="AN220" s="68" t="str">
        <x:f>IF(COLUMN()-2&lt;=$E$3,INDEX($B$10:$B$59,RANDBETWEEN(1,$E$3)),"")</x:f>
      </x:c>
      <x:c r="AO220" s="68" t="str">
        <x:f>IF(COLUMN()-2&lt;=$E$3,INDEX($B$10:$B$59,RANDBETWEEN(1,$E$3)),"")</x:f>
      </x:c>
      <x:c r="AP220" s="68" t="str">
        <x:f>IF(COLUMN()-2&lt;=$E$3,INDEX($B$10:$B$59,RANDBETWEEN(1,$E$3)),"")</x:f>
      </x:c>
      <x:c r="AQ220" s="68" t="str">
        <x:f>IF(COLUMN()-2&lt;=$E$3,INDEX($B$10:$B$59,RANDBETWEEN(1,$E$3)),"")</x:f>
      </x:c>
      <x:c r="AR220" s="68" t="str">
        <x:f>IF(COLUMN()-2&lt;=$E$3,INDEX($B$10:$B$59,RANDBETWEEN(1,$E$3)),"")</x:f>
      </x:c>
      <x:c r="AS220" s="68" t="str">
        <x:f>IF(COLUMN()-2&lt;=$E$3,INDEX($B$10:$B$59,RANDBETWEEN(1,$E$3)),"")</x:f>
      </x:c>
      <x:c r="AT220" s="68" t="str">
        <x:f>IF(COLUMN()-2&lt;=$E$3,INDEX($B$10:$B$59,RANDBETWEEN(1,$E$3)),"")</x:f>
      </x:c>
      <x:c r="AU220" s="68" t="str">
        <x:f>IF(COLUMN()-2&lt;=$E$3,INDEX($B$10:$B$59,RANDBETWEEN(1,$E$3)),"")</x:f>
      </x:c>
      <x:c r="AV220" s="68" t="str">
        <x:f>IF(COLUMN()-2&lt;=$E$3,INDEX($B$10:$B$59,RANDBETWEEN(1,$E$3)),"")</x:f>
      </x:c>
      <x:c r="AW220" s="68" t="str">
        <x:f>IF(COLUMN()-2&lt;=$E$3,INDEX($B$10:$B$59,RANDBETWEEN(1,$E$3)),"")</x:f>
      </x:c>
      <x:c r="AX220" s="68" t="str">
        <x:f>IF(COLUMN()-2&lt;=$E$3,INDEX($B$10:$B$59,RANDBETWEEN(1,$E$3)),"")</x:f>
      </x:c>
      <x:c r="AY220" s="68" t="str">
        <x:f>IF(COLUMN()-2&lt;=$E$3,INDEX($B$10:$B$59,RANDBETWEEN(1,$E$3)),"")</x:f>
      </x:c>
      <x:c r="AZ220" s="68" t="str">
        <x:f>IF(COLUMN()-2&lt;=$E$3,INDEX($B$10:$B$59,RANDBETWEEN(1,$E$3)),"")</x:f>
      </x:c>
      <x:c r="BA220" s="68" t="str">
        <x:f>IF($E$3=0,"",AVERAGE(C220:AZ220))</x:f>
      </x:c>
    </x:row>
    <x:row r="221">
      <x:c r="A221" t="n">
        <x:v>157</x:v>
      </x:c>
      <x:c r="C221" s="68" t="str">
        <x:f>IF(COLUMN()-2&lt;=$E$3,INDEX($B$10:$B$59,RANDBETWEEN(1,$E$3)),"")</x:f>
      </x:c>
      <x:c r="D221" s="68" t="str">
        <x:f>IF(COLUMN()-2&lt;=$E$3,INDEX($B$10:$B$59,RANDBETWEEN(1,$E$3)),"")</x:f>
      </x:c>
      <x:c r="E221" s="68" t="str">
        <x:f>IF(COLUMN()-2&lt;=$E$3,INDEX($B$10:$B$59,RANDBETWEEN(1,$E$3)),"")</x:f>
      </x:c>
      <x:c r="F221" s="68" t="str">
        <x:f>IF(COLUMN()-2&lt;=$E$3,INDEX($B$10:$B$59,RANDBETWEEN(1,$E$3)),"")</x:f>
      </x:c>
      <x:c r="G221" s="68" t="str">
        <x:f>IF(COLUMN()-2&lt;=$E$3,INDEX($B$10:$B$59,RANDBETWEEN(1,$E$3)),"")</x:f>
      </x:c>
      <x:c r="H221" s="68" t="str">
        <x:f>IF(COLUMN()-2&lt;=$E$3,INDEX($B$10:$B$59,RANDBETWEEN(1,$E$3)),"")</x:f>
      </x:c>
      <x:c r="I221" s="68" t="str">
        <x:f>IF(COLUMN()-2&lt;=$E$3,INDEX($B$10:$B$59,RANDBETWEEN(1,$E$3)),"")</x:f>
      </x:c>
      <x:c r="J221" s="68" t="str">
        <x:f>IF(COLUMN()-2&lt;=$E$3,INDEX($B$10:$B$59,RANDBETWEEN(1,$E$3)),"")</x:f>
      </x:c>
      <x:c r="K221" s="68" t="str">
        <x:f>IF(COLUMN()-2&lt;=$E$3,INDEX($B$10:$B$59,RANDBETWEEN(1,$E$3)),"")</x:f>
      </x:c>
      <x:c r="L221" s="68" t="str">
        <x:f>IF(COLUMN()-2&lt;=$E$3,INDEX($B$10:$B$59,RANDBETWEEN(1,$E$3)),"")</x:f>
      </x:c>
      <x:c r="M221" s="68" t="str">
        <x:f>IF(COLUMN()-2&lt;=$E$3,INDEX($B$10:$B$59,RANDBETWEEN(1,$E$3)),"")</x:f>
      </x:c>
      <x:c r="N221" s="68" t="str">
        <x:f>IF(COLUMN()-2&lt;=$E$3,INDEX($B$10:$B$59,RANDBETWEEN(1,$E$3)),"")</x:f>
      </x:c>
      <x:c r="O221" s="68" t="str">
        <x:f>IF(COLUMN()-2&lt;=$E$3,INDEX($B$10:$B$59,RANDBETWEEN(1,$E$3)),"")</x:f>
      </x:c>
      <x:c r="P221" s="68" t="str">
        <x:f>IF(COLUMN()-2&lt;=$E$3,INDEX($B$10:$B$59,RANDBETWEEN(1,$E$3)),"")</x:f>
      </x:c>
      <x:c r="Q221" s="68" t="str">
        <x:f>IF(COLUMN()-2&lt;=$E$3,INDEX($B$10:$B$59,RANDBETWEEN(1,$E$3)),"")</x:f>
      </x:c>
      <x:c r="R221" s="68" t="str">
        <x:f>IF(COLUMN()-2&lt;=$E$3,INDEX($B$10:$B$59,RANDBETWEEN(1,$E$3)),"")</x:f>
      </x:c>
      <x:c r="S221" s="68" t="str">
        <x:f>IF(COLUMN()-2&lt;=$E$3,INDEX($B$10:$B$59,RANDBETWEEN(1,$E$3)),"")</x:f>
      </x:c>
      <x:c r="T221" s="68" t="str">
        <x:f>IF(COLUMN()-2&lt;=$E$3,INDEX($B$10:$B$59,RANDBETWEEN(1,$E$3)),"")</x:f>
      </x:c>
      <x:c r="U221" s="68" t="str">
        <x:f>IF(COLUMN()-2&lt;=$E$3,INDEX($B$10:$B$59,RANDBETWEEN(1,$E$3)),"")</x:f>
      </x:c>
      <x:c r="V221" s="68" t="str">
        <x:f>IF(COLUMN()-2&lt;=$E$3,INDEX($B$10:$B$59,RANDBETWEEN(1,$E$3)),"")</x:f>
      </x:c>
      <x:c r="W221" s="68" t="str">
        <x:f>IF(COLUMN()-2&lt;=$E$3,INDEX($B$10:$B$59,RANDBETWEEN(1,$E$3)),"")</x:f>
      </x:c>
      <x:c r="X221" s="68" t="str">
        <x:f>IF(COLUMN()-2&lt;=$E$3,INDEX($B$10:$B$59,RANDBETWEEN(1,$E$3)),"")</x:f>
      </x:c>
      <x:c r="Y221" s="68" t="str">
        <x:f>IF(COLUMN()-2&lt;=$E$3,INDEX($B$10:$B$59,RANDBETWEEN(1,$E$3)),"")</x:f>
      </x:c>
      <x:c r="Z221" s="68" t="str">
        <x:f>IF(COLUMN()-2&lt;=$E$3,INDEX($B$10:$B$59,RANDBETWEEN(1,$E$3)),"")</x:f>
      </x:c>
      <x:c r="AA221" s="68" t="str">
        <x:f>IF(COLUMN()-2&lt;=$E$3,INDEX($B$10:$B$59,RANDBETWEEN(1,$E$3)),"")</x:f>
      </x:c>
      <x:c r="AB221" s="68" t="str">
        <x:f>IF(COLUMN()-2&lt;=$E$3,INDEX($B$10:$B$59,RANDBETWEEN(1,$E$3)),"")</x:f>
      </x:c>
      <x:c r="AC221" s="68" t="str">
        <x:f>IF(COLUMN()-2&lt;=$E$3,INDEX($B$10:$B$59,RANDBETWEEN(1,$E$3)),"")</x:f>
      </x:c>
      <x:c r="AD221" s="68" t="str">
        <x:f>IF(COLUMN()-2&lt;=$E$3,INDEX($B$10:$B$59,RANDBETWEEN(1,$E$3)),"")</x:f>
      </x:c>
      <x:c r="AE221" s="68" t="str">
        <x:f>IF(COLUMN()-2&lt;=$E$3,INDEX($B$10:$B$59,RANDBETWEEN(1,$E$3)),"")</x:f>
      </x:c>
      <x:c r="AF221" s="68" t="str">
        <x:f>IF(COLUMN()-2&lt;=$E$3,INDEX($B$10:$B$59,RANDBETWEEN(1,$E$3)),"")</x:f>
      </x:c>
      <x:c r="AG221" s="68" t="str">
        <x:f>IF(COLUMN()-2&lt;=$E$3,INDEX($B$10:$B$59,RANDBETWEEN(1,$E$3)),"")</x:f>
      </x:c>
      <x:c r="AH221" s="68" t="str">
        <x:f>IF(COLUMN()-2&lt;=$E$3,INDEX($B$10:$B$59,RANDBETWEEN(1,$E$3)),"")</x:f>
      </x:c>
      <x:c r="AI221" s="68" t="str">
        <x:f>IF(COLUMN()-2&lt;=$E$3,INDEX($B$10:$B$59,RANDBETWEEN(1,$E$3)),"")</x:f>
      </x:c>
      <x:c r="AJ221" s="68" t="str">
        <x:f>IF(COLUMN()-2&lt;=$E$3,INDEX($B$10:$B$59,RANDBETWEEN(1,$E$3)),"")</x:f>
      </x:c>
      <x:c r="AK221" s="68" t="str">
        <x:f>IF(COLUMN()-2&lt;=$E$3,INDEX($B$10:$B$59,RANDBETWEEN(1,$E$3)),"")</x:f>
      </x:c>
      <x:c r="AL221" s="68" t="str">
        <x:f>IF(COLUMN()-2&lt;=$E$3,INDEX($B$10:$B$59,RANDBETWEEN(1,$E$3)),"")</x:f>
      </x:c>
      <x:c r="AM221" s="68" t="str">
        <x:f>IF(COLUMN()-2&lt;=$E$3,INDEX($B$10:$B$59,RANDBETWEEN(1,$E$3)),"")</x:f>
      </x:c>
      <x:c r="AN221" s="68" t="str">
        <x:f>IF(COLUMN()-2&lt;=$E$3,INDEX($B$10:$B$59,RANDBETWEEN(1,$E$3)),"")</x:f>
      </x:c>
      <x:c r="AO221" s="68" t="str">
        <x:f>IF(COLUMN()-2&lt;=$E$3,INDEX($B$10:$B$59,RANDBETWEEN(1,$E$3)),"")</x:f>
      </x:c>
      <x:c r="AP221" s="68" t="str">
        <x:f>IF(COLUMN()-2&lt;=$E$3,INDEX($B$10:$B$59,RANDBETWEEN(1,$E$3)),"")</x:f>
      </x:c>
      <x:c r="AQ221" s="68" t="str">
        <x:f>IF(COLUMN()-2&lt;=$E$3,INDEX($B$10:$B$59,RANDBETWEEN(1,$E$3)),"")</x:f>
      </x:c>
      <x:c r="AR221" s="68" t="str">
        <x:f>IF(COLUMN()-2&lt;=$E$3,INDEX($B$10:$B$59,RANDBETWEEN(1,$E$3)),"")</x:f>
      </x:c>
      <x:c r="AS221" s="68" t="str">
        <x:f>IF(COLUMN()-2&lt;=$E$3,INDEX($B$10:$B$59,RANDBETWEEN(1,$E$3)),"")</x:f>
      </x:c>
      <x:c r="AT221" s="68" t="str">
        <x:f>IF(COLUMN()-2&lt;=$E$3,INDEX($B$10:$B$59,RANDBETWEEN(1,$E$3)),"")</x:f>
      </x:c>
      <x:c r="AU221" s="68" t="str">
        <x:f>IF(COLUMN()-2&lt;=$E$3,INDEX($B$10:$B$59,RANDBETWEEN(1,$E$3)),"")</x:f>
      </x:c>
      <x:c r="AV221" s="68" t="str">
        <x:f>IF(COLUMN()-2&lt;=$E$3,INDEX($B$10:$B$59,RANDBETWEEN(1,$E$3)),"")</x:f>
      </x:c>
      <x:c r="AW221" s="68" t="str">
        <x:f>IF(COLUMN()-2&lt;=$E$3,INDEX($B$10:$B$59,RANDBETWEEN(1,$E$3)),"")</x:f>
      </x:c>
      <x:c r="AX221" s="68" t="str">
        <x:f>IF(COLUMN()-2&lt;=$E$3,INDEX($B$10:$B$59,RANDBETWEEN(1,$E$3)),"")</x:f>
      </x:c>
      <x:c r="AY221" s="68" t="str">
        <x:f>IF(COLUMN()-2&lt;=$E$3,INDEX($B$10:$B$59,RANDBETWEEN(1,$E$3)),"")</x:f>
      </x:c>
      <x:c r="AZ221" s="68" t="str">
        <x:f>IF(COLUMN()-2&lt;=$E$3,INDEX($B$10:$B$59,RANDBETWEEN(1,$E$3)),"")</x:f>
      </x:c>
      <x:c r="BA221" s="68" t="str">
        <x:f>IF($E$3=0,"",AVERAGE(C221:AZ221))</x:f>
      </x:c>
    </x:row>
    <x:row r="222">
      <x:c r="A222" t="n">
        <x:v>158</x:v>
      </x:c>
      <x:c r="C222" s="68" t="str">
        <x:f>IF(COLUMN()-2&lt;=$E$3,INDEX($B$10:$B$59,RANDBETWEEN(1,$E$3)),"")</x:f>
      </x:c>
      <x:c r="D222" s="68" t="str">
        <x:f>IF(COLUMN()-2&lt;=$E$3,INDEX($B$10:$B$59,RANDBETWEEN(1,$E$3)),"")</x:f>
      </x:c>
      <x:c r="E222" s="68" t="str">
        <x:f>IF(COLUMN()-2&lt;=$E$3,INDEX($B$10:$B$59,RANDBETWEEN(1,$E$3)),"")</x:f>
      </x:c>
      <x:c r="F222" s="68" t="str">
        <x:f>IF(COLUMN()-2&lt;=$E$3,INDEX($B$10:$B$59,RANDBETWEEN(1,$E$3)),"")</x:f>
      </x:c>
      <x:c r="G222" s="68" t="str">
        <x:f>IF(COLUMN()-2&lt;=$E$3,INDEX($B$10:$B$59,RANDBETWEEN(1,$E$3)),"")</x:f>
      </x:c>
      <x:c r="H222" s="68" t="str">
        <x:f>IF(COLUMN()-2&lt;=$E$3,INDEX($B$10:$B$59,RANDBETWEEN(1,$E$3)),"")</x:f>
      </x:c>
      <x:c r="I222" s="68" t="str">
        <x:f>IF(COLUMN()-2&lt;=$E$3,INDEX($B$10:$B$59,RANDBETWEEN(1,$E$3)),"")</x:f>
      </x:c>
      <x:c r="J222" s="68" t="str">
        <x:f>IF(COLUMN()-2&lt;=$E$3,INDEX($B$10:$B$59,RANDBETWEEN(1,$E$3)),"")</x:f>
      </x:c>
      <x:c r="K222" s="68" t="str">
        <x:f>IF(COLUMN()-2&lt;=$E$3,INDEX($B$10:$B$59,RANDBETWEEN(1,$E$3)),"")</x:f>
      </x:c>
      <x:c r="L222" s="68" t="str">
        <x:f>IF(COLUMN()-2&lt;=$E$3,INDEX($B$10:$B$59,RANDBETWEEN(1,$E$3)),"")</x:f>
      </x:c>
      <x:c r="M222" s="68" t="str">
        <x:f>IF(COLUMN()-2&lt;=$E$3,INDEX($B$10:$B$59,RANDBETWEEN(1,$E$3)),"")</x:f>
      </x:c>
      <x:c r="N222" s="68" t="str">
        <x:f>IF(COLUMN()-2&lt;=$E$3,INDEX($B$10:$B$59,RANDBETWEEN(1,$E$3)),"")</x:f>
      </x:c>
      <x:c r="O222" s="68" t="str">
        <x:f>IF(COLUMN()-2&lt;=$E$3,INDEX($B$10:$B$59,RANDBETWEEN(1,$E$3)),"")</x:f>
      </x:c>
      <x:c r="P222" s="68" t="str">
        <x:f>IF(COLUMN()-2&lt;=$E$3,INDEX($B$10:$B$59,RANDBETWEEN(1,$E$3)),"")</x:f>
      </x:c>
      <x:c r="Q222" s="68" t="str">
        <x:f>IF(COLUMN()-2&lt;=$E$3,INDEX($B$10:$B$59,RANDBETWEEN(1,$E$3)),"")</x:f>
      </x:c>
      <x:c r="R222" s="68" t="str">
        <x:f>IF(COLUMN()-2&lt;=$E$3,INDEX($B$10:$B$59,RANDBETWEEN(1,$E$3)),"")</x:f>
      </x:c>
      <x:c r="S222" s="68" t="str">
        <x:f>IF(COLUMN()-2&lt;=$E$3,INDEX($B$10:$B$59,RANDBETWEEN(1,$E$3)),"")</x:f>
      </x:c>
      <x:c r="T222" s="68" t="str">
        <x:f>IF(COLUMN()-2&lt;=$E$3,INDEX($B$10:$B$59,RANDBETWEEN(1,$E$3)),"")</x:f>
      </x:c>
      <x:c r="U222" s="68" t="str">
        <x:f>IF(COLUMN()-2&lt;=$E$3,INDEX($B$10:$B$59,RANDBETWEEN(1,$E$3)),"")</x:f>
      </x:c>
      <x:c r="V222" s="68" t="str">
        <x:f>IF(COLUMN()-2&lt;=$E$3,INDEX($B$10:$B$59,RANDBETWEEN(1,$E$3)),"")</x:f>
      </x:c>
      <x:c r="W222" s="68" t="str">
        <x:f>IF(COLUMN()-2&lt;=$E$3,INDEX($B$10:$B$59,RANDBETWEEN(1,$E$3)),"")</x:f>
      </x:c>
      <x:c r="X222" s="68" t="str">
        <x:f>IF(COLUMN()-2&lt;=$E$3,INDEX($B$10:$B$59,RANDBETWEEN(1,$E$3)),"")</x:f>
      </x:c>
      <x:c r="Y222" s="68" t="str">
        <x:f>IF(COLUMN()-2&lt;=$E$3,INDEX($B$10:$B$59,RANDBETWEEN(1,$E$3)),"")</x:f>
      </x:c>
      <x:c r="Z222" s="68" t="str">
        <x:f>IF(COLUMN()-2&lt;=$E$3,INDEX($B$10:$B$59,RANDBETWEEN(1,$E$3)),"")</x:f>
      </x:c>
      <x:c r="AA222" s="68" t="str">
        <x:f>IF(COLUMN()-2&lt;=$E$3,INDEX($B$10:$B$59,RANDBETWEEN(1,$E$3)),"")</x:f>
      </x:c>
      <x:c r="AB222" s="68" t="str">
        <x:f>IF(COLUMN()-2&lt;=$E$3,INDEX($B$10:$B$59,RANDBETWEEN(1,$E$3)),"")</x:f>
      </x:c>
      <x:c r="AC222" s="68" t="str">
        <x:f>IF(COLUMN()-2&lt;=$E$3,INDEX($B$10:$B$59,RANDBETWEEN(1,$E$3)),"")</x:f>
      </x:c>
      <x:c r="AD222" s="68" t="str">
        <x:f>IF(COLUMN()-2&lt;=$E$3,INDEX($B$10:$B$59,RANDBETWEEN(1,$E$3)),"")</x:f>
      </x:c>
      <x:c r="AE222" s="68" t="str">
        <x:f>IF(COLUMN()-2&lt;=$E$3,INDEX($B$10:$B$59,RANDBETWEEN(1,$E$3)),"")</x:f>
      </x:c>
      <x:c r="AF222" s="68" t="str">
        <x:f>IF(COLUMN()-2&lt;=$E$3,INDEX($B$10:$B$59,RANDBETWEEN(1,$E$3)),"")</x:f>
      </x:c>
      <x:c r="AG222" s="68" t="str">
        <x:f>IF(COLUMN()-2&lt;=$E$3,INDEX($B$10:$B$59,RANDBETWEEN(1,$E$3)),"")</x:f>
      </x:c>
      <x:c r="AH222" s="68" t="str">
        <x:f>IF(COLUMN()-2&lt;=$E$3,INDEX($B$10:$B$59,RANDBETWEEN(1,$E$3)),"")</x:f>
      </x:c>
      <x:c r="AI222" s="68" t="str">
        <x:f>IF(COLUMN()-2&lt;=$E$3,INDEX($B$10:$B$59,RANDBETWEEN(1,$E$3)),"")</x:f>
      </x:c>
      <x:c r="AJ222" s="68" t="str">
        <x:f>IF(COLUMN()-2&lt;=$E$3,INDEX($B$10:$B$59,RANDBETWEEN(1,$E$3)),"")</x:f>
      </x:c>
      <x:c r="AK222" s="68" t="str">
        <x:f>IF(COLUMN()-2&lt;=$E$3,INDEX($B$10:$B$59,RANDBETWEEN(1,$E$3)),"")</x:f>
      </x:c>
      <x:c r="AL222" s="68" t="str">
        <x:f>IF(COLUMN()-2&lt;=$E$3,INDEX($B$10:$B$59,RANDBETWEEN(1,$E$3)),"")</x:f>
      </x:c>
      <x:c r="AM222" s="68" t="str">
        <x:f>IF(COLUMN()-2&lt;=$E$3,INDEX($B$10:$B$59,RANDBETWEEN(1,$E$3)),"")</x:f>
      </x:c>
      <x:c r="AN222" s="68" t="str">
        <x:f>IF(COLUMN()-2&lt;=$E$3,INDEX($B$10:$B$59,RANDBETWEEN(1,$E$3)),"")</x:f>
      </x:c>
      <x:c r="AO222" s="68" t="str">
        <x:f>IF(COLUMN()-2&lt;=$E$3,INDEX($B$10:$B$59,RANDBETWEEN(1,$E$3)),"")</x:f>
      </x:c>
      <x:c r="AP222" s="68" t="str">
        <x:f>IF(COLUMN()-2&lt;=$E$3,INDEX($B$10:$B$59,RANDBETWEEN(1,$E$3)),"")</x:f>
      </x:c>
      <x:c r="AQ222" s="68" t="str">
        <x:f>IF(COLUMN()-2&lt;=$E$3,INDEX($B$10:$B$59,RANDBETWEEN(1,$E$3)),"")</x:f>
      </x:c>
      <x:c r="AR222" s="68" t="str">
        <x:f>IF(COLUMN()-2&lt;=$E$3,INDEX($B$10:$B$59,RANDBETWEEN(1,$E$3)),"")</x:f>
      </x:c>
      <x:c r="AS222" s="68" t="str">
        <x:f>IF(COLUMN()-2&lt;=$E$3,INDEX($B$10:$B$59,RANDBETWEEN(1,$E$3)),"")</x:f>
      </x:c>
      <x:c r="AT222" s="68" t="str">
        <x:f>IF(COLUMN()-2&lt;=$E$3,INDEX($B$10:$B$59,RANDBETWEEN(1,$E$3)),"")</x:f>
      </x:c>
      <x:c r="AU222" s="68" t="str">
        <x:f>IF(COLUMN()-2&lt;=$E$3,INDEX($B$10:$B$59,RANDBETWEEN(1,$E$3)),"")</x:f>
      </x:c>
      <x:c r="AV222" s="68" t="str">
        <x:f>IF(COLUMN()-2&lt;=$E$3,INDEX($B$10:$B$59,RANDBETWEEN(1,$E$3)),"")</x:f>
      </x:c>
      <x:c r="AW222" s="68" t="str">
        <x:f>IF(COLUMN()-2&lt;=$E$3,INDEX($B$10:$B$59,RANDBETWEEN(1,$E$3)),"")</x:f>
      </x:c>
      <x:c r="AX222" s="68" t="str">
        <x:f>IF(COLUMN()-2&lt;=$E$3,INDEX($B$10:$B$59,RANDBETWEEN(1,$E$3)),"")</x:f>
      </x:c>
      <x:c r="AY222" s="68" t="str">
        <x:f>IF(COLUMN()-2&lt;=$E$3,INDEX($B$10:$B$59,RANDBETWEEN(1,$E$3)),"")</x:f>
      </x:c>
      <x:c r="AZ222" s="68" t="str">
        <x:f>IF(COLUMN()-2&lt;=$E$3,INDEX($B$10:$B$59,RANDBETWEEN(1,$E$3)),"")</x:f>
      </x:c>
      <x:c r="BA222" s="68" t="str">
        <x:f>IF($E$3=0,"",AVERAGE(C222:AZ222))</x:f>
      </x:c>
    </x:row>
    <x:row r="223">
      <x:c r="A223" t="n">
        <x:v>159</x:v>
      </x:c>
      <x:c r="C223" s="68" t="str">
        <x:f>IF(COLUMN()-2&lt;=$E$3,INDEX($B$10:$B$59,RANDBETWEEN(1,$E$3)),"")</x:f>
      </x:c>
      <x:c r="D223" s="68" t="str">
        <x:f>IF(COLUMN()-2&lt;=$E$3,INDEX($B$10:$B$59,RANDBETWEEN(1,$E$3)),"")</x:f>
      </x:c>
      <x:c r="E223" s="68" t="str">
        <x:f>IF(COLUMN()-2&lt;=$E$3,INDEX($B$10:$B$59,RANDBETWEEN(1,$E$3)),"")</x:f>
      </x:c>
      <x:c r="F223" s="68" t="str">
        <x:f>IF(COLUMN()-2&lt;=$E$3,INDEX($B$10:$B$59,RANDBETWEEN(1,$E$3)),"")</x:f>
      </x:c>
      <x:c r="G223" s="68" t="str">
        <x:f>IF(COLUMN()-2&lt;=$E$3,INDEX($B$10:$B$59,RANDBETWEEN(1,$E$3)),"")</x:f>
      </x:c>
      <x:c r="H223" s="68" t="str">
        <x:f>IF(COLUMN()-2&lt;=$E$3,INDEX($B$10:$B$59,RANDBETWEEN(1,$E$3)),"")</x:f>
      </x:c>
      <x:c r="I223" s="68" t="str">
        <x:f>IF(COLUMN()-2&lt;=$E$3,INDEX($B$10:$B$59,RANDBETWEEN(1,$E$3)),"")</x:f>
      </x:c>
      <x:c r="J223" s="68" t="str">
        <x:f>IF(COLUMN()-2&lt;=$E$3,INDEX($B$10:$B$59,RANDBETWEEN(1,$E$3)),"")</x:f>
      </x:c>
      <x:c r="K223" s="68" t="str">
        <x:f>IF(COLUMN()-2&lt;=$E$3,INDEX($B$10:$B$59,RANDBETWEEN(1,$E$3)),"")</x:f>
      </x:c>
      <x:c r="L223" s="68" t="str">
        <x:f>IF(COLUMN()-2&lt;=$E$3,INDEX($B$10:$B$59,RANDBETWEEN(1,$E$3)),"")</x:f>
      </x:c>
      <x:c r="M223" s="68" t="str">
        <x:f>IF(COLUMN()-2&lt;=$E$3,INDEX($B$10:$B$59,RANDBETWEEN(1,$E$3)),"")</x:f>
      </x:c>
      <x:c r="N223" s="68" t="str">
        <x:f>IF(COLUMN()-2&lt;=$E$3,INDEX($B$10:$B$59,RANDBETWEEN(1,$E$3)),"")</x:f>
      </x:c>
      <x:c r="O223" s="68" t="str">
        <x:f>IF(COLUMN()-2&lt;=$E$3,INDEX($B$10:$B$59,RANDBETWEEN(1,$E$3)),"")</x:f>
      </x:c>
      <x:c r="P223" s="68" t="str">
        <x:f>IF(COLUMN()-2&lt;=$E$3,INDEX($B$10:$B$59,RANDBETWEEN(1,$E$3)),"")</x:f>
      </x:c>
      <x:c r="Q223" s="68" t="str">
        <x:f>IF(COLUMN()-2&lt;=$E$3,INDEX($B$10:$B$59,RANDBETWEEN(1,$E$3)),"")</x:f>
      </x:c>
      <x:c r="R223" s="68" t="str">
        <x:f>IF(COLUMN()-2&lt;=$E$3,INDEX($B$10:$B$59,RANDBETWEEN(1,$E$3)),"")</x:f>
      </x:c>
      <x:c r="S223" s="68" t="str">
        <x:f>IF(COLUMN()-2&lt;=$E$3,INDEX($B$10:$B$59,RANDBETWEEN(1,$E$3)),"")</x:f>
      </x:c>
      <x:c r="T223" s="68" t="str">
        <x:f>IF(COLUMN()-2&lt;=$E$3,INDEX($B$10:$B$59,RANDBETWEEN(1,$E$3)),"")</x:f>
      </x:c>
      <x:c r="U223" s="68" t="str">
        <x:f>IF(COLUMN()-2&lt;=$E$3,INDEX($B$10:$B$59,RANDBETWEEN(1,$E$3)),"")</x:f>
      </x:c>
      <x:c r="V223" s="68" t="str">
        <x:f>IF(COLUMN()-2&lt;=$E$3,INDEX($B$10:$B$59,RANDBETWEEN(1,$E$3)),"")</x:f>
      </x:c>
      <x:c r="W223" s="68" t="str">
        <x:f>IF(COLUMN()-2&lt;=$E$3,INDEX($B$10:$B$59,RANDBETWEEN(1,$E$3)),"")</x:f>
      </x:c>
      <x:c r="X223" s="68" t="str">
        <x:f>IF(COLUMN()-2&lt;=$E$3,INDEX($B$10:$B$59,RANDBETWEEN(1,$E$3)),"")</x:f>
      </x:c>
      <x:c r="Y223" s="68" t="str">
        <x:f>IF(COLUMN()-2&lt;=$E$3,INDEX($B$10:$B$59,RANDBETWEEN(1,$E$3)),"")</x:f>
      </x:c>
      <x:c r="Z223" s="68" t="str">
        <x:f>IF(COLUMN()-2&lt;=$E$3,INDEX($B$10:$B$59,RANDBETWEEN(1,$E$3)),"")</x:f>
      </x:c>
      <x:c r="AA223" s="68" t="str">
        <x:f>IF(COLUMN()-2&lt;=$E$3,INDEX($B$10:$B$59,RANDBETWEEN(1,$E$3)),"")</x:f>
      </x:c>
      <x:c r="AB223" s="68" t="str">
        <x:f>IF(COLUMN()-2&lt;=$E$3,INDEX($B$10:$B$59,RANDBETWEEN(1,$E$3)),"")</x:f>
      </x:c>
      <x:c r="AC223" s="68" t="str">
        <x:f>IF(COLUMN()-2&lt;=$E$3,INDEX($B$10:$B$59,RANDBETWEEN(1,$E$3)),"")</x:f>
      </x:c>
      <x:c r="AD223" s="68" t="str">
        <x:f>IF(COLUMN()-2&lt;=$E$3,INDEX($B$10:$B$59,RANDBETWEEN(1,$E$3)),"")</x:f>
      </x:c>
      <x:c r="AE223" s="68" t="str">
        <x:f>IF(COLUMN()-2&lt;=$E$3,INDEX($B$10:$B$59,RANDBETWEEN(1,$E$3)),"")</x:f>
      </x:c>
      <x:c r="AF223" s="68" t="str">
        <x:f>IF(COLUMN()-2&lt;=$E$3,INDEX($B$10:$B$59,RANDBETWEEN(1,$E$3)),"")</x:f>
      </x:c>
      <x:c r="AG223" s="68" t="str">
        <x:f>IF(COLUMN()-2&lt;=$E$3,INDEX($B$10:$B$59,RANDBETWEEN(1,$E$3)),"")</x:f>
      </x:c>
      <x:c r="AH223" s="68" t="str">
        <x:f>IF(COLUMN()-2&lt;=$E$3,INDEX($B$10:$B$59,RANDBETWEEN(1,$E$3)),"")</x:f>
      </x:c>
      <x:c r="AI223" s="68" t="str">
        <x:f>IF(COLUMN()-2&lt;=$E$3,INDEX($B$10:$B$59,RANDBETWEEN(1,$E$3)),"")</x:f>
      </x:c>
      <x:c r="AJ223" s="68" t="str">
        <x:f>IF(COLUMN()-2&lt;=$E$3,INDEX($B$10:$B$59,RANDBETWEEN(1,$E$3)),"")</x:f>
      </x:c>
      <x:c r="AK223" s="68" t="str">
        <x:f>IF(COLUMN()-2&lt;=$E$3,INDEX($B$10:$B$59,RANDBETWEEN(1,$E$3)),"")</x:f>
      </x:c>
      <x:c r="AL223" s="68" t="str">
        <x:f>IF(COLUMN()-2&lt;=$E$3,INDEX($B$10:$B$59,RANDBETWEEN(1,$E$3)),"")</x:f>
      </x:c>
      <x:c r="AM223" s="68" t="str">
        <x:f>IF(COLUMN()-2&lt;=$E$3,INDEX($B$10:$B$59,RANDBETWEEN(1,$E$3)),"")</x:f>
      </x:c>
      <x:c r="AN223" s="68" t="str">
        <x:f>IF(COLUMN()-2&lt;=$E$3,INDEX($B$10:$B$59,RANDBETWEEN(1,$E$3)),"")</x:f>
      </x:c>
      <x:c r="AO223" s="68" t="str">
        <x:f>IF(COLUMN()-2&lt;=$E$3,INDEX($B$10:$B$59,RANDBETWEEN(1,$E$3)),"")</x:f>
      </x:c>
      <x:c r="AP223" s="68" t="str">
        <x:f>IF(COLUMN()-2&lt;=$E$3,INDEX($B$10:$B$59,RANDBETWEEN(1,$E$3)),"")</x:f>
      </x:c>
      <x:c r="AQ223" s="68" t="str">
        <x:f>IF(COLUMN()-2&lt;=$E$3,INDEX($B$10:$B$59,RANDBETWEEN(1,$E$3)),"")</x:f>
      </x:c>
      <x:c r="AR223" s="68" t="str">
        <x:f>IF(COLUMN()-2&lt;=$E$3,INDEX($B$10:$B$59,RANDBETWEEN(1,$E$3)),"")</x:f>
      </x:c>
      <x:c r="AS223" s="68" t="str">
        <x:f>IF(COLUMN()-2&lt;=$E$3,INDEX($B$10:$B$59,RANDBETWEEN(1,$E$3)),"")</x:f>
      </x:c>
      <x:c r="AT223" s="68" t="str">
        <x:f>IF(COLUMN()-2&lt;=$E$3,INDEX($B$10:$B$59,RANDBETWEEN(1,$E$3)),"")</x:f>
      </x:c>
      <x:c r="AU223" s="68" t="str">
        <x:f>IF(COLUMN()-2&lt;=$E$3,INDEX($B$10:$B$59,RANDBETWEEN(1,$E$3)),"")</x:f>
      </x:c>
      <x:c r="AV223" s="68" t="str">
        <x:f>IF(COLUMN()-2&lt;=$E$3,INDEX($B$10:$B$59,RANDBETWEEN(1,$E$3)),"")</x:f>
      </x:c>
      <x:c r="AW223" s="68" t="str">
        <x:f>IF(COLUMN()-2&lt;=$E$3,INDEX($B$10:$B$59,RANDBETWEEN(1,$E$3)),"")</x:f>
      </x:c>
      <x:c r="AX223" s="68" t="str">
        <x:f>IF(COLUMN()-2&lt;=$E$3,INDEX($B$10:$B$59,RANDBETWEEN(1,$E$3)),"")</x:f>
      </x:c>
      <x:c r="AY223" s="68" t="str">
        <x:f>IF(COLUMN()-2&lt;=$E$3,INDEX($B$10:$B$59,RANDBETWEEN(1,$E$3)),"")</x:f>
      </x:c>
      <x:c r="AZ223" s="68" t="str">
        <x:f>IF(COLUMN()-2&lt;=$E$3,INDEX($B$10:$B$59,RANDBETWEEN(1,$E$3)),"")</x:f>
      </x:c>
      <x:c r="BA223" s="68" t="str">
        <x:f>IF($E$3=0,"",AVERAGE(C223:AZ223))</x:f>
      </x:c>
    </x:row>
    <x:row r="224">
      <x:c r="A224" t="n">
        <x:v>160</x:v>
      </x:c>
      <x:c r="C224" s="68" t="str">
        <x:f>IF(COLUMN()-2&lt;=$E$3,INDEX($B$10:$B$59,RANDBETWEEN(1,$E$3)),"")</x:f>
      </x:c>
      <x:c r="D224" s="68" t="str">
        <x:f>IF(COLUMN()-2&lt;=$E$3,INDEX($B$10:$B$59,RANDBETWEEN(1,$E$3)),"")</x:f>
      </x:c>
      <x:c r="E224" s="68" t="str">
        <x:f>IF(COLUMN()-2&lt;=$E$3,INDEX($B$10:$B$59,RANDBETWEEN(1,$E$3)),"")</x:f>
      </x:c>
      <x:c r="F224" s="68" t="str">
        <x:f>IF(COLUMN()-2&lt;=$E$3,INDEX($B$10:$B$59,RANDBETWEEN(1,$E$3)),"")</x:f>
      </x:c>
      <x:c r="G224" s="68" t="str">
        <x:f>IF(COLUMN()-2&lt;=$E$3,INDEX($B$10:$B$59,RANDBETWEEN(1,$E$3)),"")</x:f>
      </x:c>
      <x:c r="H224" s="68" t="str">
        <x:f>IF(COLUMN()-2&lt;=$E$3,INDEX($B$10:$B$59,RANDBETWEEN(1,$E$3)),"")</x:f>
      </x:c>
      <x:c r="I224" s="68" t="str">
        <x:f>IF(COLUMN()-2&lt;=$E$3,INDEX($B$10:$B$59,RANDBETWEEN(1,$E$3)),"")</x:f>
      </x:c>
      <x:c r="J224" s="68" t="str">
        <x:f>IF(COLUMN()-2&lt;=$E$3,INDEX($B$10:$B$59,RANDBETWEEN(1,$E$3)),"")</x:f>
      </x:c>
      <x:c r="K224" s="68" t="str">
        <x:f>IF(COLUMN()-2&lt;=$E$3,INDEX($B$10:$B$59,RANDBETWEEN(1,$E$3)),"")</x:f>
      </x:c>
      <x:c r="L224" s="68" t="str">
        <x:f>IF(COLUMN()-2&lt;=$E$3,INDEX($B$10:$B$59,RANDBETWEEN(1,$E$3)),"")</x:f>
      </x:c>
      <x:c r="M224" s="68" t="str">
        <x:f>IF(COLUMN()-2&lt;=$E$3,INDEX($B$10:$B$59,RANDBETWEEN(1,$E$3)),"")</x:f>
      </x:c>
      <x:c r="N224" s="68" t="str">
        <x:f>IF(COLUMN()-2&lt;=$E$3,INDEX($B$10:$B$59,RANDBETWEEN(1,$E$3)),"")</x:f>
      </x:c>
      <x:c r="O224" s="68" t="str">
        <x:f>IF(COLUMN()-2&lt;=$E$3,INDEX($B$10:$B$59,RANDBETWEEN(1,$E$3)),"")</x:f>
      </x:c>
      <x:c r="P224" s="68" t="str">
        <x:f>IF(COLUMN()-2&lt;=$E$3,INDEX($B$10:$B$59,RANDBETWEEN(1,$E$3)),"")</x:f>
      </x:c>
      <x:c r="Q224" s="68" t="str">
        <x:f>IF(COLUMN()-2&lt;=$E$3,INDEX($B$10:$B$59,RANDBETWEEN(1,$E$3)),"")</x:f>
      </x:c>
      <x:c r="R224" s="68" t="str">
        <x:f>IF(COLUMN()-2&lt;=$E$3,INDEX($B$10:$B$59,RANDBETWEEN(1,$E$3)),"")</x:f>
      </x:c>
      <x:c r="S224" s="68" t="str">
        <x:f>IF(COLUMN()-2&lt;=$E$3,INDEX($B$10:$B$59,RANDBETWEEN(1,$E$3)),"")</x:f>
      </x:c>
      <x:c r="T224" s="68" t="str">
        <x:f>IF(COLUMN()-2&lt;=$E$3,INDEX($B$10:$B$59,RANDBETWEEN(1,$E$3)),"")</x:f>
      </x:c>
      <x:c r="U224" s="68" t="str">
        <x:f>IF(COLUMN()-2&lt;=$E$3,INDEX($B$10:$B$59,RANDBETWEEN(1,$E$3)),"")</x:f>
      </x:c>
      <x:c r="V224" s="68" t="str">
        <x:f>IF(COLUMN()-2&lt;=$E$3,INDEX($B$10:$B$59,RANDBETWEEN(1,$E$3)),"")</x:f>
      </x:c>
      <x:c r="W224" s="68" t="str">
        <x:f>IF(COLUMN()-2&lt;=$E$3,INDEX($B$10:$B$59,RANDBETWEEN(1,$E$3)),"")</x:f>
      </x:c>
      <x:c r="X224" s="68" t="str">
        <x:f>IF(COLUMN()-2&lt;=$E$3,INDEX($B$10:$B$59,RANDBETWEEN(1,$E$3)),"")</x:f>
      </x:c>
      <x:c r="Y224" s="68" t="str">
        <x:f>IF(COLUMN()-2&lt;=$E$3,INDEX($B$10:$B$59,RANDBETWEEN(1,$E$3)),"")</x:f>
      </x:c>
      <x:c r="Z224" s="68" t="str">
        <x:f>IF(COLUMN()-2&lt;=$E$3,INDEX($B$10:$B$59,RANDBETWEEN(1,$E$3)),"")</x:f>
      </x:c>
      <x:c r="AA224" s="68" t="str">
        <x:f>IF(COLUMN()-2&lt;=$E$3,INDEX($B$10:$B$59,RANDBETWEEN(1,$E$3)),"")</x:f>
      </x:c>
      <x:c r="AB224" s="68" t="str">
        <x:f>IF(COLUMN()-2&lt;=$E$3,INDEX($B$10:$B$59,RANDBETWEEN(1,$E$3)),"")</x:f>
      </x:c>
      <x:c r="AC224" s="68" t="str">
        <x:f>IF(COLUMN()-2&lt;=$E$3,INDEX($B$10:$B$59,RANDBETWEEN(1,$E$3)),"")</x:f>
      </x:c>
      <x:c r="AD224" s="68" t="str">
        <x:f>IF(COLUMN()-2&lt;=$E$3,INDEX($B$10:$B$59,RANDBETWEEN(1,$E$3)),"")</x:f>
      </x:c>
      <x:c r="AE224" s="68" t="str">
        <x:f>IF(COLUMN()-2&lt;=$E$3,INDEX($B$10:$B$59,RANDBETWEEN(1,$E$3)),"")</x:f>
      </x:c>
      <x:c r="AF224" s="68" t="str">
        <x:f>IF(COLUMN()-2&lt;=$E$3,INDEX($B$10:$B$59,RANDBETWEEN(1,$E$3)),"")</x:f>
      </x:c>
      <x:c r="AG224" s="68" t="str">
        <x:f>IF(COLUMN()-2&lt;=$E$3,INDEX($B$10:$B$59,RANDBETWEEN(1,$E$3)),"")</x:f>
      </x:c>
      <x:c r="AH224" s="68" t="str">
        <x:f>IF(COLUMN()-2&lt;=$E$3,INDEX($B$10:$B$59,RANDBETWEEN(1,$E$3)),"")</x:f>
      </x:c>
      <x:c r="AI224" s="68" t="str">
        <x:f>IF(COLUMN()-2&lt;=$E$3,INDEX($B$10:$B$59,RANDBETWEEN(1,$E$3)),"")</x:f>
      </x:c>
      <x:c r="AJ224" s="68" t="str">
        <x:f>IF(COLUMN()-2&lt;=$E$3,INDEX($B$10:$B$59,RANDBETWEEN(1,$E$3)),"")</x:f>
      </x:c>
      <x:c r="AK224" s="68" t="str">
        <x:f>IF(COLUMN()-2&lt;=$E$3,INDEX($B$10:$B$59,RANDBETWEEN(1,$E$3)),"")</x:f>
      </x:c>
      <x:c r="AL224" s="68" t="str">
        <x:f>IF(COLUMN()-2&lt;=$E$3,INDEX($B$10:$B$59,RANDBETWEEN(1,$E$3)),"")</x:f>
      </x:c>
      <x:c r="AM224" s="68" t="str">
        <x:f>IF(COLUMN()-2&lt;=$E$3,INDEX($B$10:$B$59,RANDBETWEEN(1,$E$3)),"")</x:f>
      </x:c>
      <x:c r="AN224" s="68" t="str">
        <x:f>IF(COLUMN()-2&lt;=$E$3,INDEX($B$10:$B$59,RANDBETWEEN(1,$E$3)),"")</x:f>
      </x:c>
      <x:c r="AO224" s="68" t="str">
        <x:f>IF(COLUMN()-2&lt;=$E$3,INDEX($B$10:$B$59,RANDBETWEEN(1,$E$3)),"")</x:f>
      </x:c>
      <x:c r="AP224" s="68" t="str">
        <x:f>IF(COLUMN()-2&lt;=$E$3,INDEX($B$10:$B$59,RANDBETWEEN(1,$E$3)),"")</x:f>
      </x:c>
      <x:c r="AQ224" s="68" t="str">
        <x:f>IF(COLUMN()-2&lt;=$E$3,INDEX($B$10:$B$59,RANDBETWEEN(1,$E$3)),"")</x:f>
      </x:c>
      <x:c r="AR224" s="68" t="str">
        <x:f>IF(COLUMN()-2&lt;=$E$3,INDEX($B$10:$B$59,RANDBETWEEN(1,$E$3)),"")</x:f>
      </x:c>
      <x:c r="AS224" s="68" t="str">
        <x:f>IF(COLUMN()-2&lt;=$E$3,INDEX($B$10:$B$59,RANDBETWEEN(1,$E$3)),"")</x:f>
      </x:c>
      <x:c r="AT224" s="68" t="str">
        <x:f>IF(COLUMN()-2&lt;=$E$3,INDEX($B$10:$B$59,RANDBETWEEN(1,$E$3)),"")</x:f>
      </x:c>
      <x:c r="AU224" s="68" t="str">
        <x:f>IF(COLUMN()-2&lt;=$E$3,INDEX($B$10:$B$59,RANDBETWEEN(1,$E$3)),"")</x:f>
      </x:c>
      <x:c r="AV224" s="68" t="str">
        <x:f>IF(COLUMN()-2&lt;=$E$3,INDEX($B$10:$B$59,RANDBETWEEN(1,$E$3)),"")</x:f>
      </x:c>
      <x:c r="AW224" s="68" t="str">
        <x:f>IF(COLUMN()-2&lt;=$E$3,INDEX($B$10:$B$59,RANDBETWEEN(1,$E$3)),"")</x:f>
      </x:c>
      <x:c r="AX224" s="68" t="str">
        <x:f>IF(COLUMN()-2&lt;=$E$3,INDEX($B$10:$B$59,RANDBETWEEN(1,$E$3)),"")</x:f>
      </x:c>
      <x:c r="AY224" s="68" t="str">
        <x:f>IF(COLUMN()-2&lt;=$E$3,INDEX($B$10:$B$59,RANDBETWEEN(1,$E$3)),"")</x:f>
      </x:c>
      <x:c r="AZ224" s="68" t="str">
        <x:f>IF(COLUMN()-2&lt;=$E$3,INDEX($B$10:$B$59,RANDBETWEEN(1,$E$3)),"")</x:f>
      </x:c>
      <x:c r="BA224" s="68" t="str">
        <x:f>IF($E$3=0,"",AVERAGE(C224:AZ224))</x:f>
      </x:c>
    </x:row>
    <x:row r="225">
      <x:c r="A225" t="n">
        <x:v>161</x:v>
      </x:c>
      <x:c r="C225" s="68" t="str">
        <x:f>IF(COLUMN()-2&lt;=$E$3,INDEX($B$10:$B$59,RANDBETWEEN(1,$E$3)),"")</x:f>
      </x:c>
      <x:c r="D225" s="68" t="str">
        <x:f>IF(COLUMN()-2&lt;=$E$3,INDEX($B$10:$B$59,RANDBETWEEN(1,$E$3)),"")</x:f>
      </x:c>
      <x:c r="E225" s="68" t="str">
        <x:f>IF(COLUMN()-2&lt;=$E$3,INDEX($B$10:$B$59,RANDBETWEEN(1,$E$3)),"")</x:f>
      </x:c>
      <x:c r="F225" s="68" t="str">
        <x:f>IF(COLUMN()-2&lt;=$E$3,INDEX($B$10:$B$59,RANDBETWEEN(1,$E$3)),"")</x:f>
      </x:c>
      <x:c r="G225" s="68" t="str">
        <x:f>IF(COLUMN()-2&lt;=$E$3,INDEX($B$10:$B$59,RANDBETWEEN(1,$E$3)),"")</x:f>
      </x:c>
      <x:c r="H225" s="68" t="str">
        <x:f>IF(COLUMN()-2&lt;=$E$3,INDEX($B$10:$B$59,RANDBETWEEN(1,$E$3)),"")</x:f>
      </x:c>
      <x:c r="I225" s="68" t="str">
        <x:f>IF(COLUMN()-2&lt;=$E$3,INDEX($B$10:$B$59,RANDBETWEEN(1,$E$3)),"")</x:f>
      </x:c>
      <x:c r="J225" s="68" t="str">
        <x:f>IF(COLUMN()-2&lt;=$E$3,INDEX($B$10:$B$59,RANDBETWEEN(1,$E$3)),"")</x:f>
      </x:c>
      <x:c r="K225" s="68" t="str">
        <x:f>IF(COLUMN()-2&lt;=$E$3,INDEX($B$10:$B$59,RANDBETWEEN(1,$E$3)),"")</x:f>
      </x:c>
      <x:c r="L225" s="68" t="str">
        <x:f>IF(COLUMN()-2&lt;=$E$3,INDEX($B$10:$B$59,RANDBETWEEN(1,$E$3)),"")</x:f>
      </x:c>
      <x:c r="M225" s="68" t="str">
        <x:f>IF(COLUMN()-2&lt;=$E$3,INDEX($B$10:$B$59,RANDBETWEEN(1,$E$3)),"")</x:f>
      </x:c>
      <x:c r="N225" s="68" t="str">
        <x:f>IF(COLUMN()-2&lt;=$E$3,INDEX($B$10:$B$59,RANDBETWEEN(1,$E$3)),"")</x:f>
      </x:c>
      <x:c r="O225" s="68" t="str">
        <x:f>IF(COLUMN()-2&lt;=$E$3,INDEX($B$10:$B$59,RANDBETWEEN(1,$E$3)),"")</x:f>
      </x:c>
      <x:c r="P225" s="68" t="str">
        <x:f>IF(COLUMN()-2&lt;=$E$3,INDEX($B$10:$B$59,RANDBETWEEN(1,$E$3)),"")</x:f>
      </x:c>
      <x:c r="Q225" s="68" t="str">
        <x:f>IF(COLUMN()-2&lt;=$E$3,INDEX($B$10:$B$59,RANDBETWEEN(1,$E$3)),"")</x:f>
      </x:c>
      <x:c r="R225" s="68" t="str">
        <x:f>IF(COLUMN()-2&lt;=$E$3,INDEX($B$10:$B$59,RANDBETWEEN(1,$E$3)),"")</x:f>
      </x:c>
      <x:c r="S225" s="68" t="str">
        <x:f>IF(COLUMN()-2&lt;=$E$3,INDEX($B$10:$B$59,RANDBETWEEN(1,$E$3)),"")</x:f>
      </x:c>
      <x:c r="T225" s="68" t="str">
        <x:f>IF(COLUMN()-2&lt;=$E$3,INDEX($B$10:$B$59,RANDBETWEEN(1,$E$3)),"")</x:f>
      </x:c>
      <x:c r="U225" s="68" t="str">
        <x:f>IF(COLUMN()-2&lt;=$E$3,INDEX($B$10:$B$59,RANDBETWEEN(1,$E$3)),"")</x:f>
      </x:c>
      <x:c r="V225" s="68" t="str">
        <x:f>IF(COLUMN()-2&lt;=$E$3,INDEX($B$10:$B$59,RANDBETWEEN(1,$E$3)),"")</x:f>
      </x:c>
      <x:c r="W225" s="68" t="str">
        <x:f>IF(COLUMN()-2&lt;=$E$3,INDEX($B$10:$B$59,RANDBETWEEN(1,$E$3)),"")</x:f>
      </x:c>
      <x:c r="X225" s="68" t="str">
        <x:f>IF(COLUMN()-2&lt;=$E$3,INDEX($B$10:$B$59,RANDBETWEEN(1,$E$3)),"")</x:f>
      </x:c>
      <x:c r="Y225" s="68" t="str">
        <x:f>IF(COLUMN()-2&lt;=$E$3,INDEX($B$10:$B$59,RANDBETWEEN(1,$E$3)),"")</x:f>
      </x:c>
      <x:c r="Z225" s="68" t="str">
        <x:f>IF(COLUMN()-2&lt;=$E$3,INDEX($B$10:$B$59,RANDBETWEEN(1,$E$3)),"")</x:f>
      </x:c>
      <x:c r="AA225" s="68" t="str">
        <x:f>IF(COLUMN()-2&lt;=$E$3,INDEX($B$10:$B$59,RANDBETWEEN(1,$E$3)),"")</x:f>
      </x:c>
      <x:c r="AB225" s="68" t="str">
        <x:f>IF(COLUMN()-2&lt;=$E$3,INDEX($B$10:$B$59,RANDBETWEEN(1,$E$3)),"")</x:f>
      </x:c>
      <x:c r="AC225" s="68" t="str">
        <x:f>IF(COLUMN()-2&lt;=$E$3,INDEX($B$10:$B$59,RANDBETWEEN(1,$E$3)),"")</x:f>
      </x:c>
      <x:c r="AD225" s="68" t="str">
        <x:f>IF(COLUMN()-2&lt;=$E$3,INDEX($B$10:$B$59,RANDBETWEEN(1,$E$3)),"")</x:f>
      </x:c>
      <x:c r="AE225" s="68" t="str">
        <x:f>IF(COLUMN()-2&lt;=$E$3,INDEX($B$10:$B$59,RANDBETWEEN(1,$E$3)),"")</x:f>
      </x:c>
      <x:c r="AF225" s="68" t="str">
        <x:f>IF(COLUMN()-2&lt;=$E$3,INDEX($B$10:$B$59,RANDBETWEEN(1,$E$3)),"")</x:f>
      </x:c>
      <x:c r="AG225" s="68" t="str">
        <x:f>IF(COLUMN()-2&lt;=$E$3,INDEX($B$10:$B$59,RANDBETWEEN(1,$E$3)),"")</x:f>
      </x:c>
      <x:c r="AH225" s="68" t="str">
        <x:f>IF(COLUMN()-2&lt;=$E$3,INDEX($B$10:$B$59,RANDBETWEEN(1,$E$3)),"")</x:f>
      </x:c>
      <x:c r="AI225" s="68" t="str">
        <x:f>IF(COLUMN()-2&lt;=$E$3,INDEX($B$10:$B$59,RANDBETWEEN(1,$E$3)),"")</x:f>
      </x:c>
      <x:c r="AJ225" s="68" t="str">
        <x:f>IF(COLUMN()-2&lt;=$E$3,INDEX($B$10:$B$59,RANDBETWEEN(1,$E$3)),"")</x:f>
      </x:c>
      <x:c r="AK225" s="68" t="str">
        <x:f>IF(COLUMN()-2&lt;=$E$3,INDEX($B$10:$B$59,RANDBETWEEN(1,$E$3)),"")</x:f>
      </x:c>
      <x:c r="AL225" s="68" t="str">
        <x:f>IF(COLUMN()-2&lt;=$E$3,INDEX($B$10:$B$59,RANDBETWEEN(1,$E$3)),"")</x:f>
      </x:c>
      <x:c r="AM225" s="68" t="str">
        <x:f>IF(COLUMN()-2&lt;=$E$3,INDEX($B$10:$B$59,RANDBETWEEN(1,$E$3)),"")</x:f>
      </x:c>
      <x:c r="AN225" s="68" t="str">
        <x:f>IF(COLUMN()-2&lt;=$E$3,INDEX($B$10:$B$59,RANDBETWEEN(1,$E$3)),"")</x:f>
      </x:c>
      <x:c r="AO225" s="68" t="str">
        <x:f>IF(COLUMN()-2&lt;=$E$3,INDEX($B$10:$B$59,RANDBETWEEN(1,$E$3)),"")</x:f>
      </x:c>
      <x:c r="AP225" s="68" t="str">
        <x:f>IF(COLUMN()-2&lt;=$E$3,INDEX($B$10:$B$59,RANDBETWEEN(1,$E$3)),"")</x:f>
      </x:c>
      <x:c r="AQ225" s="68" t="str">
        <x:f>IF(COLUMN()-2&lt;=$E$3,INDEX($B$10:$B$59,RANDBETWEEN(1,$E$3)),"")</x:f>
      </x:c>
      <x:c r="AR225" s="68" t="str">
        <x:f>IF(COLUMN()-2&lt;=$E$3,INDEX($B$10:$B$59,RANDBETWEEN(1,$E$3)),"")</x:f>
      </x:c>
      <x:c r="AS225" s="68" t="str">
        <x:f>IF(COLUMN()-2&lt;=$E$3,INDEX($B$10:$B$59,RANDBETWEEN(1,$E$3)),"")</x:f>
      </x:c>
      <x:c r="AT225" s="68" t="str">
        <x:f>IF(COLUMN()-2&lt;=$E$3,INDEX($B$10:$B$59,RANDBETWEEN(1,$E$3)),"")</x:f>
      </x:c>
      <x:c r="AU225" s="68" t="str">
        <x:f>IF(COLUMN()-2&lt;=$E$3,INDEX($B$10:$B$59,RANDBETWEEN(1,$E$3)),"")</x:f>
      </x:c>
      <x:c r="AV225" s="68" t="str">
        <x:f>IF(COLUMN()-2&lt;=$E$3,INDEX($B$10:$B$59,RANDBETWEEN(1,$E$3)),"")</x:f>
      </x:c>
      <x:c r="AW225" s="68" t="str">
        <x:f>IF(COLUMN()-2&lt;=$E$3,INDEX($B$10:$B$59,RANDBETWEEN(1,$E$3)),"")</x:f>
      </x:c>
      <x:c r="AX225" s="68" t="str">
        <x:f>IF(COLUMN()-2&lt;=$E$3,INDEX($B$10:$B$59,RANDBETWEEN(1,$E$3)),"")</x:f>
      </x:c>
      <x:c r="AY225" s="68" t="str">
        <x:f>IF(COLUMN()-2&lt;=$E$3,INDEX($B$10:$B$59,RANDBETWEEN(1,$E$3)),"")</x:f>
      </x:c>
      <x:c r="AZ225" s="68" t="str">
        <x:f>IF(COLUMN()-2&lt;=$E$3,INDEX($B$10:$B$59,RANDBETWEEN(1,$E$3)),"")</x:f>
      </x:c>
      <x:c r="BA225" s="68" t="str">
        <x:f>IF($E$3=0,"",AVERAGE(C225:AZ225))</x:f>
      </x:c>
    </x:row>
    <x:row r="226">
      <x:c r="A226" t="n">
        <x:v>162</x:v>
      </x:c>
      <x:c r="C226" s="68" t="str">
        <x:f>IF(COLUMN()-2&lt;=$E$3,INDEX($B$10:$B$59,RANDBETWEEN(1,$E$3)),"")</x:f>
      </x:c>
      <x:c r="D226" s="68" t="str">
        <x:f>IF(COLUMN()-2&lt;=$E$3,INDEX($B$10:$B$59,RANDBETWEEN(1,$E$3)),"")</x:f>
      </x:c>
      <x:c r="E226" s="68" t="str">
        <x:f>IF(COLUMN()-2&lt;=$E$3,INDEX($B$10:$B$59,RANDBETWEEN(1,$E$3)),"")</x:f>
      </x:c>
      <x:c r="F226" s="68" t="str">
        <x:f>IF(COLUMN()-2&lt;=$E$3,INDEX($B$10:$B$59,RANDBETWEEN(1,$E$3)),"")</x:f>
      </x:c>
      <x:c r="G226" s="68" t="str">
        <x:f>IF(COLUMN()-2&lt;=$E$3,INDEX($B$10:$B$59,RANDBETWEEN(1,$E$3)),"")</x:f>
      </x:c>
      <x:c r="H226" s="68" t="str">
        <x:f>IF(COLUMN()-2&lt;=$E$3,INDEX($B$10:$B$59,RANDBETWEEN(1,$E$3)),"")</x:f>
      </x:c>
      <x:c r="I226" s="68" t="str">
        <x:f>IF(COLUMN()-2&lt;=$E$3,INDEX($B$10:$B$59,RANDBETWEEN(1,$E$3)),"")</x:f>
      </x:c>
      <x:c r="J226" s="68" t="str">
        <x:f>IF(COLUMN()-2&lt;=$E$3,INDEX($B$10:$B$59,RANDBETWEEN(1,$E$3)),"")</x:f>
      </x:c>
      <x:c r="K226" s="68" t="str">
        <x:f>IF(COLUMN()-2&lt;=$E$3,INDEX($B$10:$B$59,RANDBETWEEN(1,$E$3)),"")</x:f>
      </x:c>
      <x:c r="L226" s="68" t="str">
        <x:f>IF(COLUMN()-2&lt;=$E$3,INDEX($B$10:$B$59,RANDBETWEEN(1,$E$3)),"")</x:f>
      </x:c>
      <x:c r="M226" s="68" t="str">
        <x:f>IF(COLUMN()-2&lt;=$E$3,INDEX($B$10:$B$59,RANDBETWEEN(1,$E$3)),"")</x:f>
      </x:c>
      <x:c r="N226" s="68" t="str">
        <x:f>IF(COLUMN()-2&lt;=$E$3,INDEX($B$10:$B$59,RANDBETWEEN(1,$E$3)),"")</x:f>
      </x:c>
      <x:c r="O226" s="68" t="str">
        <x:f>IF(COLUMN()-2&lt;=$E$3,INDEX($B$10:$B$59,RANDBETWEEN(1,$E$3)),"")</x:f>
      </x:c>
      <x:c r="P226" s="68" t="str">
        <x:f>IF(COLUMN()-2&lt;=$E$3,INDEX($B$10:$B$59,RANDBETWEEN(1,$E$3)),"")</x:f>
      </x:c>
      <x:c r="Q226" s="68" t="str">
        <x:f>IF(COLUMN()-2&lt;=$E$3,INDEX($B$10:$B$59,RANDBETWEEN(1,$E$3)),"")</x:f>
      </x:c>
      <x:c r="R226" s="68" t="str">
        <x:f>IF(COLUMN()-2&lt;=$E$3,INDEX($B$10:$B$59,RANDBETWEEN(1,$E$3)),"")</x:f>
      </x:c>
      <x:c r="S226" s="68" t="str">
        <x:f>IF(COLUMN()-2&lt;=$E$3,INDEX($B$10:$B$59,RANDBETWEEN(1,$E$3)),"")</x:f>
      </x:c>
      <x:c r="T226" s="68" t="str">
        <x:f>IF(COLUMN()-2&lt;=$E$3,INDEX($B$10:$B$59,RANDBETWEEN(1,$E$3)),"")</x:f>
      </x:c>
      <x:c r="U226" s="68" t="str">
        <x:f>IF(COLUMN()-2&lt;=$E$3,INDEX($B$10:$B$59,RANDBETWEEN(1,$E$3)),"")</x:f>
      </x:c>
      <x:c r="V226" s="68" t="str">
        <x:f>IF(COLUMN()-2&lt;=$E$3,INDEX($B$10:$B$59,RANDBETWEEN(1,$E$3)),"")</x:f>
      </x:c>
      <x:c r="W226" s="68" t="str">
        <x:f>IF(COLUMN()-2&lt;=$E$3,INDEX($B$10:$B$59,RANDBETWEEN(1,$E$3)),"")</x:f>
      </x:c>
      <x:c r="X226" s="68" t="str">
        <x:f>IF(COLUMN()-2&lt;=$E$3,INDEX($B$10:$B$59,RANDBETWEEN(1,$E$3)),"")</x:f>
      </x:c>
      <x:c r="Y226" s="68" t="str">
        <x:f>IF(COLUMN()-2&lt;=$E$3,INDEX($B$10:$B$59,RANDBETWEEN(1,$E$3)),"")</x:f>
      </x:c>
      <x:c r="Z226" s="68" t="str">
        <x:f>IF(COLUMN()-2&lt;=$E$3,INDEX($B$10:$B$59,RANDBETWEEN(1,$E$3)),"")</x:f>
      </x:c>
      <x:c r="AA226" s="68" t="str">
        <x:f>IF(COLUMN()-2&lt;=$E$3,INDEX($B$10:$B$59,RANDBETWEEN(1,$E$3)),"")</x:f>
      </x:c>
      <x:c r="AB226" s="68" t="str">
        <x:f>IF(COLUMN()-2&lt;=$E$3,INDEX($B$10:$B$59,RANDBETWEEN(1,$E$3)),"")</x:f>
      </x:c>
      <x:c r="AC226" s="68" t="str">
        <x:f>IF(COLUMN()-2&lt;=$E$3,INDEX($B$10:$B$59,RANDBETWEEN(1,$E$3)),"")</x:f>
      </x:c>
      <x:c r="AD226" s="68" t="str">
        <x:f>IF(COLUMN()-2&lt;=$E$3,INDEX($B$10:$B$59,RANDBETWEEN(1,$E$3)),"")</x:f>
      </x:c>
      <x:c r="AE226" s="68" t="str">
        <x:f>IF(COLUMN()-2&lt;=$E$3,INDEX($B$10:$B$59,RANDBETWEEN(1,$E$3)),"")</x:f>
      </x:c>
      <x:c r="AF226" s="68" t="str">
        <x:f>IF(COLUMN()-2&lt;=$E$3,INDEX($B$10:$B$59,RANDBETWEEN(1,$E$3)),"")</x:f>
      </x:c>
      <x:c r="AG226" s="68" t="str">
        <x:f>IF(COLUMN()-2&lt;=$E$3,INDEX($B$10:$B$59,RANDBETWEEN(1,$E$3)),"")</x:f>
      </x:c>
      <x:c r="AH226" s="68" t="str">
        <x:f>IF(COLUMN()-2&lt;=$E$3,INDEX($B$10:$B$59,RANDBETWEEN(1,$E$3)),"")</x:f>
      </x:c>
      <x:c r="AI226" s="68" t="str">
        <x:f>IF(COLUMN()-2&lt;=$E$3,INDEX($B$10:$B$59,RANDBETWEEN(1,$E$3)),"")</x:f>
      </x:c>
      <x:c r="AJ226" s="68" t="str">
        <x:f>IF(COLUMN()-2&lt;=$E$3,INDEX($B$10:$B$59,RANDBETWEEN(1,$E$3)),"")</x:f>
      </x:c>
      <x:c r="AK226" s="68" t="str">
        <x:f>IF(COLUMN()-2&lt;=$E$3,INDEX($B$10:$B$59,RANDBETWEEN(1,$E$3)),"")</x:f>
      </x:c>
      <x:c r="AL226" s="68" t="str">
        <x:f>IF(COLUMN()-2&lt;=$E$3,INDEX($B$10:$B$59,RANDBETWEEN(1,$E$3)),"")</x:f>
      </x:c>
      <x:c r="AM226" s="68" t="str">
        <x:f>IF(COLUMN()-2&lt;=$E$3,INDEX($B$10:$B$59,RANDBETWEEN(1,$E$3)),"")</x:f>
      </x:c>
      <x:c r="AN226" s="68" t="str">
        <x:f>IF(COLUMN()-2&lt;=$E$3,INDEX($B$10:$B$59,RANDBETWEEN(1,$E$3)),"")</x:f>
      </x:c>
      <x:c r="AO226" s="68" t="str">
        <x:f>IF(COLUMN()-2&lt;=$E$3,INDEX($B$10:$B$59,RANDBETWEEN(1,$E$3)),"")</x:f>
      </x:c>
      <x:c r="AP226" s="68" t="str">
        <x:f>IF(COLUMN()-2&lt;=$E$3,INDEX($B$10:$B$59,RANDBETWEEN(1,$E$3)),"")</x:f>
      </x:c>
      <x:c r="AQ226" s="68" t="str">
        <x:f>IF(COLUMN()-2&lt;=$E$3,INDEX($B$10:$B$59,RANDBETWEEN(1,$E$3)),"")</x:f>
      </x:c>
      <x:c r="AR226" s="68" t="str">
        <x:f>IF(COLUMN()-2&lt;=$E$3,INDEX($B$10:$B$59,RANDBETWEEN(1,$E$3)),"")</x:f>
      </x:c>
      <x:c r="AS226" s="68" t="str">
        <x:f>IF(COLUMN()-2&lt;=$E$3,INDEX($B$10:$B$59,RANDBETWEEN(1,$E$3)),"")</x:f>
      </x:c>
      <x:c r="AT226" s="68" t="str">
        <x:f>IF(COLUMN()-2&lt;=$E$3,INDEX($B$10:$B$59,RANDBETWEEN(1,$E$3)),"")</x:f>
      </x:c>
      <x:c r="AU226" s="68" t="str">
        <x:f>IF(COLUMN()-2&lt;=$E$3,INDEX($B$10:$B$59,RANDBETWEEN(1,$E$3)),"")</x:f>
      </x:c>
      <x:c r="AV226" s="68" t="str">
        <x:f>IF(COLUMN()-2&lt;=$E$3,INDEX($B$10:$B$59,RANDBETWEEN(1,$E$3)),"")</x:f>
      </x:c>
      <x:c r="AW226" s="68" t="str">
        <x:f>IF(COLUMN()-2&lt;=$E$3,INDEX($B$10:$B$59,RANDBETWEEN(1,$E$3)),"")</x:f>
      </x:c>
      <x:c r="AX226" s="68" t="str">
        <x:f>IF(COLUMN()-2&lt;=$E$3,INDEX($B$10:$B$59,RANDBETWEEN(1,$E$3)),"")</x:f>
      </x:c>
      <x:c r="AY226" s="68" t="str">
        <x:f>IF(COLUMN()-2&lt;=$E$3,INDEX($B$10:$B$59,RANDBETWEEN(1,$E$3)),"")</x:f>
      </x:c>
      <x:c r="AZ226" s="68" t="str">
        <x:f>IF(COLUMN()-2&lt;=$E$3,INDEX($B$10:$B$59,RANDBETWEEN(1,$E$3)),"")</x:f>
      </x:c>
      <x:c r="BA226" s="68" t="str">
        <x:f>IF($E$3=0,"",AVERAGE(C226:AZ226))</x:f>
      </x:c>
    </x:row>
    <x:row r="227">
      <x:c r="A227" t="n">
        <x:v>163</x:v>
      </x:c>
      <x:c r="C227" s="68" t="str">
        <x:f>IF(COLUMN()-2&lt;=$E$3,INDEX($B$10:$B$59,RANDBETWEEN(1,$E$3)),"")</x:f>
      </x:c>
      <x:c r="D227" s="68" t="str">
        <x:f>IF(COLUMN()-2&lt;=$E$3,INDEX($B$10:$B$59,RANDBETWEEN(1,$E$3)),"")</x:f>
      </x:c>
      <x:c r="E227" s="68" t="str">
        <x:f>IF(COLUMN()-2&lt;=$E$3,INDEX($B$10:$B$59,RANDBETWEEN(1,$E$3)),"")</x:f>
      </x:c>
      <x:c r="F227" s="68" t="str">
        <x:f>IF(COLUMN()-2&lt;=$E$3,INDEX($B$10:$B$59,RANDBETWEEN(1,$E$3)),"")</x:f>
      </x:c>
      <x:c r="G227" s="68" t="str">
        <x:f>IF(COLUMN()-2&lt;=$E$3,INDEX($B$10:$B$59,RANDBETWEEN(1,$E$3)),"")</x:f>
      </x:c>
      <x:c r="H227" s="68" t="str">
        <x:f>IF(COLUMN()-2&lt;=$E$3,INDEX($B$10:$B$59,RANDBETWEEN(1,$E$3)),"")</x:f>
      </x:c>
      <x:c r="I227" s="68" t="str">
        <x:f>IF(COLUMN()-2&lt;=$E$3,INDEX($B$10:$B$59,RANDBETWEEN(1,$E$3)),"")</x:f>
      </x:c>
      <x:c r="J227" s="68" t="str">
        <x:f>IF(COLUMN()-2&lt;=$E$3,INDEX($B$10:$B$59,RANDBETWEEN(1,$E$3)),"")</x:f>
      </x:c>
      <x:c r="K227" s="68" t="str">
        <x:f>IF(COLUMN()-2&lt;=$E$3,INDEX($B$10:$B$59,RANDBETWEEN(1,$E$3)),"")</x:f>
      </x:c>
      <x:c r="L227" s="68" t="str">
        <x:f>IF(COLUMN()-2&lt;=$E$3,INDEX($B$10:$B$59,RANDBETWEEN(1,$E$3)),"")</x:f>
      </x:c>
      <x:c r="M227" s="68" t="str">
        <x:f>IF(COLUMN()-2&lt;=$E$3,INDEX($B$10:$B$59,RANDBETWEEN(1,$E$3)),"")</x:f>
      </x:c>
      <x:c r="N227" s="68" t="str">
        <x:f>IF(COLUMN()-2&lt;=$E$3,INDEX($B$10:$B$59,RANDBETWEEN(1,$E$3)),"")</x:f>
      </x:c>
      <x:c r="O227" s="68" t="str">
        <x:f>IF(COLUMN()-2&lt;=$E$3,INDEX($B$10:$B$59,RANDBETWEEN(1,$E$3)),"")</x:f>
      </x:c>
      <x:c r="P227" s="68" t="str">
        <x:f>IF(COLUMN()-2&lt;=$E$3,INDEX($B$10:$B$59,RANDBETWEEN(1,$E$3)),"")</x:f>
      </x:c>
      <x:c r="Q227" s="68" t="str">
        <x:f>IF(COLUMN()-2&lt;=$E$3,INDEX($B$10:$B$59,RANDBETWEEN(1,$E$3)),"")</x:f>
      </x:c>
      <x:c r="R227" s="68" t="str">
        <x:f>IF(COLUMN()-2&lt;=$E$3,INDEX($B$10:$B$59,RANDBETWEEN(1,$E$3)),"")</x:f>
      </x:c>
      <x:c r="S227" s="68" t="str">
        <x:f>IF(COLUMN()-2&lt;=$E$3,INDEX($B$10:$B$59,RANDBETWEEN(1,$E$3)),"")</x:f>
      </x:c>
      <x:c r="T227" s="68" t="str">
        <x:f>IF(COLUMN()-2&lt;=$E$3,INDEX($B$10:$B$59,RANDBETWEEN(1,$E$3)),"")</x:f>
      </x:c>
      <x:c r="U227" s="68" t="str">
        <x:f>IF(COLUMN()-2&lt;=$E$3,INDEX($B$10:$B$59,RANDBETWEEN(1,$E$3)),"")</x:f>
      </x:c>
      <x:c r="V227" s="68" t="str">
        <x:f>IF(COLUMN()-2&lt;=$E$3,INDEX($B$10:$B$59,RANDBETWEEN(1,$E$3)),"")</x:f>
      </x:c>
      <x:c r="W227" s="68" t="str">
        <x:f>IF(COLUMN()-2&lt;=$E$3,INDEX($B$10:$B$59,RANDBETWEEN(1,$E$3)),"")</x:f>
      </x:c>
      <x:c r="X227" s="68" t="str">
        <x:f>IF(COLUMN()-2&lt;=$E$3,INDEX($B$10:$B$59,RANDBETWEEN(1,$E$3)),"")</x:f>
      </x:c>
      <x:c r="Y227" s="68" t="str">
        <x:f>IF(COLUMN()-2&lt;=$E$3,INDEX($B$10:$B$59,RANDBETWEEN(1,$E$3)),"")</x:f>
      </x:c>
      <x:c r="Z227" s="68" t="str">
        <x:f>IF(COLUMN()-2&lt;=$E$3,INDEX($B$10:$B$59,RANDBETWEEN(1,$E$3)),"")</x:f>
      </x:c>
      <x:c r="AA227" s="68" t="str">
        <x:f>IF(COLUMN()-2&lt;=$E$3,INDEX($B$10:$B$59,RANDBETWEEN(1,$E$3)),"")</x:f>
      </x:c>
      <x:c r="AB227" s="68" t="str">
        <x:f>IF(COLUMN()-2&lt;=$E$3,INDEX($B$10:$B$59,RANDBETWEEN(1,$E$3)),"")</x:f>
      </x:c>
      <x:c r="AC227" s="68" t="str">
        <x:f>IF(COLUMN()-2&lt;=$E$3,INDEX($B$10:$B$59,RANDBETWEEN(1,$E$3)),"")</x:f>
      </x:c>
      <x:c r="AD227" s="68" t="str">
        <x:f>IF(COLUMN()-2&lt;=$E$3,INDEX($B$10:$B$59,RANDBETWEEN(1,$E$3)),"")</x:f>
      </x:c>
      <x:c r="AE227" s="68" t="str">
        <x:f>IF(COLUMN()-2&lt;=$E$3,INDEX($B$10:$B$59,RANDBETWEEN(1,$E$3)),"")</x:f>
      </x:c>
      <x:c r="AF227" s="68" t="str">
        <x:f>IF(COLUMN()-2&lt;=$E$3,INDEX($B$10:$B$59,RANDBETWEEN(1,$E$3)),"")</x:f>
      </x:c>
      <x:c r="AG227" s="68" t="str">
        <x:f>IF(COLUMN()-2&lt;=$E$3,INDEX($B$10:$B$59,RANDBETWEEN(1,$E$3)),"")</x:f>
      </x:c>
      <x:c r="AH227" s="68" t="str">
        <x:f>IF(COLUMN()-2&lt;=$E$3,INDEX($B$10:$B$59,RANDBETWEEN(1,$E$3)),"")</x:f>
      </x:c>
      <x:c r="AI227" s="68" t="str">
        <x:f>IF(COLUMN()-2&lt;=$E$3,INDEX($B$10:$B$59,RANDBETWEEN(1,$E$3)),"")</x:f>
      </x:c>
      <x:c r="AJ227" s="68" t="str">
        <x:f>IF(COLUMN()-2&lt;=$E$3,INDEX($B$10:$B$59,RANDBETWEEN(1,$E$3)),"")</x:f>
      </x:c>
      <x:c r="AK227" s="68" t="str">
        <x:f>IF(COLUMN()-2&lt;=$E$3,INDEX($B$10:$B$59,RANDBETWEEN(1,$E$3)),"")</x:f>
      </x:c>
      <x:c r="AL227" s="68" t="str">
        <x:f>IF(COLUMN()-2&lt;=$E$3,INDEX($B$10:$B$59,RANDBETWEEN(1,$E$3)),"")</x:f>
      </x:c>
      <x:c r="AM227" s="68" t="str">
        <x:f>IF(COLUMN()-2&lt;=$E$3,INDEX($B$10:$B$59,RANDBETWEEN(1,$E$3)),"")</x:f>
      </x:c>
      <x:c r="AN227" s="68" t="str">
        <x:f>IF(COLUMN()-2&lt;=$E$3,INDEX($B$10:$B$59,RANDBETWEEN(1,$E$3)),"")</x:f>
      </x:c>
      <x:c r="AO227" s="68" t="str">
        <x:f>IF(COLUMN()-2&lt;=$E$3,INDEX($B$10:$B$59,RANDBETWEEN(1,$E$3)),"")</x:f>
      </x:c>
      <x:c r="AP227" s="68" t="str">
        <x:f>IF(COLUMN()-2&lt;=$E$3,INDEX($B$10:$B$59,RANDBETWEEN(1,$E$3)),"")</x:f>
      </x:c>
      <x:c r="AQ227" s="68" t="str">
        <x:f>IF(COLUMN()-2&lt;=$E$3,INDEX($B$10:$B$59,RANDBETWEEN(1,$E$3)),"")</x:f>
      </x:c>
      <x:c r="AR227" s="68" t="str">
        <x:f>IF(COLUMN()-2&lt;=$E$3,INDEX($B$10:$B$59,RANDBETWEEN(1,$E$3)),"")</x:f>
      </x:c>
      <x:c r="AS227" s="68" t="str">
        <x:f>IF(COLUMN()-2&lt;=$E$3,INDEX($B$10:$B$59,RANDBETWEEN(1,$E$3)),"")</x:f>
      </x:c>
      <x:c r="AT227" s="68" t="str">
        <x:f>IF(COLUMN()-2&lt;=$E$3,INDEX($B$10:$B$59,RANDBETWEEN(1,$E$3)),"")</x:f>
      </x:c>
      <x:c r="AU227" s="68" t="str">
        <x:f>IF(COLUMN()-2&lt;=$E$3,INDEX($B$10:$B$59,RANDBETWEEN(1,$E$3)),"")</x:f>
      </x:c>
      <x:c r="AV227" s="68" t="str">
        <x:f>IF(COLUMN()-2&lt;=$E$3,INDEX($B$10:$B$59,RANDBETWEEN(1,$E$3)),"")</x:f>
      </x:c>
      <x:c r="AW227" s="68" t="str">
        <x:f>IF(COLUMN()-2&lt;=$E$3,INDEX($B$10:$B$59,RANDBETWEEN(1,$E$3)),"")</x:f>
      </x:c>
      <x:c r="AX227" s="68" t="str">
        <x:f>IF(COLUMN()-2&lt;=$E$3,INDEX($B$10:$B$59,RANDBETWEEN(1,$E$3)),"")</x:f>
      </x:c>
      <x:c r="AY227" s="68" t="str">
        <x:f>IF(COLUMN()-2&lt;=$E$3,INDEX($B$10:$B$59,RANDBETWEEN(1,$E$3)),"")</x:f>
      </x:c>
      <x:c r="AZ227" s="68" t="str">
        <x:f>IF(COLUMN()-2&lt;=$E$3,INDEX($B$10:$B$59,RANDBETWEEN(1,$E$3)),"")</x:f>
      </x:c>
      <x:c r="BA227" s="68" t="str">
        <x:f>IF($E$3=0,"",AVERAGE(C227:AZ227))</x:f>
      </x:c>
    </x:row>
    <x:row r="228">
      <x:c r="A228" t="n">
        <x:v>164</x:v>
      </x:c>
      <x:c r="C228" s="68" t="str">
        <x:f>IF(COLUMN()-2&lt;=$E$3,INDEX($B$10:$B$59,RANDBETWEEN(1,$E$3)),"")</x:f>
      </x:c>
      <x:c r="D228" s="68" t="str">
        <x:f>IF(COLUMN()-2&lt;=$E$3,INDEX($B$10:$B$59,RANDBETWEEN(1,$E$3)),"")</x:f>
      </x:c>
      <x:c r="E228" s="68" t="str">
        <x:f>IF(COLUMN()-2&lt;=$E$3,INDEX($B$10:$B$59,RANDBETWEEN(1,$E$3)),"")</x:f>
      </x:c>
      <x:c r="F228" s="68" t="str">
        <x:f>IF(COLUMN()-2&lt;=$E$3,INDEX($B$10:$B$59,RANDBETWEEN(1,$E$3)),"")</x:f>
      </x:c>
      <x:c r="G228" s="68" t="str">
        <x:f>IF(COLUMN()-2&lt;=$E$3,INDEX($B$10:$B$59,RANDBETWEEN(1,$E$3)),"")</x:f>
      </x:c>
      <x:c r="H228" s="68" t="str">
        <x:f>IF(COLUMN()-2&lt;=$E$3,INDEX($B$10:$B$59,RANDBETWEEN(1,$E$3)),"")</x:f>
      </x:c>
      <x:c r="I228" s="68" t="str">
        <x:f>IF(COLUMN()-2&lt;=$E$3,INDEX($B$10:$B$59,RANDBETWEEN(1,$E$3)),"")</x:f>
      </x:c>
      <x:c r="J228" s="68" t="str">
        <x:f>IF(COLUMN()-2&lt;=$E$3,INDEX($B$10:$B$59,RANDBETWEEN(1,$E$3)),"")</x:f>
      </x:c>
      <x:c r="K228" s="68" t="str">
        <x:f>IF(COLUMN()-2&lt;=$E$3,INDEX($B$10:$B$59,RANDBETWEEN(1,$E$3)),"")</x:f>
      </x:c>
      <x:c r="L228" s="68" t="str">
        <x:f>IF(COLUMN()-2&lt;=$E$3,INDEX($B$10:$B$59,RANDBETWEEN(1,$E$3)),"")</x:f>
      </x:c>
      <x:c r="M228" s="68" t="str">
        <x:f>IF(COLUMN()-2&lt;=$E$3,INDEX($B$10:$B$59,RANDBETWEEN(1,$E$3)),"")</x:f>
      </x:c>
      <x:c r="N228" s="68" t="str">
        <x:f>IF(COLUMN()-2&lt;=$E$3,INDEX($B$10:$B$59,RANDBETWEEN(1,$E$3)),"")</x:f>
      </x:c>
      <x:c r="O228" s="68" t="str">
        <x:f>IF(COLUMN()-2&lt;=$E$3,INDEX($B$10:$B$59,RANDBETWEEN(1,$E$3)),"")</x:f>
      </x:c>
      <x:c r="P228" s="68" t="str">
        <x:f>IF(COLUMN()-2&lt;=$E$3,INDEX($B$10:$B$59,RANDBETWEEN(1,$E$3)),"")</x:f>
      </x:c>
      <x:c r="Q228" s="68" t="str">
        <x:f>IF(COLUMN()-2&lt;=$E$3,INDEX($B$10:$B$59,RANDBETWEEN(1,$E$3)),"")</x:f>
      </x:c>
      <x:c r="R228" s="68" t="str">
        <x:f>IF(COLUMN()-2&lt;=$E$3,INDEX($B$10:$B$59,RANDBETWEEN(1,$E$3)),"")</x:f>
      </x:c>
      <x:c r="S228" s="68" t="str">
        <x:f>IF(COLUMN()-2&lt;=$E$3,INDEX($B$10:$B$59,RANDBETWEEN(1,$E$3)),"")</x:f>
      </x:c>
      <x:c r="T228" s="68" t="str">
        <x:f>IF(COLUMN()-2&lt;=$E$3,INDEX($B$10:$B$59,RANDBETWEEN(1,$E$3)),"")</x:f>
      </x:c>
      <x:c r="U228" s="68" t="str">
        <x:f>IF(COLUMN()-2&lt;=$E$3,INDEX($B$10:$B$59,RANDBETWEEN(1,$E$3)),"")</x:f>
      </x:c>
      <x:c r="V228" s="68" t="str">
        <x:f>IF(COLUMN()-2&lt;=$E$3,INDEX($B$10:$B$59,RANDBETWEEN(1,$E$3)),"")</x:f>
      </x:c>
      <x:c r="W228" s="68" t="str">
        <x:f>IF(COLUMN()-2&lt;=$E$3,INDEX($B$10:$B$59,RANDBETWEEN(1,$E$3)),"")</x:f>
      </x:c>
      <x:c r="X228" s="68" t="str">
        <x:f>IF(COLUMN()-2&lt;=$E$3,INDEX($B$10:$B$59,RANDBETWEEN(1,$E$3)),"")</x:f>
      </x:c>
      <x:c r="Y228" s="68" t="str">
        <x:f>IF(COLUMN()-2&lt;=$E$3,INDEX($B$10:$B$59,RANDBETWEEN(1,$E$3)),"")</x:f>
      </x:c>
      <x:c r="Z228" s="68" t="str">
        <x:f>IF(COLUMN()-2&lt;=$E$3,INDEX($B$10:$B$59,RANDBETWEEN(1,$E$3)),"")</x:f>
      </x:c>
      <x:c r="AA228" s="68" t="str">
        <x:f>IF(COLUMN()-2&lt;=$E$3,INDEX($B$10:$B$59,RANDBETWEEN(1,$E$3)),"")</x:f>
      </x:c>
      <x:c r="AB228" s="68" t="str">
        <x:f>IF(COLUMN()-2&lt;=$E$3,INDEX($B$10:$B$59,RANDBETWEEN(1,$E$3)),"")</x:f>
      </x:c>
      <x:c r="AC228" s="68" t="str">
        <x:f>IF(COLUMN()-2&lt;=$E$3,INDEX($B$10:$B$59,RANDBETWEEN(1,$E$3)),"")</x:f>
      </x:c>
      <x:c r="AD228" s="68" t="str">
        <x:f>IF(COLUMN()-2&lt;=$E$3,INDEX($B$10:$B$59,RANDBETWEEN(1,$E$3)),"")</x:f>
      </x:c>
      <x:c r="AE228" s="68" t="str">
        <x:f>IF(COLUMN()-2&lt;=$E$3,INDEX($B$10:$B$59,RANDBETWEEN(1,$E$3)),"")</x:f>
      </x:c>
      <x:c r="AF228" s="68" t="str">
        <x:f>IF(COLUMN()-2&lt;=$E$3,INDEX($B$10:$B$59,RANDBETWEEN(1,$E$3)),"")</x:f>
      </x:c>
      <x:c r="AG228" s="68" t="str">
        <x:f>IF(COLUMN()-2&lt;=$E$3,INDEX($B$10:$B$59,RANDBETWEEN(1,$E$3)),"")</x:f>
      </x:c>
      <x:c r="AH228" s="68" t="str">
        <x:f>IF(COLUMN()-2&lt;=$E$3,INDEX($B$10:$B$59,RANDBETWEEN(1,$E$3)),"")</x:f>
      </x:c>
      <x:c r="AI228" s="68" t="str">
        <x:f>IF(COLUMN()-2&lt;=$E$3,INDEX($B$10:$B$59,RANDBETWEEN(1,$E$3)),"")</x:f>
      </x:c>
      <x:c r="AJ228" s="68" t="str">
        <x:f>IF(COLUMN()-2&lt;=$E$3,INDEX($B$10:$B$59,RANDBETWEEN(1,$E$3)),"")</x:f>
      </x:c>
      <x:c r="AK228" s="68" t="str">
        <x:f>IF(COLUMN()-2&lt;=$E$3,INDEX($B$10:$B$59,RANDBETWEEN(1,$E$3)),"")</x:f>
      </x:c>
      <x:c r="AL228" s="68" t="str">
        <x:f>IF(COLUMN()-2&lt;=$E$3,INDEX($B$10:$B$59,RANDBETWEEN(1,$E$3)),"")</x:f>
      </x:c>
      <x:c r="AM228" s="68" t="str">
        <x:f>IF(COLUMN()-2&lt;=$E$3,INDEX($B$10:$B$59,RANDBETWEEN(1,$E$3)),"")</x:f>
      </x:c>
      <x:c r="AN228" s="68" t="str">
        <x:f>IF(COLUMN()-2&lt;=$E$3,INDEX($B$10:$B$59,RANDBETWEEN(1,$E$3)),"")</x:f>
      </x:c>
      <x:c r="AO228" s="68" t="str">
        <x:f>IF(COLUMN()-2&lt;=$E$3,INDEX($B$10:$B$59,RANDBETWEEN(1,$E$3)),"")</x:f>
      </x:c>
      <x:c r="AP228" s="68" t="str">
        <x:f>IF(COLUMN()-2&lt;=$E$3,INDEX($B$10:$B$59,RANDBETWEEN(1,$E$3)),"")</x:f>
      </x:c>
      <x:c r="AQ228" s="68" t="str">
        <x:f>IF(COLUMN()-2&lt;=$E$3,INDEX($B$10:$B$59,RANDBETWEEN(1,$E$3)),"")</x:f>
      </x:c>
      <x:c r="AR228" s="68" t="str">
        <x:f>IF(COLUMN()-2&lt;=$E$3,INDEX($B$10:$B$59,RANDBETWEEN(1,$E$3)),"")</x:f>
      </x:c>
      <x:c r="AS228" s="68" t="str">
        <x:f>IF(COLUMN()-2&lt;=$E$3,INDEX($B$10:$B$59,RANDBETWEEN(1,$E$3)),"")</x:f>
      </x:c>
      <x:c r="AT228" s="68" t="str">
        <x:f>IF(COLUMN()-2&lt;=$E$3,INDEX($B$10:$B$59,RANDBETWEEN(1,$E$3)),"")</x:f>
      </x:c>
      <x:c r="AU228" s="68" t="str">
        <x:f>IF(COLUMN()-2&lt;=$E$3,INDEX($B$10:$B$59,RANDBETWEEN(1,$E$3)),"")</x:f>
      </x:c>
      <x:c r="AV228" s="68" t="str">
        <x:f>IF(COLUMN()-2&lt;=$E$3,INDEX($B$10:$B$59,RANDBETWEEN(1,$E$3)),"")</x:f>
      </x:c>
      <x:c r="AW228" s="68" t="str">
        <x:f>IF(COLUMN()-2&lt;=$E$3,INDEX($B$10:$B$59,RANDBETWEEN(1,$E$3)),"")</x:f>
      </x:c>
      <x:c r="AX228" s="68" t="str">
        <x:f>IF(COLUMN()-2&lt;=$E$3,INDEX($B$10:$B$59,RANDBETWEEN(1,$E$3)),"")</x:f>
      </x:c>
      <x:c r="AY228" s="68" t="str">
        <x:f>IF(COLUMN()-2&lt;=$E$3,INDEX($B$10:$B$59,RANDBETWEEN(1,$E$3)),"")</x:f>
      </x:c>
      <x:c r="AZ228" s="68" t="str">
        <x:f>IF(COLUMN()-2&lt;=$E$3,INDEX($B$10:$B$59,RANDBETWEEN(1,$E$3)),"")</x:f>
      </x:c>
      <x:c r="BA228" s="68" t="str">
        <x:f>IF($E$3=0,"",AVERAGE(C228:AZ228))</x:f>
      </x:c>
    </x:row>
    <x:row r="229">
      <x:c r="A229" t="n">
        <x:v>165</x:v>
      </x:c>
      <x:c r="C229" s="68" t="str">
        <x:f>IF(COLUMN()-2&lt;=$E$3,INDEX($B$10:$B$59,RANDBETWEEN(1,$E$3)),"")</x:f>
      </x:c>
      <x:c r="D229" s="68" t="str">
        <x:f>IF(COLUMN()-2&lt;=$E$3,INDEX($B$10:$B$59,RANDBETWEEN(1,$E$3)),"")</x:f>
      </x:c>
      <x:c r="E229" s="68" t="str">
        <x:f>IF(COLUMN()-2&lt;=$E$3,INDEX($B$10:$B$59,RANDBETWEEN(1,$E$3)),"")</x:f>
      </x:c>
      <x:c r="F229" s="68" t="str">
        <x:f>IF(COLUMN()-2&lt;=$E$3,INDEX($B$10:$B$59,RANDBETWEEN(1,$E$3)),"")</x:f>
      </x:c>
      <x:c r="G229" s="68" t="str">
        <x:f>IF(COLUMN()-2&lt;=$E$3,INDEX($B$10:$B$59,RANDBETWEEN(1,$E$3)),"")</x:f>
      </x:c>
      <x:c r="H229" s="68" t="str">
        <x:f>IF(COLUMN()-2&lt;=$E$3,INDEX($B$10:$B$59,RANDBETWEEN(1,$E$3)),"")</x:f>
      </x:c>
      <x:c r="I229" s="68" t="str">
        <x:f>IF(COLUMN()-2&lt;=$E$3,INDEX($B$10:$B$59,RANDBETWEEN(1,$E$3)),"")</x:f>
      </x:c>
      <x:c r="J229" s="68" t="str">
        <x:f>IF(COLUMN()-2&lt;=$E$3,INDEX($B$10:$B$59,RANDBETWEEN(1,$E$3)),"")</x:f>
      </x:c>
      <x:c r="K229" s="68" t="str">
        <x:f>IF(COLUMN()-2&lt;=$E$3,INDEX($B$10:$B$59,RANDBETWEEN(1,$E$3)),"")</x:f>
      </x:c>
      <x:c r="L229" s="68" t="str">
        <x:f>IF(COLUMN()-2&lt;=$E$3,INDEX($B$10:$B$59,RANDBETWEEN(1,$E$3)),"")</x:f>
      </x:c>
      <x:c r="M229" s="68" t="str">
        <x:f>IF(COLUMN()-2&lt;=$E$3,INDEX($B$10:$B$59,RANDBETWEEN(1,$E$3)),"")</x:f>
      </x:c>
      <x:c r="N229" s="68" t="str">
        <x:f>IF(COLUMN()-2&lt;=$E$3,INDEX($B$10:$B$59,RANDBETWEEN(1,$E$3)),"")</x:f>
      </x:c>
      <x:c r="O229" s="68" t="str">
        <x:f>IF(COLUMN()-2&lt;=$E$3,INDEX($B$10:$B$59,RANDBETWEEN(1,$E$3)),"")</x:f>
      </x:c>
      <x:c r="P229" s="68" t="str">
        <x:f>IF(COLUMN()-2&lt;=$E$3,INDEX($B$10:$B$59,RANDBETWEEN(1,$E$3)),"")</x:f>
      </x:c>
      <x:c r="Q229" s="68" t="str">
        <x:f>IF(COLUMN()-2&lt;=$E$3,INDEX($B$10:$B$59,RANDBETWEEN(1,$E$3)),"")</x:f>
      </x:c>
      <x:c r="R229" s="68" t="str">
        <x:f>IF(COLUMN()-2&lt;=$E$3,INDEX($B$10:$B$59,RANDBETWEEN(1,$E$3)),"")</x:f>
      </x:c>
      <x:c r="S229" s="68" t="str">
        <x:f>IF(COLUMN()-2&lt;=$E$3,INDEX($B$10:$B$59,RANDBETWEEN(1,$E$3)),"")</x:f>
      </x:c>
      <x:c r="T229" s="68" t="str">
        <x:f>IF(COLUMN()-2&lt;=$E$3,INDEX($B$10:$B$59,RANDBETWEEN(1,$E$3)),"")</x:f>
      </x:c>
      <x:c r="U229" s="68" t="str">
        <x:f>IF(COLUMN()-2&lt;=$E$3,INDEX($B$10:$B$59,RANDBETWEEN(1,$E$3)),"")</x:f>
      </x:c>
      <x:c r="V229" s="68" t="str">
        <x:f>IF(COLUMN()-2&lt;=$E$3,INDEX($B$10:$B$59,RANDBETWEEN(1,$E$3)),"")</x:f>
      </x:c>
      <x:c r="W229" s="68" t="str">
        <x:f>IF(COLUMN()-2&lt;=$E$3,INDEX($B$10:$B$59,RANDBETWEEN(1,$E$3)),"")</x:f>
      </x:c>
      <x:c r="X229" s="68" t="str">
        <x:f>IF(COLUMN()-2&lt;=$E$3,INDEX($B$10:$B$59,RANDBETWEEN(1,$E$3)),"")</x:f>
      </x:c>
      <x:c r="Y229" s="68" t="str">
        <x:f>IF(COLUMN()-2&lt;=$E$3,INDEX($B$10:$B$59,RANDBETWEEN(1,$E$3)),"")</x:f>
      </x:c>
      <x:c r="Z229" s="68" t="str">
        <x:f>IF(COLUMN()-2&lt;=$E$3,INDEX($B$10:$B$59,RANDBETWEEN(1,$E$3)),"")</x:f>
      </x:c>
      <x:c r="AA229" s="68" t="str">
        <x:f>IF(COLUMN()-2&lt;=$E$3,INDEX($B$10:$B$59,RANDBETWEEN(1,$E$3)),"")</x:f>
      </x:c>
      <x:c r="AB229" s="68" t="str">
        <x:f>IF(COLUMN()-2&lt;=$E$3,INDEX($B$10:$B$59,RANDBETWEEN(1,$E$3)),"")</x:f>
      </x:c>
      <x:c r="AC229" s="68" t="str">
        <x:f>IF(COLUMN()-2&lt;=$E$3,INDEX($B$10:$B$59,RANDBETWEEN(1,$E$3)),"")</x:f>
      </x:c>
      <x:c r="AD229" s="68" t="str">
        <x:f>IF(COLUMN()-2&lt;=$E$3,INDEX($B$10:$B$59,RANDBETWEEN(1,$E$3)),"")</x:f>
      </x:c>
      <x:c r="AE229" s="68" t="str">
        <x:f>IF(COLUMN()-2&lt;=$E$3,INDEX($B$10:$B$59,RANDBETWEEN(1,$E$3)),"")</x:f>
      </x:c>
      <x:c r="AF229" s="68" t="str">
        <x:f>IF(COLUMN()-2&lt;=$E$3,INDEX($B$10:$B$59,RANDBETWEEN(1,$E$3)),"")</x:f>
      </x:c>
      <x:c r="AG229" s="68" t="str">
        <x:f>IF(COLUMN()-2&lt;=$E$3,INDEX($B$10:$B$59,RANDBETWEEN(1,$E$3)),"")</x:f>
      </x:c>
      <x:c r="AH229" s="68" t="str">
        <x:f>IF(COLUMN()-2&lt;=$E$3,INDEX($B$10:$B$59,RANDBETWEEN(1,$E$3)),"")</x:f>
      </x:c>
      <x:c r="AI229" s="68" t="str">
        <x:f>IF(COLUMN()-2&lt;=$E$3,INDEX($B$10:$B$59,RANDBETWEEN(1,$E$3)),"")</x:f>
      </x:c>
      <x:c r="AJ229" s="68" t="str">
        <x:f>IF(COLUMN()-2&lt;=$E$3,INDEX($B$10:$B$59,RANDBETWEEN(1,$E$3)),"")</x:f>
      </x:c>
      <x:c r="AK229" s="68" t="str">
        <x:f>IF(COLUMN()-2&lt;=$E$3,INDEX($B$10:$B$59,RANDBETWEEN(1,$E$3)),"")</x:f>
      </x:c>
      <x:c r="AL229" s="68" t="str">
        <x:f>IF(COLUMN()-2&lt;=$E$3,INDEX($B$10:$B$59,RANDBETWEEN(1,$E$3)),"")</x:f>
      </x:c>
      <x:c r="AM229" s="68" t="str">
        <x:f>IF(COLUMN()-2&lt;=$E$3,INDEX($B$10:$B$59,RANDBETWEEN(1,$E$3)),"")</x:f>
      </x:c>
      <x:c r="AN229" s="68" t="str">
        <x:f>IF(COLUMN()-2&lt;=$E$3,INDEX($B$10:$B$59,RANDBETWEEN(1,$E$3)),"")</x:f>
      </x:c>
      <x:c r="AO229" s="68" t="str">
        <x:f>IF(COLUMN()-2&lt;=$E$3,INDEX($B$10:$B$59,RANDBETWEEN(1,$E$3)),"")</x:f>
      </x:c>
      <x:c r="AP229" s="68" t="str">
        <x:f>IF(COLUMN()-2&lt;=$E$3,INDEX($B$10:$B$59,RANDBETWEEN(1,$E$3)),"")</x:f>
      </x:c>
      <x:c r="AQ229" s="68" t="str">
        <x:f>IF(COLUMN()-2&lt;=$E$3,INDEX($B$10:$B$59,RANDBETWEEN(1,$E$3)),"")</x:f>
      </x:c>
      <x:c r="AR229" s="68" t="str">
        <x:f>IF(COLUMN()-2&lt;=$E$3,INDEX($B$10:$B$59,RANDBETWEEN(1,$E$3)),"")</x:f>
      </x:c>
      <x:c r="AS229" s="68" t="str">
        <x:f>IF(COLUMN()-2&lt;=$E$3,INDEX($B$10:$B$59,RANDBETWEEN(1,$E$3)),"")</x:f>
      </x:c>
      <x:c r="AT229" s="68" t="str">
        <x:f>IF(COLUMN()-2&lt;=$E$3,INDEX($B$10:$B$59,RANDBETWEEN(1,$E$3)),"")</x:f>
      </x:c>
      <x:c r="AU229" s="68" t="str">
        <x:f>IF(COLUMN()-2&lt;=$E$3,INDEX($B$10:$B$59,RANDBETWEEN(1,$E$3)),"")</x:f>
      </x:c>
      <x:c r="AV229" s="68" t="str">
        <x:f>IF(COLUMN()-2&lt;=$E$3,INDEX($B$10:$B$59,RANDBETWEEN(1,$E$3)),"")</x:f>
      </x:c>
      <x:c r="AW229" s="68" t="str">
        <x:f>IF(COLUMN()-2&lt;=$E$3,INDEX($B$10:$B$59,RANDBETWEEN(1,$E$3)),"")</x:f>
      </x:c>
      <x:c r="AX229" s="68" t="str">
        <x:f>IF(COLUMN()-2&lt;=$E$3,INDEX($B$10:$B$59,RANDBETWEEN(1,$E$3)),"")</x:f>
      </x:c>
      <x:c r="AY229" s="68" t="str">
        <x:f>IF(COLUMN()-2&lt;=$E$3,INDEX($B$10:$B$59,RANDBETWEEN(1,$E$3)),"")</x:f>
      </x:c>
      <x:c r="AZ229" s="68" t="str">
        <x:f>IF(COLUMN()-2&lt;=$E$3,INDEX($B$10:$B$59,RANDBETWEEN(1,$E$3)),"")</x:f>
      </x:c>
      <x:c r="BA229" s="68" t="str">
        <x:f>IF($E$3=0,"",AVERAGE(C229:AZ229))</x:f>
      </x:c>
    </x:row>
    <x:row r="230">
      <x:c r="A230" t="n">
        <x:v>166</x:v>
      </x:c>
      <x:c r="C230" s="68" t="str">
        <x:f>IF(COLUMN()-2&lt;=$E$3,INDEX($B$10:$B$59,RANDBETWEEN(1,$E$3)),"")</x:f>
      </x:c>
      <x:c r="D230" s="68" t="str">
        <x:f>IF(COLUMN()-2&lt;=$E$3,INDEX($B$10:$B$59,RANDBETWEEN(1,$E$3)),"")</x:f>
      </x:c>
      <x:c r="E230" s="68" t="str">
        <x:f>IF(COLUMN()-2&lt;=$E$3,INDEX($B$10:$B$59,RANDBETWEEN(1,$E$3)),"")</x:f>
      </x:c>
      <x:c r="F230" s="68" t="str">
        <x:f>IF(COLUMN()-2&lt;=$E$3,INDEX($B$10:$B$59,RANDBETWEEN(1,$E$3)),"")</x:f>
      </x:c>
      <x:c r="G230" s="68" t="str">
        <x:f>IF(COLUMN()-2&lt;=$E$3,INDEX($B$10:$B$59,RANDBETWEEN(1,$E$3)),"")</x:f>
      </x:c>
      <x:c r="H230" s="68" t="str">
        <x:f>IF(COLUMN()-2&lt;=$E$3,INDEX($B$10:$B$59,RANDBETWEEN(1,$E$3)),"")</x:f>
      </x:c>
      <x:c r="I230" s="68" t="str">
        <x:f>IF(COLUMN()-2&lt;=$E$3,INDEX($B$10:$B$59,RANDBETWEEN(1,$E$3)),"")</x:f>
      </x:c>
      <x:c r="J230" s="68" t="str">
        <x:f>IF(COLUMN()-2&lt;=$E$3,INDEX($B$10:$B$59,RANDBETWEEN(1,$E$3)),"")</x:f>
      </x:c>
      <x:c r="K230" s="68" t="str">
        <x:f>IF(COLUMN()-2&lt;=$E$3,INDEX($B$10:$B$59,RANDBETWEEN(1,$E$3)),"")</x:f>
      </x:c>
      <x:c r="L230" s="68" t="str">
        <x:f>IF(COLUMN()-2&lt;=$E$3,INDEX($B$10:$B$59,RANDBETWEEN(1,$E$3)),"")</x:f>
      </x:c>
      <x:c r="M230" s="68" t="str">
        <x:f>IF(COLUMN()-2&lt;=$E$3,INDEX($B$10:$B$59,RANDBETWEEN(1,$E$3)),"")</x:f>
      </x:c>
      <x:c r="N230" s="68" t="str">
        <x:f>IF(COLUMN()-2&lt;=$E$3,INDEX($B$10:$B$59,RANDBETWEEN(1,$E$3)),"")</x:f>
      </x:c>
      <x:c r="O230" s="68" t="str">
        <x:f>IF(COLUMN()-2&lt;=$E$3,INDEX($B$10:$B$59,RANDBETWEEN(1,$E$3)),"")</x:f>
      </x:c>
      <x:c r="P230" s="68" t="str">
        <x:f>IF(COLUMN()-2&lt;=$E$3,INDEX($B$10:$B$59,RANDBETWEEN(1,$E$3)),"")</x:f>
      </x:c>
      <x:c r="Q230" s="68" t="str">
        <x:f>IF(COLUMN()-2&lt;=$E$3,INDEX($B$10:$B$59,RANDBETWEEN(1,$E$3)),"")</x:f>
      </x:c>
      <x:c r="R230" s="68" t="str">
        <x:f>IF(COLUMN()-2&lt;=$E$3,INDEX($B$10:$B$59,RANDBETWEEN(1,$E$3)),"")</x:f>
      </x:c>
      <x:c r="S230" s="68" t="str">
        <x:f>IF(COLUMN()-2&lt;=$E$3,INDEX($B$10:$B$59,RANDBETWEEN(1,$E$3)),"")</x:f>
      </x:c>
      <x:c r="T230" s="68" t="str">
        <x:f>IF(COLUMN()-2&lt;=$E$3,INDEX($B$10:$B$59,RANDBETWEEN(1,$E$3)),"")</x:f>
      </x:c>
      <x:c r="U230" s="68" t="str">
        <x:f>IF(COLUMN()-2&lt;=$E$3,INDEX($B$10:$B$59,RANDBETWEEN(1,$E$3)),"")</x:f>
      </x:c>
      <x:c r="V230" s="68" t="str">
        <x:f>IF(COLUMN()-2&lt;=$E$3,INDEX($B$10:$B$59,RANDBETWEEN(1,$E$3)),"")</x:f>
      </x:c>
      <x:c r="W230" s="68" t="str">
        <x:f>IF(COLUMN()-2&lt;=$E$3,INDEX($B$10:$B$59,RANDBETWEEN(1,$E$3)),"")</x:f>
      </x:c>
      <x:c r="X230" s="68" t="str">
        <x:f>IF(COLUMN()-2&lt;=$E$3,INDEX($B$10:$B$59,RANDBETWEEN(1,$E$3)),"")</x:f>
      </x:c>
      <x:c r="Y230" s="68" t="str">
        <x:f>IF(COLUMN()-2&lt;=$E$3,INDEX($B$10:$B$59,RANDBETWEEN(1,$E$3)),"")</x:f>
      </x:c>
      <x:c r="Z230" s="68" t="str">
        <x:f>IF(COLUMN()-2&lt;=$E$3,INDEX($B$10:$B$59,RANDBETWEEN(1,$E$3)),"")</x:f>
      </x:c>
      <x:c r="AA230" s="68" t="str">
        <x:f>IF(COLUMN()-2&lt;=$E$3,INDEX($B$10:$B$59,RANDBETWEEN(1,$E$3)),"")</x:f>
      </x:c>
      <x:c r="AB230" s="68" t="str">
        <x:f>IF(COLUMN()-2&lt;=$E$3,INDEX($B$10:$B$59,RANDBETWEEN(1,$E$3)),"")</x:f>
      </x:c>
      <x:c r="AC230" s="68" t="str">
        <x:f>IF(COLUMN()-2&lt;=$E$3,INDEX($B$10:$B$59,RANDBETWEEN(1,$E$3)),"")</x:f>
      </x:c>
      <x:c r="AD230" s="68" t="str">
        <x:f>IF(COLUMN()-2&lt;=$E$3,INDEX($B$10:$B$59,RANDBETWEEN(1,$E$3)),"")</x:f>
      </x:c>
      <x:c r="AE230" s="68" t="str">
        <x:f>IF(COLUMN()-2&lt;=$E$3,INDEX($B$10:$B$59,RANDBETWEEN(1,$E$3)),"")</x:f>
      </x:c>
      <x:c r="AF230" s="68" t="str">
        <x:f>IF(COLUMN()-2&lt;=$E$3,INDEX($B$10:$B$59,RANDBETWEEN(1,$E$3)),"")</x:f>
      </x:c>
      <x:c r="AG230" s="68" t="str">
        <x:f>IF(COLUMN()-2&lt;=$E$3,INDEX($B$10:$B$59,RANDBETWEEN(1,$E$3)),"")</x:f>
      </x:c>
      <x:c r="AH230" s="68" t="str">
        <x:f>IF(COLUMN()-2&lt;=$E$3,INDEX($B$10:$B$59,RANDBETWEEN(1,$E$3)),"")</x:f>
      </x:c>
      <x:c r="AI230" s="68" t="str">
        <x:f>IF(COLUMN()-2&lt;=$E$3,INDEX($B$10:$B$59,RANDBETWEEN(1,$E$3)),"")</x:f>
      </x:c>
      <x:c r="AJ230" s="68" t="str">
        <x:f>IF(COLUMN()-2&lt;=$E$3,INDEX($B$10:$B$59,RANDBETWEEN(1,$E$3)),"")</x:f>
      </x:c>
      <x:c r="AK230" s="68" t="str">
        <x:f>IF(COLUMN()-2&lt;=$E$3,INDEX($B$10:$B$59,RANDBETWEEN(1,$E$3)),"")</x:f>
      </x:c>
      <x:c r="AL230" s="68" t="str">
        <x:f>IF(COLUMN()-2&lt;=$E$3,INDEX($B$10:$B$59,RANDBETWEEN(1,$E$3)),"")</x:f>
      </x:c>
      <x:c r="AM230" s="68" t="str">
        <x:f>IF(COLUMN()-2&lt;=$E$3,INDEX($B$10:$B$59,RANDBETWEEN(1,$E$3)),"")</x:f>
      </x:c>
      <x:c r="AN230" s="68" t="str">
        <x:f>IF(COLUMN()-2&lt;=$E$3,INDEX($B$10:$B$59,RANDBETWEEN(1,$E$3)),"")</x:f>
      </x:c>
      <x:c r="AO230" s="68" t="str">
        <x:f>IF(COLUMN()-2&lt;=$E$3,INDEX($B$10:$B$59,RANDBETWEEN(1,$E$3)),"")</x:f>
      </x:c>
      <x:c r="AP230" s="68" t="str">
        <x:f>IF(COLUMN()-2&lt;=$E$3,INDEX($B$10:$B$59,RANDBETWEEN(1,$E$3)),"")</x:f>
      </x:c>
      <x:c r="AQ230" s="68" t="str">
        <x:f>IF(COLUMN()-2&lt;=$E$3,INDEX($B$10:$B$59,RANDBETWEEN(1,$E$3)),"")</x:f>
      </x:c>
      <x:c r="AR230" s="68" t="str">
        <x:f>IF(COLUMN()-2&lt;=$E$3,INDEX($B$10:$B$59,RANDBETWEEN(1,$E$3)),"")</x:f>
      </x:c>
      <x:c r="AS230" s="68" t="str">
        <x:f>IF(COLUMN()-2&lt;=$E$3,INDEX($B$10:$B$59,RANDBETWEEN(1,$E$3)),"")</x:f>
      </x:c>
      <x:c r="AT230" s="68" t="str">
        <x:f>IF(COLUMN()-2&lt;=$E$3,INDEX($B$10:$B$59,RANDBETWEEN(1,$E$3)),"")</x:f>
      </x:c>
      <x:c r="AU230" s="68" t="str">
        <x:f>IF(COLUMN()-2&lt;=$E$3,INDEX($B$10:$B$59,RANDBETWEEN(1,$E$3)),"")</x:f>
      </x:c>
      <x:c r="AV230" s="68" t="str">
        <x:f>IF(COLUMN()-2&lt;=$E$3,INDEX($B$10:$B$59,RANDBETWEEN(1,$E$3)),"")</x:f>
      </x:c>
      <x:c r="AW230" s="68" t="str">
        <x:f>IF(COLUMN()-2&lt;=$E$3,INDEX($B$10:$B$59,RANDBETWEEN(1,$E$3)),"")</x:f>
      </x:c>
      <x:c r="AX230" s="68" t="str">
        <x:f>IF(COLUMN()-2&lt;=$E$3,INDEX($B$10:$B$59,RANDBETWEEN(1,$E$3)),"")</x:f>
      </x:c>
      <x:c r="AY230" s="68" t="str">
        <x:f>IF(COLUMN()-2&lt;=$E$3,INDEX($B$10:$B$59,RANDBETWEEN(1,$E$3)),"")</x:f>
      </x:c>
      <x:c r="AZ230" s="68" t="str">
        <x:f>IF(COLUMN()-2&lt;=$E$3,INDEX($B$10:$B$59,RANDBETWEEN(1,$E$3)),"")</x:f>
      </x:c>
      <x:c r="BA230" s="68" t="str">
        <x:f>IF($E$3=0,"",AVERAGE(C230:AZ230))</x:f>
      </x:c>
    </x:row>
    <x:row r="231">
      <x:c r="A231" t="n">
        <x:v>167</x:v>
      </x:c>
      <x:c r="C231" s="68" t="str">
        <x:f>IF(COLUMN()-2&lt;=$E$3,INDEX($B$10:$B$59,RANDBETWEEN(1,$E$3)),"")</x:f>
      </x:c>
      <x:c r="D231" s="68" t="str">
        <x:f>IF(COLUMN()-2&lt;=$E$3,INDEX($B$10:$B$59,RANDBETWEEN(1,$E$3)),"")</x:f>
      </x:c>
      <x:c r="E231" s="68" t="str">
        <x:f>IF(COLUMN()-2&lt;=$E$3,INDEX($B$10:$B$59,RANDBETWEEN(1,$E$3)),"")</x:f>
      </x:c>
      <x:c r="F231" s="68" t="str">
        <x:f>IF(COLUMN()-2&lt;=$E$3,INDEX($B$10:$B$59,RANDBETWEEN(1,$E$3)),"")</x:f>
      </x:c>
      <x:c r="G231" s="68" t="str">
        <x:f>IF(COLUMN()-2&lt;=$E$3,INDEX($B$10:$B$59,RANDBETWEEN(1,$E$3)),"")</x:f>
      </x:c>
      <x:c r="H231" s="68" t="str">
        <x:f>IF(COLUMN()-2&lt;=$E$3,INDEX($B$10:$B$59,RANDBETWEEN(1,$E$3)),"")</x:f>
      </x:c>
      <x:c r="I231" s="68" t="str">
        <x:f>IF(COLUMN()-2&lt;=$E$3,INDEX($B$10:$B$59,RANDBETWEEN(1,$E$3)),"")</x:f>
      </x:c>
      <x:c r="J231" s="68" t="str">
        <x:f>IF(COLUMN()-2&lt;=$E$3,INDEX($B$10:$B$59,RANDBETWEEN(1,$E$3)),"")</x:f>
      </x:c>
      <x:c r="K231" s="68" t="str">
        <x:f>IF(COLUMN()-2&lt;=$E$3,INDEX($B$10:$B$59,RANDBETWEEN(1,$E$3)),"")</x:f>
      </x:c>
      <x:c r="L231" s="68" t="str">
        <x:f>IF(COLUMN()-2&lt;=$E$3,INDEX($B$10:$B$59,RANDBETWEEN(1,$E$3)),"")</x:f>
      </x:c>
      <x:c r="M231" s="68" t="str">
        <x:f>IF(COLUMN()-2&lt;=$E$3,INDEX($B$10:$B$59,RANDBETWEEN(1,$E$3)),"")</x:f>
      </x:c>
      <x:c r="N231" s="68" t="str">
        <x:f>IF(COLUMN()-2&lt;=$E$3,INDEX($B$10:$B$59,RANDBETWEEN(1,$E$3)),"")</x:f>
      </x:c>
      <x:c r="O231" s="68" t="str">
        <x:f>IF(COLUMN()-2&lt;=$E$3,INDEX($B$10:$B$59,RANDBETWEEN(1,$E$3)),"")</x:f>
      </x:c>
      <x:c r="P231" s="68" t="str">
        <x:f>IF(COLUMN()-2&lt;=$E$3,INDEX($B$10:$B$59,RANDBETWEEN(1,$E$3)),"")</x:f>
      </x:c>
      <x:c r="Q231" s="68" t="str">
        <x:f>IF(COLUMN()-2&lt;=$E$3,INDEX($B$10:$B$59,RANDBETWEEN(1,$E$3)),"")</x:f>
      </x:c>
      <x:c r="R231" s="68" t="str">
        <x:f>IF(COLUMN()-2&lt;=$E$3,INDEX($B$10:$B$59,RANDBETWEEN(1,$E$3)),"")</x:f>
      </x:c>
      <x:c r="S231" s="68" t="str">
        <x:f>IF(COLUMN()-2&lt;=$E$3,INDEX($B$10:$B$59,RANDBETWEEN(1,$E$3)),"")</x:f>
      </x:c>
      <x:c r="T231" s="68" t="str">
        <x:f>IF(COLUMN()-2&lt;=$E$3,INDEX($B$10:$B$59,RANDBETWEEN(1,$E$3)),"")</x:f>
      </x:c>
      <x:c r="U231" s="68" t="str">
        <x:f>IF(COLUMN()-2&lt;=$E$3,INDEX($B$10:$B$59,RANDBETWEEN(1,$E$3)),"")</x:f>
      </x:c>
      <x:c r="V231" s="68" t="str">
        <x:f>IF(COLUMN()-2&lt;=$E$3,INDEX($B$10:$B$59,RANDBETWEEN(1,$E$3)),"")</x:f>
      </x:c>
      <x:c r="W231" s="68" t="str">
        <x:f>IF(COLUMN()-2&lt;=$E$3,INDEX($B$10:$B$59,RANDBETWEEN(1,$E$3)),"")</x:f>
      </x:c>
      <x:c r="X231" s="68" t="str">
        <x:f>IF(COLUMN()-2&lt;=$E$3,INDEX($B$10:$B$59,RANDBETWEEN(1,$E$3)),"")</x:f>
      </x:c>
      <x:c r="Y231" s="68" t="str">
        <x:f>IF(COLUMN()-2&lt;=$E$3,INDEX($B$10:$B$59,RANDBETWEEN(1,$E$3)),"")</x:f>
      </x:c>
      <x:c r="Z231" s="68" t="str">
        <x:f>IF(COLUMN()-2&lt;=$E$3,INDEX($B$10:$B$59,RANDBETWEEN(1,$E$3)),"")</x:f>
      </x:c>
      <x:c r="AA231" s="68" t="str">
        <x:f>IF(COLUMN()-2&lt;=$E$3,INDEX($B$10:$B$59,RANDBETWEEN(1,$E$3)),"")</x:f>
      </x:c>
      <x:c r="AB231" s="68" t="str">
        <x:f>IF(COLUMN()-2&lt;=$E$3,INDEX($B$10:$B$59,RANDBETWEEN(1,$E$3)),"")</x:f>
      </x:c>
      <x:c r="AC231" s="68" t="str">
        <x:f>IF(COLUMN()-2&lt;=$E$3,INDEX($B$10:$B$59,RANDBETWEEN(1,$E$3)),"")</x:f>
      </x:c>
      <x:c r="AD231" s="68" t="str">
        <x:f>IF(COLUMN()-2&lt;=$E$3,INDEX($B$10:$B$59,RANDBETWEEN(1,$E$3)),"")</x:f>
      </x:c>
      <x:c r="AE231" s="68" t="str">
        <x:f>IF(COLUMN()-2&lt;=$E$3,INDEX($B$10:$B$59,RANDBETWEEN(1,$E$3)),"")</x:f>
      </x:c>
      <x:c r="AF231" s="68" t="str">
        <x:f>IF(COLUMN()-2&lt;=$E$3,INDEX($B$10:$B$59,RANDBETWEEN(1,$E$3)),"")</x:f>
      </x:c>
      <x:c r="AG231" s="68" t="str">
        <x:f>IF(COLUMN()-2&lt;=$E$3,INDEX($B$10:$B$59,RANDBETWEEN(1,$E$3)),"")</x:f>
      </x:c>
      <x:c r="AH231" s="68" t="str">
        <x:f>IF(COLUMN()-2&lt;=$E$3,INDEX($B$10:$B$59,RANDBETWEEN(1,$E$3)),"")</x:f>
      </x:c>
      <x:c r="AI231" s="68" t="str">
        <x:f>IF(COLUMN()-2&lt;=$E$3,INDEX($B$10:$B$59,RANDBETWEEN(1,$E$3)),"")</x:f>
      </x:c>
      <x:c r="AJ231" s="68" t="str">
        <x:f>IF(COLUMN()-2&lt;=$E$3,INDEX($B$10:$B$59,RANDBETWEEN(1,$E$3)),"")</x:f>
      </x:c>
      <x:c r="AK231" s="68" t="str">
        <x:f>IF(COLUMN()-2&lt;=$E$3,INDEX($B$10:$B$59,RANDBETWEEN(1,$E$3)),"")</x:f>
      </x:c>
      <x:c r="AL231" s="68" t="str">
        <x:f>IF(COLUMN()-2&lt;=$E$3,INDEX($B$10:$B$59,RANDBETWEEN(1,$E$3)),"")</x:f>
      </x:c>
      <x:c r="AM231" s="68" t="str">
        <x:f>IF(COLUMN()-2&lt;=$E$3,INDEX($B$10:$B$59,RANDBETWEEN(1,$E$3)),"")</x:f>
      </x:c>
      <x:c r="AN231" s="68" t="str">
        <x:f>IF(COLUMN()-2&lt;=$E$3,INDEX($B$10:$B$59,RANDBETWEEN(1,$E$3)),"")</x:f>
      </x:c>
      <x:c r="AO231" s="68" t="str">
        <x:f>IF(COLUMN()-2&lt;=$E$3,INDEX($B$10:$B$59,RANDBETWEEN(1,$E$3)),"")</x:f>
      </x:c>
      <x:c r="AP231" s="68" t="str">
        <x:f>IF(COLUMN()-2&lt;=$E$3,INDEX($B$10:$B$59,RANDBETWEEN(1,$E$3)),"")</x:f>
      </x:c>
      <x:c r="AQ231" s="68" t="str">
        <x:f>IF(COLUMN()-2&lt;=$E$3,INDEX($B$10:$B$59,RANDBETWEEN(1,$E$3)),"")</x:f>
      </x:c>
      <x:c r="AR231" s="68" t="str">
        <x:f>IF(COLUMN()-2&lt;=$E$3,INDEX($B$10:$B$59,RANDBETWEEN(1,$E$3)),"")</x:f>
      </x:c>
      <x:c r="AS231" s="68" t="str">
        <x:f>IF(COLUMN()-2&lt;=$E$3,INDEX($B$10:$B$59,RANDBETWEEN(1,$E$3)),"")</x:f>
      </x:c>
      <x:c r="AT231" s="68" t="str">
        <x:f>IF(COLUMN()-2&lt;=$E$3,INDEX($B$10:$B$59,RANDBETWEEN(1,$E$3)),"")</x:f>
      </x:c>
      <x:c r="AU231" s="68" t="str">
        <x:f>IF(COLUMN()-2&lt;=$E$3,INDEX($B$10:$B$59,RANDBETWEEN(1,$E$3)),"")</x:f>
      </x:c>
      <x:c r="AV231" s="68" t="str">
        <x:f>IF(COLUMN()-2&lt;=$E$3,INDEX($B$10:$B$59,RANDBETWEEN(1,$E$3)),"")</x:f>
      </x:c>
      <x:c r="AW231" s="68" t="str">
        <x:f>IF(COLUMN()-2&lt;=$E$3,INDEX($B$10:$B$59,RANDBETWEEN(1,$E$3)),"")</x:f>
      </x:c>
      <x:c r="AX231" s="68" t="str">
        <x:f>IF(COLUMN()-2&lt;=$E$3,INDEX($B$10:$B$59,RANDBETWEEN(1,$E$3)),"")</x:f>
      </x:c>
      <x:c r="AY231" s="68" t="str">
        <x:f>IF(COLUMN()-2&lt;=$E$3,INDEX($B$10:$B$59,RANDBETWEEN(1,$E$3)),"")</x:f>
      </x:c>
      <x:c r="AZ231" s="68" t="str">
        <x:f>IF(COLUMN()-2&lt;=$E$3,INDEX($B$10:$B$59,RANDBETWEEN(1,$E$3)),"")</x:f>
      </x:c>
      <x:c r="BA231" s="68" t="str">
        <x:f>IF($E$3=0,"",AVERAGE(C231:AZ231))</x:f>
      </x:c>
    </x:row>
    <x:row r="232">
      <x:c r="A232" t="n">
        <x:v>168</x:v>
      </x:c>
      <x:c r="C232" s="68" t="str">
        <x:f>IF(COLUMN()-2&lt;=$E$3,INDEX($B$10:$B$59,RANDBETWEEN(1,$E$3)),"")</x:f>
      </x:c>
      <x:c r="D232" s="68" t="str">
        <x:f>IF(COLUMN()-2&lt;=$E$3,INDEX($B$10:$B$59,RANDBETWEEN(1,$E$3)),"")</x:f>
      </x:c>
      <x:c r="E232" s="68" t="str">
        <x:f>IF(COLUMN()-2&lt;=$E$3,INDEX($B$10:$B$59,RANDBETWEEN(1,$E$3)),"")</x:f>
      </x:c>
      <x:c r="F232" s="68" t="str">
        <x:f>IF(COLUMN()-2&lt;=$E$3,INDEX($B$10:$B$59,RANDBETWEEN(1,$E$3)),"")</x:f>
      </x:c>
      <x:c r="G232" s="68" t="str">
        <x:f>IF(COLUMN()-2&lt;=$E$3,INDEX($B$10:$B$59,RANDBETWEEN(1,$E$3)),"")</x:f>
      </x:c>
      <x:c r="H232" s="68" t="str">
        <x:f>IF(COLUMN()-2&lt;=$E$3,INDEX($B$10:$B$59,RANDBETWEEN(1,$E$3)),"")</x:f>
      </x:c>
      <x:c r="I232" s="68" t="str">
        <x:f>IF(COLUMN()-2&lt;=$E$3,INDEX($B$10:$B$59,RANDBETWEEN(1,$E$3)),"")</x:f>
      </x:c>
      <x:c r="J232" s="68" t="str">
        <x:f>IF(COLUMN()-2&lt;=$E$3,INDEX($B$10:$B$59,RANDBETWEEN(1,$E$3)),"")</x:f>
      </x:c>
      <x:c r="K232" s="68" t="str">
        <x:f>IF(COLUMN()-2&lt;=$E$3,INDEX($B$10:$B$59,RANDBETWEEN(1,$E$3)),"")</x:f>
      </x:c>
      <x:c r="L232" s="68" t="str">
        <x:f>IF(COLUMN()-2&lt;=$E$3,INDEX($B$10:$B$59,RANDBETWEEN(1,$E$3)),"")</x:f>
      </x:c>
      <x:c r="M232" s="68" t="str">
        <x:f>IF(COLUMN()-2&lt;=$E$3,INDEX($B$10:$B$59,RANDBETWEEN(1,$E$3)),"")</x:f>
      </x:c>
      <x:c r="N232" s="68" t="str">
        <x:f>IF(COLUMN()-2&lt;=$E$3,INDEX($B$10:$B$59,RANDBETWEEN(1,$E$3)),"")</x:f>
      </x:c>
      <x:c r="O232" s="68" t="str">
        <x:f>IF(COLUMN()-2&lt;=$E$3,INDEX($B$10:$B$59,RANDBETWEEN(1,$E$3)),"")</x:f>
      </x:c>
      <x:c r="P232" s="68" t="str">
        <x:f>IF(COLUMN()-2&lt;=$E$3,INDEX($B$10:$B$59,RANDBETWEEN(1,$E$3)),"")</x:f>
      </x:c>
      <x:c r="Q232" s="68" t="str">
        <x:f>IF(COLUMN()-2&lt;=$E$3,INDEX($B$10:$B$59,RANDBETWEEN(1,$E$3)),"")</x:f>
      </x:c>
      <x:c r="R232" s="68" t="str">
        <x:f>IF(COLUMN()-2&lt;=$E$3,INDEX($B$10:$B$59,RANDBETWEEN(1,$E$3)),"")</x:f>
      </x:c>
      <x:c r="S232" s="68" t="str">
        <x:f>IF(COLUMN()-2&lt;=$E$3,INDEX($B$10:$B$59,RANDBETWEEN(1,$E$3)),"")</x:f>
      </x:c>
      <x:c r="T232" s="68" t="str">
        <x:f>IF(COLUMN()-2&lt;=$E$3,INDEX($B$10:$B$59,RANDBETWEEN(1,$E$3)),"")</x:f>
      </x:c>
      <x:c r="U232" s="68" t="str">
        <x:f>IF(COLUMN()-2&lt;=$E$3,INDEX($B$10:$B$59,RANDBETWEEN(1,$E$3)),"")</x:f>
      </x:c>
      <x:c r="V232" s="68" t="str">
        <x:f>IF(COLUMN()-2&lt;=$E$3,INDEX($B$10:$B$59,RANDBETWEEN(1,$E$3)),"")</x:f>
      </x:c>
      <x:c r="W232" s="68" t="str">
        <x:f>IF(COLUMN()-2&lt;=$E$3,INDEX($B$10:$B$59,RANDBETWEEN(1,$E$3)),"")</x:f>
      </x:c>
      <x:c r="X232" s="68" t="str">
        <x:f>IF(COLUMN()-2&lt;=$E$3,INDEX($B$10:$B$59,RANDBETWEEN(1,$E$3)),"")</x:f>
      </x:c>
      <x:c r="Y232" s="68" t="str">
        <x:f>IF(COLUMN()-2&lt;=$E$3,INDEX($B$10:$B$59,RANDBETWEEN(1,$E$3)),"")</x:f>
      </x:c>
      <x:c r="Z232" s="68" t="str">
        <x:f>IF(COLUMN()-2&lt;=$E$3,INDEX($B$10:$B$59,RANDBETWEEN(1,$E$3)),"")</x:f>
      </x:c>
      <x:c r="AA232" s="68" t="str">
        <x:f>IF(COLUMN()-2&lt;=$E$3,INDEX($B$10:$B$59,RANDBETWEEN(1,$E$3)),"")</x:f>
      </x:c>
      <x:c r="AB232" s="68" t="str">
        <x:f>IF(COLUMN()-2&lt;=$E$3,INDEX($B$10:$B$59,RANDBETWEEN(1,$E$3)),"")</x:f>
      </x:c>
      <x:c r="AC232" s="68" t="str">
        <x:f>IF(COLUMN()-2&lt;=$E$3,INDEX($B$10:$B$59,RANDBETWEEN(1,$E$3)),"")</x:f>
      </x:c>
      <x:c r="AD232" s="68" t="str">
        <x:f>IF(COLUMN()-2&lt;=$E$3,INDEX($B$10:$B$59,RANDBETWEEN(1,$E$3)),"")</x:f>
      </x:c>
      <x:c r="AE232" s="68" t="str">
        <x:f>IF(COLUMN()-2&lt;=$E$3,INDEX($B$10:$B$59,RANDBETWEEN(1,$E$3)),"")</x:f>
      </x:c>
      <x:c r="AF232" s="68" t="str">
        <x:f>IF(COLUMN()-2&lt;=$E$3,INDEX($B$10:$B$59,RANDBETWEEN(1,$E$3)),"")</x:f>
      </x:c>
      <x:c r="AG232" s="68" t="str">
        <x:f>IF(COLUMN()-2&lt;=$E$3,INDEX($B$10:$B$59,RANDBETWEEN(1,$E$3)),"")</x:f>
      </x:c>
      <x:c r="AH232" s="68" t="str">
        <x:f>IF(COLUMN()-2&lt;=$E$3,INDEX($B$10:$B$59,RANDBETWEEN(1,$E$3)),"")</x:f>
      </x:c>
      <x:c r="AI232" s="68" t="str">
        <x:f>IF(COLUMN()-2&lt;=$E$3,INDEX($B$10:$B$59,RANDBETWEEN(1,$E$3)),"")</x:f>
      </x:c>
      <x:c r="AJ232" s="68" t="str">
        <x:f>IF(COLUMN()-2&lt;=$E$3,INDEX($B$10:$B$59,RANDBETWEEN(1,$E$3)),"")</x:f>
      </x:c>
      <x:c r="AK232" s="68" t="str">
        <x:f>IF(COLUMN()-2&lt;=$E$3,INDEX($B$10:$B$59,RANDBETWEEN(1,$E$3)),"")</x:f>
      </x:c>
      <x:c r="AL232" s="68" t="str">
        <x:f>IF(COLUMN()-2&lt;=$E$3,INDEX($B$10:$B$59,RANDBETWEEN(1,$E$3)),"")</x:f>
      </x:c>
      <x:c r="AM232" s="68" t="str">
        <x:f>IF(COLUMN()-2&lt;=$E$3,INDEX($B$10:$B$59,RANDBETWEEN(1,$E$3)),"")</x:f>
      </x:c>
      <x:c r="AN232" s="68" t="str">
        <x:f>IF(COLUMN()-2&lt;=$E$3,INDEX($B$10:$B$59,RANDBETWEEN(1,$E$3)),"")</x:f>
      </x:c>
      <x:c r="AO232" s="68" t="str">
        <x:f>IF(COLUMN()-2&lt;=$E$3,INDEX($B$10:$B$59,RANDBETWEEN(1,$E$3)),"")</x:f>
      </x:c>
      <x:c r="AP232" s="68" t="str">
        <x:f>IF(COLUMN()-2&lt;=$E$3,INDEX($B$10:$B$59,RANDBETWEEN(1,$E$3)),"")</x:f>
      </x:c>
      <x:c r="AQ232" s="68" t="str">
        <x:f>IF(COLUMN()-2&lt;=$E$3,INDEX($B$10:$B$59,RANDBETWEEN(1,$E$3)),"")</x:f>
      </x:c>
      <x:c r="AR232" s="68" t="str">
        <x:f>IF(COLUMN()-2&lt;=$E$3,INDEX($B$10:$B$59,RANDBETWEEN(1,$E$3)),"")</x:f>
      </x:c>
      <x:c r="AS232" s="68" t="str">
        <x:f>IF(COLUMN()-2&lt;=$E$3,INDEX($B$10:$B$59,RANDBETWEEN(1,$E$3)),"")</x:f>
      </x:c>
      <x:c r="AT232" s="68" t="str">
        <x:f>IF(COLUMN()-2&lt;=$E$3,INDEX($B$10:$B$59,RANDBETWEEN(1,$E$3)),"")</x:f>
      </x:c>
      <x:c r="AU232" s="68" t="str">
        <x:f>IF(COLUMN()-2&lt;=$E$3,INDEX($B$10:$B$59,RANDBETWEEN(1,$E$3)),"")</x:f>
      </x:c>
      <x:c r="AV232" s="68" t="str">
        <x:f>IF(COLUMN()-2&lt;=$E$3,INDEX($B$10:$B$59,RANDBETWEEN(1,$E$3)),"")</x:f>
      </x:c>
      <x:c r="AW232" s="68" t="str">
        <x:f>IF(COLUMN()-2&lt;=$E$3,INDEX($B$10:$B$59,RANDBETWEEN(1,$E$3)),"")</x:f>
      </x:c>
      <x:c r="AX232" s="68" t="str">
        <x:f>IF(COLUMN()-2&lt;=$E$3,INDEX($B$10:$B$59,RANDBETWEEN(1,$E$3)),"")</x:f>
      </x:c>
      <x:c r="AY232" s="68" t="str">
        <x:f>IF(COLUMN()-2&lt;=$E$3,INDEX($B$10:$B$59,RANDBETWEEN(1,$E$3)),"")</x:f>
      </x:c>
      <x:c r="AZ232" s="68" t="str">
        <x:f>IF(COLUMN()-2&lt;=$E$3,INDEX($B$10:$B$59,RANDBETWEEN(1,$E$3)),"")</x:f>
      </x:c>
      <x:c r="BA232" s="68" t="str">
        <x:f>IF($E$3=0,"",AVERAGE(C232:AZ232))</x:f>
      </x:c>
    </x:row>
    <x:row r="233">
      <x:c r="A233" t="n">
        <x:v>169</x:v>
      </x:c>
      <x:c r="C233" s="68" t="str">
        <x:f>IF(COLUMN()-2&lt;=$E$3,INDEX($B$10:$B$59,RANDBETWEEN(1,$E$3)),"")</x:f>
      </x:c>
      <x:c r="D233" s="68" t="str">
        <x:f>IF(COLUMN()-2&lt;=$E$3,INDEX($B$10:$B$59,RANDBETWEEN(1,$E$3)),"")</x:f>
      </x:c>
      <x:c r="E233" s="68" t="str">
        <x:f>IF(COLUMN()-2&lt;=$E$3,INDEX($B$10:$B$59,RANDBETWEEN(1,$E$3)),"")</x:f>
      </x:c>
      <x:c r="F233" s="68" t="str">
        <x:f>IF(COLUMN()-2&lt;=$E$3,INDEX($B$10:$B$59,RANDBETWEEN(1,$E$3)),"")</x:f>
      </x:c>
      <x:c r="G233" s="68" t="str">
        <x:f>IF(COLUMN()-2&lt;=$E$3,INDEX($B$10:$B$59,RANDBETWEEN(1,$E$3)),"")</x:f>
      </x:c>
      <x:c r="H233" s="68" t="str">
        <x:f>IF(COLUMN()-2&lt;=$E$3,INDEX($B$10:$B$59,RANDBETWEEN(1,$E$3)),"")</x:f>
      </x:c>
      <x:c r="I233" s="68" t="str">
        <x:f>IF(COLUMN()-2&lt;=$E$3,INDEX($B$10:$B$59,RANDBETWEEN(1,$E$3)),"")</x:f>
      </x:c>
      <x:c r="J233" s="68" t="str">
        <x:f>IF(COLUMN()-2&lt;=$E$3,INDEX($B$10:$B$59,RANDBETWEEN(1,$E$3)),"")</x:f>
      </x:c>
      <x:c r="K233" s="68" t="str">
        <x:f>IF(COLUMN()-2&lt;=$E$3,INDEX($B$10:$B$59,RANDBETWEEN(1,$E$3)),"")</x:f>
      </x:c>
      <x:c r="L233" s="68" t="str">
        <x:f>IF(COLUMN()-2&lt;=$E$3,INDEX($B$10:$B$59,RANDBETWEEN(1,$E$3)),"")</x:f>
      </x:c>
      <x:c r="M233" s="68" t="str">
        <x:f>IF(COLUMN()-2&lt;=$E$3,INDEX($B$10:$B$59,RANDBETWEEN(1,$E$3)),"")</x:f>
      </x:c>
      <x:c r="N233" s="68" t="str">
        <x:f>IF(COLUMN()-2&lt;=$E$3,INDEX($B$10:$B$59,RANDBETWEEN(1,$E$3)),"")</x:f>
      </x:c>
      <x:c r="O233" s="68" t="str">
        <x:f>IF(COLUMN()-2&lt;=$E$3,INDEX($B$10:$B$59,RANDBETWEEN(1,$E$3)),"")</x:f>
      </x:c>
      <x:c r="P233" s="68" t="str">
        <x:f>IF(COLUMN()-2&lt;=$E$3,INDEX($B$10:$B$59,RANDBETWEEN(1,$E$3)),"")</x:f>
      </x:c>
      <x:c r="Q233" s="68" t="str">
        <x:f>IF(COLUMN()-2&lt;=$E$3,INDEX($B$10:$B$59,RANDBETWEEN(1,$E$3)),"")</x:f>
      </x:c>
      <x:c r="R233" s="68" t="str">
        <x:f>IF(COLUMN()-2&lt;=$E$3,INDEX($B$10:$B$59,RANDBETWEEN(1,$E$3)),"")</x:f>
      </x:c>
      <x:c r="S233" s="68" t="str">
        <x:f>IF(COLUMN()-2&lt;=$E$3,INDEX($B$10:$B$59,RANDBETWEEN(1,$E$3)),"")</x:f>
      </x:c>
      <x:c r="T233" s="68" t="str">
        <x:f>IF(COLUMN()-2&lt;=$E$3,INDEX($B$10:$B$59,RANDBETWEEN(1,$E$3)),"")</x:f>
      </x:c>
      <x:c r="U233" s="68" t="str">
        <x:f>IF(COLUMN()-2&lt;=$E$3,INDEX($B$10:$B$59,RANDBETWEEN(1,$E$3)),"")</x:f>
      </x:c>
      <x:c r="V233" s="68" t="str">
        <x:f>IF(COLUMN()-2&lt;=$E$3,INDEX($B$10:$B$59,RANDBETWEEN(1,$E$3)),"")</x:f>
      </x:c>
      <x:c r="W233" s="68" t="str">
        <x:f>IF(COLUMN()-2&lt;=$E$3,INDEX($B$10:$B$59,RANDBETWEEN(1,$E$3)),"")</x:f>
      </x:c>
      <x:c r="X233" s="68" t="str">
        <x:f>IF(COLUMN()-2&lt;=$E$3,INDEX($B$10:$B$59,RANDBETWEEN(1,$E$3)),"")</x:f>
      </x:c>
      <x:c r="Y233" s="68" t="str">
        <x:f>IF(COLUMN()-2&lt;=$E$3,INDEX($B$10:$B$59,RANDBETWEEN(1,$E$3)),"")</x:f>
      </x:c>
      <x:c r="Z233" s="68" t="str">
        <x:f>IF(COLUMN()-2&lt;=$E$3,INDEX($B$10:$B$59,RANDBETWEEN(1,$E$3)),"")</x:f>
      </x:c>
      <x:c r="AA233" s="68" t="str">
        <x:f>IF(COLUMN()-2&lt;=$E$3,INDEX($B$10:$B$59,RANDBETWEEN(1,$E$3)),"")</x:f>
      </x:c>
      <x:c r="AB233" s="68" t="str">
        <x:f>IF(COLUMN()-2&lt;=$E$3,INDEX($B$10:$B$59,RANDBETWEEN(1,$E$3)),"")</x:f>
      </x:c>
      <x:c r="AC233" s="68" t="str">
        <x:f>IF(COLUMN()-2&lt;=$E$3,INDEX($B$10:$B$59,RANDBETWEEN(1,$E$3)),"")</x:f>
      </x:c>
      <x:c r="AD233" s="68" t="str">
        <x:f>IF(COLUMN()-2&lt;=$E$3,INDEX($B$10:$B$59,RANDBETWEEN(1,$E$3)),"")</x:f>
      </x:c>
      <x:c r="AE233" s="68" t="str">
        <x:f>IF(COLUMN()-2&lt;=$E$3,INDEX($B$10:$B$59,RANDBETWEEN(1,$E$3)),"")</x:f>
      </x:c>
      <x:c r="AF233" s="68" t="str">
        <x:f>IF(COLUMN()-2&lt;=$E$3,INDEX($B$10:$B$59,RANDBETWEEN(1,$E$3)),"")</x:f>
      </x:c>
      <x:c r="AG233" s="68" t="str">
        <x:f>IF(COLUMN()-2&lt;=$E$3,INDEX($B$10:$B$59,RANDBETWEEN(1,$E$3)),"")</x:f>
      </x:c>
      <x:c r="AH233" s="68" t="str">
        <x:f>IF(COLUMN()-2&lt;=$E$3,INDEX($B$10:$B$59,RANDBETWEEN(1,$E$3)),"")</x:f>
      </x:c>
      <x:c r="AI233" s="68" t="str">
        <x:f>IF(COLUMN()-2&lt;=$E$3,INDEX($B$10:$B$59,RANDBETWEEN(1,$E$3)),"")</x:f>
      </x:c>
      <x:c r="AJ233" s="68" t="str">
        <x:f>IF(COLUMN()-2&lt;=$E$3,INDEX($B$10:$B$59,RANDBETWEEN(1,$E$3)),"")</x:f>
      </x:c>
      <x:c r="AK233" s="68" t="str">
        <x:f>IF(COLUMN()-2&lt;=$E$3,INDEX($B$10:$B$59,RANDBETWEEN(1,$E$3)),"")</x:f>
      </x:c>
      <x:c r="AL233" s="68" t="str">
        <x:f>IF(COLUMN()-2&lt;=$E$3,INDEX($B$10:$B$59,RANDBETWEEN(1,$E$3)),"")</x:f>
      </x:c>
      <x:c r="AM233" s="68" t="str">
        <x:f>IF(COLUMN()-2&lt;=$E$3,INDEX($B$10:$B$59,RANDBETWEEN(1,$E$3)),"")</x:f>
      </x:c>
      <x:c r="AN233" s="68" t="str">
        <x:f>IF(COLUMN()-2&lt;=$E$3,INDEX($B$10:$B$59,RANDBETWEEN(1,$E$3)),"")</x:f>
      </x:c>
      <x:c r="AO233" s="68" t="str">
        <x:f>IF(COLUMN()-2&lt;=$E$3,INDEX($B$10:$B$59,RANDBETWEEN(1,$E$3)),"")</x:f>
      </x:c>
      <x:c r="AP233" s="68" t="str">
        <x:f>IF(COLUMN()-2&lt;=$E$3,INDEX($B$10:$B$59,RANDBETWEEN(1,$E$3)),"")</x:f>
      </x:c>
      <x:c r="AQ233" s="68" t="str">
        <x:f>IF(COLUMN()-2&lt;=$E$3,INDEX($B$10:$B$59,RANDBETWEEN(1,$E$3)),"")</x:f>
      </x:c>
      <x:c r="AR233" s="68" t="str">
        <x:f>IF(COLUMN()-2&lt;=$E$3,INDEX($B$10:$B$59,RANDBETWEEN(1,$E$3)),"")</x:f>
      </x:c>
      <x:c r="AS233" s="68" t="str">
        <x:f>IF(COLUMN()-2&lt;=$E$3,INDEX($B$10:$B$59,RANDBETWEEN(1,$E$3)),"")</x:f>
      </x:c>
      <x:c r="AT233" s="68" t="str">
        <x:f>IF(COLUMN()-2&lt;=$E$3,INDEX($B$10:$B$59,RANDBETWEEN(1,$E$3)),"")</x:f>
      </x:c>
      <x:c r="AU233" s="68" t="str">
        <x:f>IF(COLUMN()-2&lt;=$E$3,INDEX($B$10:$B$59,RANDBETWEEN(1,$E$3)),"")</x:f>
      </x:c>
      <x:c r="AV233" s="68" t="str">
        <x:f>IF(COLUMN()-2&lt;=$E$3,INDEX($B$10:$B$59,RANDBETWEEN(1,$E$3)),"")</x:f>
      </x:c>
      <x:c r="AW233" s="68" t="str">
        <x:f>IF(COLUMN()-2&lt;=$E$3,INDEX($B$10:$B$59,RANDBETWEEN(1,$E$3)),"")</x:f>
      </x:c>
      <x:c r="AX233" s="68" t="str">
        <x:f>IF(COLUMN()-2&lt;=$E$3,INDEX($B$10:$B$59,RANDBETWEEN(1,$E$3)),"")</x:f>
      </x:c>
      <x:c r="AY233" s="68" t="str">
        <x:f>IF(COLUMN()-2&lt;=$E$3,INDEX($B$10:$B$59,RANDBETWEEN(1,$E$3)),"")</x:f>
      </x:c>
      <x:c r="AZ233" s="68" t="str">
        <x:f>IF(COLUMN()-2&lt;=$E$3,INDEX($B$10:$B$59,RANDBETWEEN(1,$E$3)),"")</x:f>
      </x:c>
      <x:c r="BA233" s="68" t="str">
        <x:f>IF($E$3=0,"",AVERAGE(C233:AZ233))</x:f>
      </x:c>
    </x:row>
    <x:row r="234">
      <x:c r="A234" t="n">
        <x:v>170</x:v>
      </x:c>
      <x:c r="C234" s="68" t="str">
        <x:f>IF(COLUMN()-2&lt;=$E$3,INDEX($B$10:$B$59,RANDBETWEEN(1,$E$3)),"")</x:f>
      </x:c>
      <x:c r="D234" s="68" t="str">
        <x:f>IF(COLUMN()-2&lt;=$E$3,INDEX($B$10:$B$59,RANDBETWEEN(1,$E$3)),"")</x:f>
      </x:c>
      <x:c r="E234" s="68" t="str">
        <x:f>IF(COLUMN()-2&lt;=$E$3,INDEX($B$10:$B$59,RANDBETWEEN(1,$E$3)),"")</x:f>
      </x:c>
      <x:c r="F234" s="68" t="str">
        <x:f>IF(COLUMN()-2&lt;=$E$3,INDEX($B$10:$B$59,RANDBETWEEN(1,$E$3)),"")</x:f>
      </x:c>
      <x:c r="G234" s="68" t="str">
        <x:f>IF(COLUMN()-2&lt;=$E$3,INDEX($B$10:$B$59,RANDBETWEEN(1,$E$3)),"")</x:f>
      </x:c>
      <x:c r="H234" s="68" t="str">
        <x:f>IF(COLUMN()-2&lt;=$E$3,INDEX($B$10:$B$59,RANDBETWEEN(1,$E$3)),"")</x:f>
      </x:c>
      <x:c r="I234" s="68" t="str">
        <x:f>IF(COLUMN()-2&lt;=$E$3,INDEX($B$10:$B$59,RANDBETWEEN(1,$E$3)),"")</x:f>
      </x:c>
      <x:c r="J234" s="68" t="str">
        <x:f>IF(COLUMN()-2&lt;=$E$3,INDEX($B$10:$B$59,RANDBETWEEN(1,$E$3)),"")</x:f>
      </x:c>
      <x:c r="K234" s="68" t="str">
        <x:f>IF(COLUMN()-2&lt;=$E$3,INDEX($B$10:$B$59,RANDBETWEEN(1,$E$3)),"")</x:f>
      </x:c>
      <x:c r="L234" s="68" t="str">
        <x:f>IF(COLUMN()-2&lt;=$E$3,INDEX($B$10:$B$59,RANDBETWEEN(1,$E$3)),"")</x:f>
      </x:c>
      <x:c r="M234" s="68" t="str">
        <x:f>IF(COLUMN()-2&lt;=$E$3,INDEX($B$10:$B$59,RANDBETWEEN(1,$E$3)),"")</x:f>
      </x:c>
      <x:c r="N234" s="68" t="str">
        <x:f>IF(COLUMN()-2&lt;=$E$3,INDEX($B$10:$B$59,RANDBETWEEN(1,$E$3)),"")</x:f>
      </x:c>
      <x:c r="O234" s="68" t="str">
        <x:f>IF(COLUMN()-2&lt;=$E$3,INDEX($B$10:$B$59,RANDBETWEEN(1,$E$3)),"")</x:f>
      </x:c>
      <x:c r="P234" s="68" t="str">
        <x:f>IF(COLUMN()-2&lt;=$E$3,INDEX($B$10:$B$59,RANDBETWEEN(1,$E$3)),"")</x:f>
      </x:c>
      <x:c r="Q234" s="68" t="str">
        <x:f>IF(COLUMN()-2&lt;=$E$3,INDEX($B$10:$B$59,RANDBETWEEN(1,$E$3)),"")</x:f>
      </x:c>
      <x:c r="R234" s="68" t="str">
        <x:f>IF(COLUMN()-2&lt;=$E$3,INDEX($B$10:$B$59,RANDBETWEEN(1,$E$3)),"")</x:f>
      </x:c>
      <x:c r="S234" s="68" t="str">
        <x:f>IF(COLUMN()-2&lt;=$E$3,INDEX($B$10:$B$59,RANDBETWEEN(1,$E$3)),"")</x:f>
      </x:c>
      <x:c r="T234" s="68" t="str">
        <x:f>IF(COLUMN()-2&lt;=$E$3,INDEX($B$10:$B$59,RANDBETWEEN(1,$E$3)),"")</x:f>
      </x:c>
      <x:c r="U234" s="68" t="str">
        <x:f>IF(COLUMN()-2&lt;=$E$3,INDEX($B$10:$B$59,RANDBETWEEN(1,$E$3)),"")</x:f>
      </x:c>
      <x:c r="V234" s="68" t="str">
        <x:f>IF(COLUMN()-2&lt;=$E$3,INDEX($B$10:$B$59,RANDBETWEEN(1,$E$3)),"")</x:f>
      </x:c>
      <x:c r="W234" s="68" t="str">
        <x:f>IF(COLUMN()-2&lt;=$E$3,INDEX($B$10:$B$59,RANDBETWEEN(1,$E$3)),"")</x:f>
      </x:c>
      <x:c r="X234" s="68" t="str">
        <x:f>IF(COLUMN()-2&lt;=$E$3,INDEX($B$10:$B$59,RANDBETWEEN(1,$E$3)),"")</x:f>
      </x:c>
      <x:c r="Y234" s="68" t="str">
        <x:f>IF(COLUMN()-2&lt;=$E$3,INDEX($B$10:$B$59,RANDBETWEEN(1,$E$3)),"")</x:f>
      </x:c>
      <x:c r="Z234" s="68" t="str">
        <x:f>IF(COLUMN()-2&lt;=$E$3,INDEX($B$10:$B$59,RANDBETWEEN(1,$E$3)),"")</x:f>
      </x:c>
      <x:c r="AA234" s="68" t="str">
        <x:f>IF(COLUMN()-2&lt;=$E$3,INDEX($B$10:$B$59,RANDBETWEEN(1,$E$3)),"")</x:f>
      </x:c>
      <x:c r="AB234" s="68" t="str">
        <x:f>IF(COLUMN()-2&lt;=$E$3,INDEX($B$10:$B$59,RANDBETWEEN(1,$E$3)),"")</x:f>
      </x:c>
      <x:c r="AC234" s="68" t="str">
        <x:f>IF(COLUMN()-2&lt;=$E$3,INDEX($B$10:$B$59,RANDBETWEEN(1,$E$3)),"")</x:f>
      </x:c>
      <x:c r="AD234" s="68" t="str">
        <x:f>IF(COLUMN()-2&lt;=$E$3,INDEX($B$10:$B$59,RANDBETWEEN(1,$E$3)),"")</x:f>
      </x:c>
      <x:c r="AE234" s="68" t="str">
        <x:f>IF(COLUMN()-2&lt;=$E$3,INDEX($B$10:$B$59,RANDBETWEEN(1,$E$3)),"")</x:f>
      </x:c>
      <x:c r="AF234" s="68" t="str">
        <x:f>IF(COLUMN()-2&lt;=$E$3,INDEX($B$10:$B$59,RANDBETWEEN(1,$E$3)),"")</x:f>
      </x:c>
      <x:c r="AG234" s="68" t="str">
        <x:f>IF(COLUMN()-2&lt;=$E$3,INDEX($B$10:$B$59,RANDBETWEEN(1,$E$3)),"")</x:f>
      </x:c>
      <x:c r="AH234" s="68" t="str">
        <x:f>IF(COLUMN()-2&lt;=$E$3,INDEX($B$10:$B$59,RANDBETWEEN(1,$E$3)),"")</x:f>
      </x:c>
      <x:c r="AI234" s="68" t="str">
        <x:f>IF(COLUMN()-2&lt;=$E$3,INDEX($B$10:$B$59,RANDBETWEEN(1,$E$3)),"")</x:f>
      </x:c>
      <x:c r="AJ234" s="68" t="str">
        <x:f>IF(COLUMN()-2&lt;=$E$3,INDEX($B$10:$B$59,RANDBETWEEN(1,$E$3)),"")</x:f>
      </x:c>
      <x:c r="AK234" s="68" t="str">
        <x:f>IF(COLUMN()-2&lt;=$E$3,INDEX($B$10:$B$59,RANDBETWEEN(1,$E$3)),"")</x:f>
      </x:c>
      <x:c r="AL234" s="68" t="str">
        <x:f>IF(COLUMN()-2&lt;=$E$3,INDEX($B$10:$B$59,RANDBETWEEN(1,$E$3)),"")</x:f>
      </x:c>
      <x:c r="AM234" s="68" t="str">
        <x:f>IF(COLUMN()-2&lt;=$E$3,INDEX($B$10:$B$59,RANDBETWEEN(1,$E$3)),"")</x:f>
      </x:c>
      <x:c r="AN234" s="68" t="str">
        <x:f>IF(COLUMN()-2&lt;=$E$3,INDEX($B$10:$B$59,RANDBETWEEN(1,$E$3)),"")</x:f>
      </x:c>
      <x:c r="AO234" s="68" t="str">
        <x:f>IF(COLUMN()-2&lt;=$E$3,INDEX($B$10:$B$59,RANDBETWEEN(1,$E$3)),"")</x:f>
      </x:c>
      <x:c r="AP234" s="68" t="str">
        <x:f>IF(COLUMN()-2&lt;=$E$3,INDEX($B$10:$B$59,RANDBETWEEN(1,$E$3)),"")</x:f>
      </x:c>
      <x:c r="AQ234" s="68" t="str">
        <x:f>IF(COLUMN()-2&lt;=$E$3,INDEX($B$10:$B$59,RANDBETWEEN(1,$E$3)),"")</x:f>
      </x:c>
      <x:c r="AR234" s="68" t="str">
        <x:f>IF(COLUMN()-2&lt;=$E$3,INDEX($B$10:$B$59,RANDBETWEEN(1,$E$3)),"")</x:f>
      </x:c>
      <x:c r="AS234" s="68" t="str">
        <x:f>IF(COLUMN()-2&lt;=$E$3,INDEX($B$10:$B$59,RANDBETWEEN(1,$E$3)),"")</x:f>
      </x:c>
      <x:c r="AT234" s="68" t="str">
        <x:f>IF(COLUMN()-2&lt;=$E$3,INDEX($B$10:$B$59,RANDBETWEEN(1,$E$3)),"")</x:f>
      </x:c>
      <x:c r="AU234" s="68" t="str">
        <x:f>IF(COLUMN()-2&lt;=$E$3,INDEX($B$10:$B$59,RANDBETWEEN(1,$E$3)),"")</x:f>
      </x:c>
      <x:c r="AV234" s="68" t="str">
        <x:f>IF(COLUMN()-2&lt;=$E$3,INDEX($B$10:$B$59,RANDBETWEEN(1,$E$3)),"")</x:f>
      </x:c>
      <x:c r="AW234" s="68" t="str">
        <x:f>IF(COLUMN()-2&lt;=$E$3,INDEX($B$10:$B$59,RANDBETWEEN(1,$E$3)),"")</x:f>
      </x:c>
      <x:c r="AX234" s="68" t="str">
        <x:f>IF(COLUMN()-2&lt;=$E$3,INDEX($B$10:$B$59,RANDBETWEEN(1,$E$3)),"")</x:f>
      </x:c>
      <x:c r="AY234" s="68" t="str">
        <x:f>IF(COLUMN()-2&lt;=$E$3,INDEX($B$10:$B$59,RANDBETWEEN(1,$E$3)),"")</x:f>
      </x:c>
      <x:c r="AZ234" s="68" t="str">
        <x:f>IF(COLUMN()-2&lt;=$E$3,INDEX($B$10:$B$59,RANDBETWEEN(1,$E$3)),"")</x:f>
      </x:c>
      <x:c r="BA234" s="68" t="str">
        <x:f>IF($E$3=0,"",AVERAGE(C234:AZ234))</x:f>
      </x:c>
    </x:row>
    <x:row r="235">
      <x:c r="A235" t="n">
        <x:v>171</x:v>
      </x:c>
      <x:c r="C235" s="68" t="str">
        <x:f>IF(COLUMN()-2&lt;=$E$3,INDEX($B$10:$B$59,RANDBETWEEN(1,$E$3)),"")</x:f>
      </x:c>
      <x:c r="D235" s="68" t="str">
        <x:f>IF(COLUMN()-2&lt;=$E$3,INDEX($B$10:$B$59,RANDBETWEEN(1,$E$3)),"")</x:f>
      </x:c>
      <x:c r="E235" s="68" t="str">
        <x:f>IF(COLUMN()-2&lt;=$E$3,INDEX($B$10:$B$59,RANDBETWEEN(1,$E$3)),"")</x:f>
      </x:c>
      <x:c r="F235" s="68" t="str">
        <x:f>IF(COLUMN()-2&lt;=$E$3,INDEX($B$10:$B$59,RANDBETWEEN(1,$E$3)),"")</x:f>
      </x:c>
      <x:c r="G235" s="68" t="str">
        <x:f>IF(COLUMN()-2&lt;=$E$3,INDEX($B$10:$B$59,RANDBETWEEN(1,$E$3)),"")</x:f>
      </x:c>
      <x:c r="H235" s="68" t="str">
        <x:f>IF(COLUMN()-2&lt;=$E$3,INDEX($B$10:$B$59,RANDBETWEEN(1,$E$3)),"")</x:f>
      </x:c>
      <x:c r="I235" s="68" t="str">
        <x:f>IF(COLUMN()-2&lt;=$E$3,INDEX($B$10:$B$59,RANDBETWEEN(1,$E$3)),"")</x:f>
      </x:c>
      <x:c r="J235" s="68" t="str">
        <x:f>IF(COLUMN()-2&lt;=$E$3,INDEX($B$10:$B$59,RANDBETWEEN(1,$E$3)),"")</x:f>
      </x:c>
      <x:c r="K235" s="68" t="str">
        <x:f>IF(COLUMN()-2&lt;=$E$3,INDEX($B$10:$B$59,RANDBETWEEN(1,$E$3)),"")</x:f>
      </x:c>
      <x:c r="L235" s="68" t="str">
        <x:f>IF(COLUMN()-2&lt;=$E$3,INDEX($B$10:$B$59,RANDBETWEEN(1,$E$3)),"")</x:f>
      </x:c>
      <x:c r="M235" s="68" t="str">
        <x:f>IF(COLUMN()-2&lt;=$E$3,INDEX($B$10:$B$59,RANDBETWEEN(1,$E$3)),"")</x:f>
      </x:c>
      <x:c r="N235" s="68" t="str">
        <x:f>IF(COLUMN()-2&lt;=$E$3,INDEX($B$10:$B$59,RANDBETWEEN(1,$E$3)),"")</x:f>
      </x:c>
      <x:c r="O235" s="68" t="str">
        <x:f>IF(COLUMN()-2&lt;=$E$3,INDEX($B$10:$B$59,RANDBETWEEN(1,$E$3)),"")</x:f>
      </x:c>
      <x:c r="P235" s="68" t="str">
        <x:f>IF(COLUMN()-2&lt;=$E$3,INDEX($B$10:$B$59,RANDBETWEEN(1,$E$3)),"")</x:f>
      </x:c>
      <x:c r="Q235" s="68" t="str">
        <x:f>IF(COLUMN()-2&lt;=$E$3,INDEX($B$10:$B$59,RANDBETWEEN(1,$E$3)),"")</x:f>
      </x:c>
      <x:c r="R235" s="68" t="str">
        <x:f>IF(COLUMN()-2&lt;=$E$3,INDEX($B$10:$B$59,RANDBETWEEN(1,$E$3)),"")</x:f>
      </x:c>
      <x:c r="S235" s="68" t="str">
        <x:f>IF(COLUMN()-2&lt;=$E$3,INDEX($B$10:$B$59,RANDBETWEEN(1,$E$3)),"")</x:f>
      </x:c>
      <x:c r="T235" s="68" t="str">
        <x:f>IF(COLUMN()-2&lt;=$E$3,INDEX($B$10:$B$59,RANDBETWEEN(1,$E$3)),"")</x:f>
      </x:c>
      <x:c r="U235" s="68" t="str">
        <x:f>IF(COLUMN()-2&lt;=$E$3,INDEX($B$10:$B$59,RANDBETWEEN(1,$E$3)),"")</x:f>
      </x:c>
      <x:c r="V235" s="68" t="str">
        <x:f>IF(COLUMN()-2&lt;=$E$3,INDEX($B$10:$B$59,RANDBETWEEN(1,$E$3)),"")</x:f>
      </x:c>
      <x:c r="W235" s="68" t="str">
        <x:f>IF(COLUMN()-2&lt;=$E$3,INDEX($B$10:$B$59,RANDBETWEEN(1,$E$3)),"")</x:f>
      </x:c>
      <x:c r="X235" s="68" t="str">
        <x:f>IF(COLUMN()-2&lt;=$E$3,INDEX($B$10:$B$59,RANDBETWEEN(1,$E$3)),"")</x:f>
      </x:c>
      <x:c r="Y235" s="68" t="str">
        <x:f>IF(COLUMN()-2&lt;=$E$3,INDEX($B$10:$B$59,RANDBETWEEN(1,$E$3)),"")</x:f>
      </x:c>
      <x:c r="Z235" s="68" t="str">
        <x:f>IF(COLUMN()-2&lt;=$E$3,INDEX($B$10:$B$59,RANDBETWEEN(1,$E$3)),"")</x:f>
      </x:c>
      <x:c r="AA235" s="68" t="str">
        <x:f>IF(COLUMN()-2&lt;=$E$3,INDEX($B$10:$B$59,RANDBETWEEN(1,$E$3)),"")</x:f>
      </x:c>
      <x:c r="AB235" s="68" t="str">
        <x:f>IF(COLUMN()-2&lt;=$E$3,INDEX($B$10:$B$59,RANDBETWEEN(1,$E$3)),"")</x:f>
      </x:c>
      <x:c r="AC235" s="68" t="str">
        <x:f>IF(COLUMN()-2&lt;=$E$3,INDEX($B$10:$B$59,RANDBETWEEN(1,$E$3)),"")</x:f>
      </x:c>
      <x:c r="AD235" s="68" t="str">
        <x:f>IF(COLUMN()-2&lt;=$E$3,INDEX($B$10:$B$59,RANDBETWEEN(1,$E$3)),"")</x:f>
      </x:c>
      <x:c r="AE235" s="68" t="str">
        <x:f>IF(COLUMN()-2&lt;=$E$3,INDEX($B$10:$B$59,RANDBETWEEN(1,$E$3)),"")</x:f>
      </x:c>
      <x:c r="AF235" s="68" t="str">
        <x:f>IF(COLUMN()-2&lt;=$E$3,INDEX($B$10:$B$59,RANDBETWEEN(1,$E$3)),"")</x:f>
      </x:c>
      <x:c r="AG235" s="68" t="str">
        <x:f>IF(COLUMN()-2&lt;=$E$3,INDEX($B$10:$B$59,RANDBETWEEN(1,$E$3)),"")</x:f>
      </x:c>
      <x:c r="AH235" s="68" t="str">
        <x:f>IF(COLUMN()-2&lt;=$E$3,INDEX($B$10:$B$59,RANDBETWEEN(1,$E$3)),"")</x:f>
      </x:c>
      <x:c r="AI235" s="68" t="str">
        <x:f>IF(COLUMN()-2&lt;=$E$3,INDEX($B$10:$B$59,RANDBETWEEN(1,$E$3)),"")</x:f>
      </x:c>
      <x:c r="AJ235" s="68" t="str">
        <x:f>IF(COLUMN()-2&lt;=$E$3,INDEX($B$10:$B$59,RANDBETWEEN(1,$E$3)),"")</x:f>
      </x:c>
      <x:c r="AK235" s="68" t="str">
        <x:f>IF(COLUMN()-2&lt;=$E$3,INDEX($B$10:$B$59,RANDBETWEEN(1,$E$3)),"")</x:f>
      </x:c>
      <x:c r="AL235" s="68" t="str">
        <x:f>IF(COLUMN()-2&lt;=$E$3,INDEX($B$10:$B$59,RANDBETWEEN(1,$E$3)),"")</x:f>
      </x:c>
      <x:c r="AM235" s="68" t="str">
        <x:f>IF(COLUMN()-2&lt;=$E$3,INDEX($B$10:$B$59,RANDBETWEEN(1,$E$3)),"")</x:f>
      </x:c>
      <x:c r="AN235" s="68" t="str">
        <x:f>IF(COLUMN()-2&lt;=$E$3,INDEX($B$10:$B$59,RANDBETWEEN(1,$E$3)),"")</x:f>
      </x:c>
      <x:c r="AO235" s="68" t="str">
        <x:f>IF(COLUMN()-2&lt;=$E$3,INDEX($B$10:$B$59,RANDBETWEEN(1,$E$3)),"")</x:f>
      </x:c>
      <x:c r="AP235" s="68" t="str">
        <x:f>IF(COLUMN()-2&lt;=$E$3,INDEX($B$10:$B$59,RANDBETWEEN(1,$E$3)),"")</x:f>
      </x:c>
      <x:c r="AQ235" s="68" t="str">
        <x:f>IF(COLUMN()-2&lt;=$E$3,INDEX($B$10:$B$59,RANDBETWEEN(1,$E$3)),"")</x:f>
      </x:c>
      <x:c r="AR235" s="68" t="str">
        <x:f>IF(COLUMN()-2&lt;=$E$3,INDEX($B$10:$B$59,RANDBETWEEN(1,$E$3)),"")</x:f>
      </x:c>
      <x:c r="AS235" s="68" t="str">
        <x:f>IF(COLUMN()-2&lt;=$E$3,INDEX($B$10:$B$59,RANDBETWEEN(1,$E$3)),"")</x:f>
      </x:c>
      <x:c r="AT235" s="68" t="str">
        <x:f>IF(COLUMN()-2&lt;=$E$3,INDEX($B$10:$B$59,RANDBETWEEN(1,$E$3)),"")</x:f>
      </x:c>
      <x:c r="AU235" s="68" t="str">
        <x:f>IF(COLUMN()-2&lt;=$E$3,INDEX($B$10:$B$59,RANDBETWEEN(1,$E$3)),"")</x:f>
      </x:c>
      <x:c r="AV235" s="68" t="str">
        <x:f>IF(COLUMN()-2&lt;=$E$3,INDEX($B$10:$B$59,RANDBETWEEN(1,$E$3)),"")</x:f>
      </x:c>
      <x:c r="AW235" s="68" t="str">
        <x:f>IF(COLUMN()-2&lt;=$E$3,INDEX($B$10:$B$59,RANDBETWEEN(1,$E$3)),"")</x:f>
      </x:c>
      <x:c r="AX235" s="68" t="str">
        <x:f>IF(COLUMN()-2&lt;=$E$3,INDEX($B$10:$B$59,RANDBETWEEN(1,$E$3)),"")</x:f>
      </x:c>
      <x:c r="AY235" s="68" t="str">
        <x:f>IF(COLUMN()-2&lt;=$E$3,INDEX($B$10:$B$59,RANDBETWEEN(1,$E$3)),"")</x:f>
      </x:c>
      <x:c r="AZ235" s="68" t="str">
        <x:f>IF(COLUMN()-2&lt;=$E$3,INDEX($B$10:$B$59,RANDBETWEEN(1,$E$3)),"")</x:f>
      </x:c>
      <x:c r="BA235" s="68" t="str">
        <x:f>IF($E$3=0,"",AVERAGE(C235:AZ235))</x:f>
      </x:c>
    </x:row>
    <x:row r="236">
      <x:c r="A236" t="n">
        <x:v>172</x:v>
      </x:c>
      <x:c r="C236" s="68" t="str">
        <x:f>IF(COLUMN()-2&lt;=$E$3,INDEX($B$10:$B$59,RANDBETWEEN(1,$E$3)),"")</x:f>
      </x:c>
      <x:c r="D236" s="68" t="str">
        <x:f>IF(COLUMN()-2&lt;=$E$3,INDEX($B$10:$B$59,RANDBETWEEN(1,$E$3)),"")</x:f>
      </x:c>
      <x:c r="E236" s="68" t="str">
        <x:f>IF(COLUMN()-2&lt;=$E$3,INDEX($B$10:$B$59,RANDBETWEEN(1,$E$3)),"")</x:f>
      </x:c>
      <x:c r="F236" s="68" t="str">
        <x:f>IF(COLUMN()-2&lt;=$E$3,INDEX($B$10:$B$59,RANDBETWEEN(1,$E$3)),"")</x:f>
      </x:c>
      <x:c r="G236" s="68" t="str">
        <x:f>IF(COLUMN()-2&lt;=$E$3,INDEX($B$10:$B$59,RANDBETWEEN(1,$E$3)),"")</x:f>
      </x:c>
      <x:c r="H236" s="68" t="str">
        <x:f>IF(COLUMN()-2&lt;=$E$3,INDEX($B$10:$B$59,RANDBETWEEN(1,$E$3)),"")</x:f>
      </x:c>
      <x:c r="I236" s="68" t="str">
        <x:f>IF(COLUMN()-2&lt;=$E$3,INDEX($B$10:$B$59,RANDBETWEEN(1,$E$3)),"")</x:f>
      </x:c>
      <x:c r="J236" s="68" t="str">
        <x:f>IF(COLUMN()-2&lt;=$E$3,INDEX($B$10:$B$59,RANDBETWEEN(1,$E$3)),"")</x:f>
      </x:c>
      <x:c r="K236" s="68" t="str">
        <x:f>IF(COLUMN()-2&lt;=$E$3,INDEX($B$10:$B$59,RANDBETWEEN(1,$E$3)),"")</x:f>
      </x:c>
      <x:c r="L236" s="68" t="str">
        <x:f>IF(COLUMN()-2&lt;=$E$3,INDEX($B$10:$B$59,RANDBETWEEN(1,$E$3)),"")</x:f>
      </x:c>
      <x:c r="M236" s="68" t="str">
        <x:f>IF(COLUMN()-2&lt;=$E$3,INDEX($B$10:$B$59,RANDBETWEEN(1,$E$3)),"")</x:f>
      </x:c>
      <x:c r="N236" s="68" t="str">
        <x:f>IF(COLUMN()-2&lt;=$E$3,INDEX($B$10:$B$59,RANDBETWEEN(1,$E$3)),"")</x:f>
      </x:c>
      <x:c r="O236" s="68" t="str">
        <x:f>IF(COLUMN()-2&lt;=$E$3,INDEX($B$10:$B$59,RANDBETWEEN(1,$E$3)),"")</x:f>
      </x:c>
      <x:c r="P236" s="68" t="str">
        <x:f>IF(COLUMN()-2&lt;=$E$3,INDEX($B$10:$B$59,RANDBETWEEN(1,$E$3)),"")</x:f>
      </x:c>
      <x:c r="Q236" s="68" t="str">
        <x:f>IF(COLUMN()-2&lt;=$E$3,INDEX($B$10:$B$59,RANDBETWEEN(1,$E$3)),"")</x:f>
      </x:c>
      <x:c r="R236" s="68" t="str">
        <x:f>IF(COLUMN()-2&lt;=$E$3,INDEX($B$10:$B$59,RANDBETWEEN(1,$E$3)),"")</x:f>
      </x:c>
      <x:c r="S236" s="68" t="str">
        <x:f>IF(COLUMN()-2&lt;=$E$3,INDEX($B$10:$B$59,RANDBETWEEN(1,$E$3)),"")</x:f>
      </x:c>
      <x:c r="T236" s="68" t="str">
        <x:f>IF(COLUMN()-2&lt;=$E$3,INDEX($B$10:$B$59,RANDBETWEEN(1,$E$3)),"")</x:f>
      </x:c>
      <x:c r="U236" s="68" t="str">
        <x:f>IF(COLUMN()-2&lt;=$E$3,INDEX($B$10:$B$59,RANDBETWEEN(1,$E$3)),"")</x:f>
      </x:c>
      <x:c r="V236" s="68" t="str">
        <x:f>IF(COLUMN()-2&lt;=$E$3,INDEX($B$10:$B$59,RANDBETWEEN(1,$E$3)),"")</x:f>
      </x:c>
      <x:c r="W236" s="68" t="str">
        <x:f>IF(COLUMN()-2&lt;=$E$3,INDEX($B$10:$B$59,RANDBETWEEN(1,$E$3)),"")</x:f>
      </x:c>
      <x:c r="X236" s="68" t="str">
        <x:f>IF(COLUMN()-2&lt;=$E$3,INDEX($B$10:$B$59,RANDBETWEEN(1,$E$3)),"")</x:f>
      </x:c>
      <x:c r="Y236" s="68" t="str">
        <x:f>IF(COLUMN()-2&lt;=$E$3,INDEX($B$10:$B$59,RANDBETWEEN(1,$E$3)),"")</x:f>
      </x:c>
      <x:c r="Z236" s="68" t="str">
        <x:f>IF(COLUMN()-2&lt;=$E$3,INDEX($B$10:$B$59,RANDBETWEEN(1,$E$3)),"")</x:f>
      </x:c>
      <x:c r="AA236" s="68" t="str">
        <x:f>IF(COLUMN()-2&lt;=$E$3,INDEX($B$10:$B$59,RANDBETWEEN(1,$E$3)),"")</x:f>
      </x:c>
      <x:c r="AB236" s="68" t="str">
        <x:f>IF(COLUMN()-2&lt;=$E$3,INDEX($B$10:$B$59,RANDBETWEEN(1,$E$3)),"")</x:f>
      </x:c>
      <x:c r="AC236" s="68" t="str">
        <x:f>IF(COLUMN()-2&lt;=$E$3,INDEX($B$10:$B$59,RANDBETWEEN(1,$E$3)),"")</x:f>
      </x:c>
      <x:c r="AD236" s="68" t="str">
        <x:f>IF(COLUMN()-2&lt;=$E$3,INDEX($B$10:$B$59,RANDBETWEEN(1,$E$3)),"")</x:f>
      </x:c>
      <x:c r="AE236" s="68" t="str">
        <x:f>IF(COLUMN()-2&lt;=$E$3,INDEX($B$10:$B$59,RANDBETWEEN(1,$E$3)),"")</x:f>
      </x:c>
      <x:c r="AF236" s="68" t="str">
        <x:f>IF(COLUMN()-2&lt;=$E$3,INDEX($B$10:$B$59,RANDBETWEEN(1,$E$3)),"")</x:f>
      </x:c>
      <x:c r="AG236" s="68" t="str">
        <x:f>IF(COLUMN()-2&lt;=$E$3,INDEX($B$10:$B$59,RANDBETWEEN(1,$E$3)),"")</x:f>
      </x:c>
      <x:c r="AH236" s="68" t="str">
        <x:f>IF(COLUMN()-2&lt;=$E$3,INDEX($B$10:$B$59,RANDBETWEEN(1,$E$3)),"")</x:f>
      </x:c>
      <x:c r="AI236" s="68" t="str">
        <x:f>IF(COLUMN()-2&lt;=$E$3,INDEX($B$10:$B$59,RANDBETWEEN(1,$E$3)),"")</x:f>
      </x:c>
      <x:c r="AJ236" s="68" t="str">
        <x:f>IF(COLUMN()-2&lt;=$E$3,INDEX($B$10:$B$59,RANDBETWEEN(1,$E$3)),"")</x:f>
      </x:c>
      <x:c r="AK236" s="68" t="str">
        <x:f>IF(COLUMN()-2&lt;=$E$3,INDEX($B$10:$B$59,RANDBETWEEN(1,$E$3)),"")</x:f>
      </x:c>
      <x:c r="AL236" s="68" t="str">
        <x:f>IF(COLUMN()-2&lt;=$E$3,INDEX($B$10:$B$59,RANDBETWEEN(1,$E$3)),"")</x:f>
      </x:c>
      <x:c r="AM236" s="68" t="str">
        <x:f>IF(COLUMN()-2&lt;=$E$3,INDEX($B$10:$B$59,RANDBETWEEN(1,$E$3)),"")</x:f>
      </x:c>
      <x:c r="AN236" s="68" t="str">
        <x:f>IF(COLUMN()-2&lt;=$E$3,INDEX($B$10:$B$59,RANDBETWEEN(1,$E$3)),"")</x:f>
      </x:c>
      <x:c r="AO236" s="68" t="str">
        <x:f>IF(COLUMN()-2&lt;=$E$3,INDEX($B$10:$B$59,RANDBETWEEN(1,$E$3)),"")</x:f>
      </x:c>
      <x:c r="AP236" s="68" t="str">
        <x:f>IF(COLUMN()-2&lt;=$E$3,INDEX($B$10:$B$59,RANDBETWEEN(1,$E$3)),"")</x:f>
      </x:c>
      <x:c r="AQ236" s="68" t="str">
        <x:f>IF(COLUMN()-2&lt;=$E$3,INDEX($B$10:$B$59,RANDBETWEEN(1,$E$3)),"")</x:f>
      </x:c>
      <x:c r="AR236" s="68" t="str">
        <x:f>IF(COLUMN()-2&lt;=$E$3,INDEX($B$10:$B$59,RANDBETWEEN(1,$E$3)),"")</x:f>
      </x:c>
      <x:c r="AS236" s="68" t="str">
        <x:f>IF(COLUMN()-2&lt;=$E$3,INDEX($B$10:$B$59,RANDBETWEEN(1,$E$3)),"")</x:f>
      </x:c>
      <x:c r="AT236" s="68" t="str">
        <x:f>IF(COLUMN()-2&lt;=$E$3,INDEX($B$10:$B$59,RANDBETWEEN(1,$E$3)),"")</x:f>
      </x:c>
      <x:c r="AU236" s="68" t="str">
        <x:f>IF(COLUMN()-2&lt;=$E$3,INDEX($B$10:$B$59,RANDBETWEEN(1,$E$3)),"")</x:f>
      </x:c>
      <x:c r="AV236" s="68" t="str">
        <x:f>IF(COLUMN()-2&lt;=$E$3,INDEX($B$10:$B$59,RANDBETWEEN(1,$E$3)),"")</x:f>
      </x:c>
      <x:c r="AW236" s="68" t="str">
        <x:f>IF(COLUMN()-2&lt;=$E$3,INDEX($B$10:$B$59,RANDBETWEEN(1,$E$3)),"")</x:f>
      </x:c>
      <x:c r="AX236" s="68" t="str">
        <x:f>IF(COLUMN()-2&lt;=$E$3,INDEX($B$10:$B$59,RANDBETWEEN(1,$E$3)),"")</x:f>
      </x:c>
      <x:c r="AY236" s="68" t="str">
        <x:f>IF(COLUMN()-2&lt;=$E$3,INDEX($B$10:$B$59,RANDBETWEEN(1,$E$3)),"")</x:f>
      </x:c>
      <x:c r="AZ236" s="68" t="str">
        <x:f>IF(COLUMN()-2&lt;=$E$3,INDEX($B$10:$B$59,RANDBETWEEN(1,$E$3)),"")</x:f>
      </x:c>
      <x:c r="BA236" s="68" t="str">
        <x:f>IF($E$3=0,"",AVERAGE(C236:AZ236))</x:f>
      </x:c>
    </x:row>
    <x:row r="237">
      <x:c r="A237" t="n">
        <x:v>173</x:v>
      </x:c>
      <x:c r="C237" s="68" t="str">
        <x:f>IF(COLUMN()-2&lt;=$E$3,INDEX($B$10:$B$59,RANDBETWEEN(1,$E$3)),"")</x:f>
      </x:c>
      <x:c r="D237" s="68" t="str">
        <x:f>IF(COLUMN()-2&lt;=$E$3,INDEX($B$10:$B$59,RANDBETWEEN(1,$E$3)),"")</x:f>
      </x:c>
      <x:c r="E237" s="68" t="str">
        <x:f>IF(COLUMN()-2&lt;=$E$3,INDEX($B$10:$B$59,RANDBETWEEN(1,$E$3)),"")</x:f>
      </x:c>
      <x:c r="F237" s="68" t="str">
        <x:f>IF(COLUMN()-2&lt;=$E$3,INDEX($B$10:$B$59,RANDBETWEEN(1,$E$3)),"")</x:f>
      </x:c>
      <x:c r="G237" s="68" t="str">
        <x:f>IF(COLUMN()-2&lt;=$E$3,INDEX($B$10:$B$59,RANDBETWEEN(1,$E$3)),"")</x:f>
      </x:c>
      <x:c r="H237" s="68" t="str">
        <x:f>IF(COLUMN()-2&lt;=$E$3,INDEX($B$10:$B$59,RANDBETWEEN(1,$E$3)),"")</x:f>
      </x:c>
      <x:c r="I237" s="68" t="str">
        <x:f>IF(COLUMN()-2&lt;=$E$3,INDEX($B$10:$B$59,RANDBETWEEN(1,$E$3)),"")</x:f>
      </x:c>
      <x:c r="J237" s="68" t="str">
        <x:f>IF(COLUMN()-2&lt;=$E$3,INDEX($B$10:$B$59,RANDBETWEEN(1,$E$3)),"")</x:f>
      </x:c>
      <x:c r="K237" s="68" t="str">
        <x:f>IF(COLUMN()-2&lt;=$E$3,INDEX($B$10:$B$59,RANDBETWEEN(1,$E$3)),"")</x:f>
      </x:c>
      <x:c r="L237" s="68" t="str">
        <x:f>IF(COLUMN()-2&lt;=$E$3,INDEX($B$10:$B$59,RANDBETWEEN(1,$E$3)),"")</x:f>
      </x:c>
      <x:c r="M237" s="68" t="str">
        <x:f>IF(COLUMN()-2&lt;=$E$3,INDEX($B$10:$B$59,RANDBETWEEN(1,$E$3)),"")</x:f>
      </x:c>
      <x:c r="N237" s="68" t="str">
        <x:f>IF(COLUMN()-2&lt;=$E$3,INDEX($B$10:$B$59,RANDBETWEEN(1,$E$3)),"")</x:f>
      </x:c>
      <x:c r="O237" s="68" t="str">
        <x:f>IF(COLUMN()-2&lt;=$E$3,INDEX($B$10:$B$59,RANDBETWEEN(1,$E$3)),"")</x:f>
      </x:c>
      <x:c r="P237" s="68" t="str">
        <x:f>IF(COLUMN()-2&lt;=$E$3,INDEX($B$10:$B$59,RANDBETWEEN(1,$E$3)),"")</x:f>
      </x:c>
      <x:c r="Q237" s="68" t="str">
        <x:f>IF(COLUMN()-2&lt;=$E$3,INDEX($B$10:$B$59,RANDBETWEEN(1,$E$3)),"")</x:f>
      </x:c>
      <x:c r="R237" s="68" t="str">
        <x:f>IF(COLUMN()-2&lt;=$E$3,INDEX($B$10:$B$59,RANDBETWEEN(1,$E$3)),"")</x:f>
      </x:c>
      <x:c r="S237" s="68" t="str">
        <x:f>IF(COLUMN()-2&lt;=$E$3,INDEX($B$10:$B$59,RANDBETWEEN(1,$E$3)),"")</x:f>
      </x:c>
      <x:c r="T237" s="68" t="str">
        <x:f>IF(COLUMN()-2&lt;=$E$3,INDEX($B$10:$B$59,RANDBETWEEN(1,$E$3)),"")</x:f>
      </x:c>
      <x:c r="U237" s="68" t="str">
        <x:f>IF(COLUMN()-2&lt;=$E$3,INDEX($B$10:$B$59,RANDBETWEEN(1,$E$3)),"")</x:f>
      </x:c>
      <x:c r="V237" s="68" t="str">
        <x:f>IF(COLUMN()-2&lt;=$E$3,INDEX($B$10:$B$59,RANDBETWEEN(1,$E$3)),"")</x:f>
      </x:c>
      <x:c r="W237" s="68" t="str">
        <x:f>IF(COLUMN()-2&lt;=$E$3,INDEX($B$10:$B$59,RANDBETWEEN(1,$E$3)),"")</x:f>
      </x:c>
      <x:c r="X237" s="68" t="str">
        <x:f>IF(COLUMN()-2&lt;=$E$3,INDEX($B$10:$B$59,RANDBETWEEN(1,$E$3)),"")</x:f>
      </x:c>
      <x:c r="Y237" s="68" t="str">
        <x:f>IF(COLUMN()-2&lt;=$E$3,INDEX($B$10:$B$59,RANDBETWEEN(1,$E$3)),"")</x:f>
      </x:c>
      <x:c r="Z237" s="68" t="str">
        <x:f>IF(COLUMN()-2&lt;=$E$3,INDEX($B$10:$B$59,RANDBETWEEN(1,$E$3)),"")</x:f>
      </x:c>
      <x:c r="AA237" s="68" t="str">
        <x:f>IF(COLUMN()-2&lt;=$E$3,INDEX($B$10:$B$59,RANDBETWEEN(1,$E$3)),"")</x:f>
      </x:c>
      <x:c r="AB237" s="68" t="str">
        <x:f>IF(COLUMN()-2&lt;=$E$3,INDEX($B$10:$B$59,RANDBETWEEN(1,$E$3)),"")</x:f>
      </x:c>
      <x:c r="AC237" s="68" t="str">
        <x:f>IF(COLUMN()-2&lt;=$E$3,INDEX($B$10:$B$59,RANDBETWEEN(1,$E$3)),"")</x:f>
      </x:c>
      <x:c r="AD237" s="68" t="str">
        <x:f>IF(COLUMN()-2&lt;=$E$3,INDEX($B$10:$B$59,RANDBETWEEN(1,$E$3)),"")</x:f>
      </x:c>
      <x:c r="AE237" s="68" t="str">
        <x:f>IF(COLUMN()-2&lt;=$E$3,INDEX($B$10:$B$59,RANDBETWEEN(1,$E$3)),"")</x:f>
      </x:c>
      <x:c r="AF237" s="68" t="str">
        <x:f>IF(COLUMN()-2&lt;=$E$3,INDEX($B$10:$B$59,RANDBETWEEN(1,$E$3)),"")</x:f>
      </x:c>
      <x:c r="AG237" s="68" t="str">
        <x:f>IF(COLUMN()-2&lt;=$E$3,INDEX($B$10:$B$59,RANDBETWEEN(1,$E$3)),"")</x:f>
      </x:c>
      <x:c r="AH237" s="68" t="str">
        <x:f>IF(COLUMN()-2&lt;=$E$3,INDEX($B$10:$B$59,RANDBETWEEN(1,$E$3)),"")</x:f>
      </x:c>
      <x:c r="AI237" s="68" t="str">
        <x:f>IF(COLUMN()-2&lt;=$E$3,INDEX($B$10:$B$59,RANDBETWEEN(1,$E$3)),"")</x:f>
      </x:c>
      <x:c r="AJ237" s="68" t="str">
        <x:f>IF(COLUMN()-2&lt;=$E$3,INDEX($B$10:$B$59,RANDBETWEEN(1,$E$3)),"")</x:f>
      </x:c>
      <x:c r="AK237" s="68" t="str">
        <x:f>IF(COLUMN()-2&lt;=$E$3,INDEX($B$10:$B$59,RANDBETWEEN(1,$E$3)),"")</x:f>
      </x:c>
      <x:c r="AL237" s="68" t="str">
        <x:f>IF(COLUMN()-2&lt;=$E$3,INDEX($B$10:$B$59,RANDBETWEEN(1,$E$3)),"")</x:f>
      </x:c>
      <x:c r="AM237" s="68" t="str">
        <x:f>IF(COLUMN()-2&lt;=$E$3,INDEX($B$10:$B$59,RANDBETWEEN(1,$E$3)),"")</x:f>
      </x:c>
      <x:c r="AN237" s="68" t="str">
        <x:f>IF(COLUMN()-2&lt;=$E$3,INDEX($B$10:$B$59,RANDBETWEEN(1,$E$3)),"")</x:f>
      </x:c>
      <x:c r="AO237" s="68" t="str">
        <x:f>IF(COLUMN()-2&lt;=$E$3,INDEX($B$10:$B$59,RANDBETWEEN(1,$E$3)),"")</x:f>
      </x:c>
      <x:c r="AP237" s="68" t="str">
        <x:f>IF(COLUMN()-2&lt;=$E$3,INDEX($B$10:$B$59,RANDBETWEEN(1,$E$3)),"")</x:f>
      </x:c>
      <x:c r="AQ237" s="68" t="str">
        <x:f>IF(COLUMN()-2&lt;=$E$3,INDEX($B$10:$B$59,RANDBETWEEN(1,$E$3)),"")</x:f>
      </x:c>
      <x:c r="AR237" s="68" t="str">
        <x:f>IF(COLUMN()-2&lt;=$E$3,INDEX($B$10:$B$59,RANDBETWEEN(1,$E$3)),"")</x:f>
      </x:c>
      <x:c r="AS237" s="68" t="str">
        <x:f>IF(COLUMN()-2&lt;=$E$3,INDEX($B$10:$B$59,RANDBETWEEN(1,$E$3)),"")</x:f>
      </x:c>
      <x:c r="AT237" s="68" t="str">
        <x:f>IF(COLUMN()-2&lt;=$E$3,INDEX($B$10:$B$59,RANDBETWEEN(1,$E$3)),"")</x:f>
      </x:c>
      <x:c r="AU237" s="68" t="str">
        <x:f>IF(COLUMN()-2&lt;=$E$3,INDEX($B$10:$B$59,RANDBETWEEN(1,$E$3)),"")</x:f>
      </x:c>
      <x:c r="AV237" s="68" t="str">
        <x:f>IF(COLUMN()-2&lt;=$E$3,INDEX($B$10:$B$59,RANDBETWEEN(1,$E$3)),"")</x:f>
      </x:c>
      <x:c r="AW237" s="68" t="str">
        <x:f>IF(COLUMN()-2&lt;=$E$3,INDEX($B$10:$B$59,RANDBETWEEN(1,$E$3)),"")</x:f>
      </x:c>
      <x:c r="AX237" s="68" t="str">
        <x:f>IF(COLUMN()-2&lt;=$E$3,INDEX($B$10:$B$59,RANDBETWEEN(1,$E$3)),"")</x:f>
      </x:c>
      <x:c r="AY237" s="68" t="str">
        <x:f>IF(COLUMN()-2&lt;=$E$3,INDEX($B$10:$B$59,RANDBETWEEN(1,$E$3)),"")</x:f>
      </x:c>
      <x:c r="AZ237" s="68" t="str">
        <x:f>IF(COLUMN()-2&lt;=$E$3,INDEX($B$10:$B$59,RANDBETWEEN(1,$E$3)),"")</x:f>
      </x:c>
      <x:c r="BA237" s="68" t="str">
        <x:f>IF($E$3=0,"",AVERAGE(C237:AZ237))</x:f>
      </x:c>
    </x:row>
    <x:row r="238">
      <x:c r="A238" t="n">
        <x:v>174</x:v>
      </x:c>
      <x:c r="C238" s="68" t="str">
        <x:f>IF(COLUMN()-2&lt;=$E$3,INDEX($B$10:$B$59,RANDBETWEEN(1,$E$3)),"")</x:f>
      </x:c>
      <x:c r="D238" s="68" t="str">
        <x:f>IF(COLUMN()-2&lt;=$E$3,INDEX($B$10:$B$59,RANDBETWEEN(1,$E$3)),"")</x:f>
      </x:c>
      <x:c r="E238" s="68" t="str">
        <x:f>IF(COLUMN()-2&lt;=$E$3,INDEX($B$10:$B$59,RANDBETWEEN(1,$E$3)),"")</x:f>
      </x:c>
      <x:c r="F238" s="68" t="str">
        <x:f>IF(COLUMN()-2&lt;=$E$3,INDEX($B$10:$B$59,RANDBETWEEN(1,$E$3)),"")</x:f>
      </x:c>
      <x:c r="G238" s="68" t="str">
        <x:f>IF(COLUMN()-2&lt;=$E$3,INDEX($B$10:$B$59,RANDBETWEEN(1,$E$3)),"")</x:f>
      </x:c>
      <x:c r="H238" s="68" t="str">
        <x:f>IF(COLUMN()-2&lt;=$E$3,INDEX($B$10:$B$59,RANDBETWEEN(1,$E$3)),"")</x:f>
      </x:c>
      <x:c r="I238" s="68" t="str">
        <x:f>IF(COLUMN()-2&lt;=$E$3,INDEX($B$10:$B$59,RANDBETWEEN(1,$E$3)),"")</x:f>
      </x:c>
      <x:c r="J238" s="68" t="str">
        <x:f>IF(COLUMN()-2&lt;=$E$3,INDEX($B$10:$B$59,RANDBETWEEN(1,$E$3)),"")</x:f>
      </x:c>
      <x:c r="K238" s="68" t="str">
        <x:f>IF(COLUMN()-2&lt;=$E$3,INDEX($B$10:$B$59,RANDBETWEEN(1,$E$3)),"")</x:f>
      </x:c>
      <x:c r="L238" s="68" t="str">
        <x:f>IF(COLUMN()-2&lt;=$E$3,INDEX($B$10:$B$59,RANDBETWEEN(1,$E$3)),"")</x:f>
      </x:c>
      <x:c r="M238" s="68" t="str">
        <x:f>IF(COLUMN()-2&lt;=$E$3,INDEX($B$10:$B$59,RANDBETWEEN(1,$E$3)),"")</x:f>
      </x:c>
      <x:c r="N238" s="68" t="str">
        <x:f>IF(COLUMN()-2&lt;=$E$3,INDEX($B$10:$B$59,RANDBETWEEN(1,$E$3)),"")</x:f>
      </x:c>
      <x:c r="O238" s="68" t="str">
        <x:f>IF(COLUMN()-2&lt;=$E$3,INDEX($B$10:$B$59,RANDBETWEEN(1,$E$3)),"")</x:f>
      </x:c>
      <x:c r="P238" s="68" t="str">
        <x:f>IF(COLUMN()-2&lt;=$E$3,INDEX($B$10:$B$59,RANDBETWEEN(1,$E$3)),"")</x:f>
      </x:c>
      <x:c r="Q238" s="68" t="str">
        <x:f>IF(COLUMN()-2&lt;=$E$3,INDEX($B$10:$B$59,RANDBETWEEN(1,$E$3)),"")</x:f>
      </x:c>
      <x:c r="R238" s="68" t="str">
        <x:f>IF(COLUMN()-2&lt;=$E$3,INDEX($B$10:$B$59,RANDBETWEEN(1,$E$3)),"")</x:f>
      </x:c>
      <x:c r="S238" s="68" t="str">
        <x:f>IF(COLUMN()-2&lt;=$E$3,INDEX($B$10:$B$59,RANDBETWEEN(1,$E$3)),"")</x:f>
      </x:c>
      <x:c r="T238" s="68" t="str">
        <x:f>IF(COLUMN()-2&lt;=$E$3,INDEX($B$10:$B$59,RANDBETWEEN(1,$E$3)),"")</x:f>
      </x:c>
      <x:c r="U238" s="68" t="str">
        <x:f>IF(COLUMN()-2&lt;=$E$3,INDEX($B$10:$B$59,RANDBETWEEN(1,$E$3)),"")</x:f>
      </x:c>
      <x:c r="V238" s="68" t="str">
        <x:f>IF(COLUMN()-2&lt;=$E$3,INDEX($B$10:$B$59,RANDBETWEEN(1,$E$3)),"")</x:f>
      </x:c>
      <x:c r="W238" s="68" t="str">
        <x:f>IF(COLUMN()-2&lt;=$E$3,INDEX($B$10:$B$59,RANDBETWEEN(1,$E$3)),"")</x:f>
      </x:c>
      <x:c r="X238" s="68" t="str">
        <x:f>IF(COLUMN()-2&lt;=$E$3,INDEX($B$10:$B$59,RANDBETWEEN(1,$E$3)),"")</x:f>
      </x:c>
      <x:c r="Y238" s="68" t="str">
        <x:f>IF(COLUMN()-2&lt;=$E$3,INDEX($B$10:$B$59,RANDBETWEEN(1,$E$3)),"")</x:f>
      </x:c>
      <x:c r="Z238" s="68" t="str">
        <x:f>IF(COLUMN()-2&lt;=$E$3,INDEX($B$10:$B$59,RANDBETWEEN(1,$E$3)),"")</x:f>
      </x:c>
      <x:c r="AA238" s="68" t="str">
        <x:f>IF(COLUMN()-2&lt;=$E$3,INDEX($B$10:$B$59,RANDBETWEEN(1,$E$3)),"")</x:f>
      </x:c>
      <x:c r="AB238" s="68" t="str">
        <x:f>IF(COLUMN()-2&lt;=$E$3,INDEX($B$10:$B$59,RANDBETWEEN(1,$E$3)),"")</x:f>
      </x:c>
      <x:c r="AC238" s="68" t="str">
        <x:f>IF(COLUMN()-2&lt;=$E$3,INDEX($B$10:$B$59,RANDBETWEEN(1,$E$3)),"")</x:f>
      </x:c>
      <x:c r="AD238" s="68" t="str">
        <x:f>IF(COLUMN()-2&lt;=$E$3,INDEX($B$10:$B$59,RANDBETWEEN(1,$E$3)),"")</x:f>
      </x:c>
      <x:c r="AE238" s="68" t="str">
        <x:f>IF(COLUMN()-2&lt;=$E$3,INDEX($B$10:$B$59,RANDBETWEEN(1,$E$3)),"")</x:f>
      </x:c>
      <x:c r="AF238" s="68" t="str">
        <x:f>IF(COLUMN()-2&lt;=$E$3,INDEX($B$10:$B$59,RANDBETWEEN(1,$E$3)),"")</x:f>
      </x:c>
      <x:c r="AG238" s="68" t="str">
        <x:f>IF(COLUMN()-2&lt;=$E$3,INDEX($B$10:$B$59,RANDBETWEEN(1,$E$3)),"")</x:f>
      </x:c>
      <x:c r="AH238" s="68" t="str">
        <x:f>IF(COLUMN()-2&lt;=$E$3,INDEX($B$10:$B$59,RANDBETWEEN(1,$E$3)),"")</x:f>
      </x:c>
      <x:c r="AI238" s="68" t="str">
        <x:f>IF(COLUMN()-2&lt;=$E$3,INDEX($B$10:$B$59,RANDBETWEEN(1,$E$3)),"")</x:f>
      </x:c>
      <x:c r="AJ238" s="68" t="str">
        <x:f>IF(COLUMN()-2&lt;=$E$3,INDEX($B$10:$B$59,RANDBETWEEN(1,$E$3)),"")</x:f>
      </x:c>
      <x:c r="AK238" s="68" t="str">
        <x:f>IF(COLUMN()-2&lt;=$E$3,INDEX($B$10:$B$59,RANDBETWEEN(1,$E$3)),"")</x:f>
      </x:c>
      <x:c r="AL238" s="68" t="str">
        <x:f>IF(COLUMN()-2&lt;=$E$3,INDEX($B$10:$B$59,RANDBETWEEN(1,$E$3)),"")</x:f>
      </x:c>
      <x:c r="AM238" s="68" t="str">
        <x:f>IF(COLUMN()-2&lt;=$E$3,INDEX($B$10:$B$59,RANDBETWEEN(1,$E$3)),"")</x:f>
      </x:c>
      <x:c r="AN238" s="68" t="str">
        <x:f>IF(COLUMN()-2&lt;=$E$3,INDEX($B$10:$B$59,RANDBETWEEN(1,$E$3)),"")</x:f>
      </x:c>
      <x:c r="AO238" s="68" t="str">
        <x:f>IF(COLUMN()-2&lt;=$E$3,INDEX($B$10:$B$59,RANDBETWEEN(1,$E$3)),"")</x:f>
      </x:c>
      <x:c r="AP238" s="68" t="str">
        <x:f>IF(COLUMN()-2&lt;=$E$3,INDEX($B$10:$B$59,RANDBETWEEN(1,$E$3)),"")</x:f>
      </x:c>
      <x:c r="AQ238" s="68" t="str">
        <x:f>IF(COLUMN()-2&lt;=$E$3,INDEX($B$10:$B$59,RANDBETWEEN(1,$E$3)),"")</x:f>
      </x:c>
      <x:c r="AR238" s="68" t="str">
        <x:f>IF(COLUMN()-2&lt;=$E$3,INDEX($B$10:$B$59,RANDBETWEEN(1,$E$3)),"")</x:f>
      </x:c>
      <x:c r="AS238" s="68" t="str">
        <x:f>IF(COLUMN()-2&lt;=$E$3,INDEX($B$10:$B$59,RANDBETWEEN(1,$E$3)),"")</x:f>
      </x:c>
      <x:c r="AT238" s="68" t="str">
        <x:f>IF(COLUMN()-2&lt;=$E$3,INDEX($B$10:$B$59,RANDBETWEEN(1,$E$3)),"")</x:f>
      </x:c>
      <x:c r="AU238" s="68" t="str">
        <x:f>IF(COLUMN()-2&lt;=$E$3,INDEX($B$10:$B$59,RANDBETWEEN(1,$E$3)),"")</x:f>
      </x:c>
      <x:c r="AV238" s="68" t="str">
        <x:f>IF(COLUMN()-2&lt;=$E$3,INDEX($B$10:$B$59,RANDBETWEEN(1,$E$3)),"")</x:f>
      </x:c>
      <x:c r="AW238" s="68" t="str">
        <x:f>IF(COLUMN()-2&lt;=$E$3,INDEX($B$10:$B$59,RANDBETWEEN(1,$E$3)),"")</x:f>
      </x:c>
      <x:c r="AX238" s="68" t="str">
        <x:f>IF(COLUMN()-2&lt;=$E$3,INDEX($B$10:$B$59,RANDBETWEEN(1,$E$3)),"")</x:f>
      </x:c>
      <x:c r="AY238" s="68" t="str">
        <x:f>IF(COLUMN()-2&lt;=$E$3,INDEX($B$10:$B$59,RANDBETWEEN(1,$E$3)),"")</x:f>
      </x:c>
      <x:c r="AZ238" s="68" t="str">
        <x:f>IF(COLUMN()-2&lt;=$E$3,INDEX($B$10:$B$59,RANDBETWEEN(1,$E$3)),"")</x:f>
      </x:c>
      <x:c r="BA238" s="68" t="str">
        <x:f>IF($E$3=0,"",AVERAGE(C238:AZ238))</x:f>
      </x:c>
    </x:row>
    <x:row r="239">
      <x:c r="A239" t="n">
        <x:v>175</x:v>
      </x:c>
      <x:c r="C239" s="68" t="str">
        <x:f>IF(COLUMN()-2&lt;=$E$3,INDEX($B$10:$B$59,RANDBETWEEN(1,$E$3)),"")</x:f>
      </x:c>
      <x:c r="D239" s="68" t="str">
        <x:f>IF(COLUMN()-2&lt;=$E$3,INDEX($B$10:$B$59,RANDBETWEEN(1,$E$3)),"")</x:f>
      </x:c>
      <x:c r="E239" s="68" t="str">
        <x:f>IF(COLUMN()-2&lt;=$E$3,INDEX($B$10:$B$59,RANDBETWEEN(1,$E$3)),"")</x:f>
      </x:c>
      <x:c r="F239" s="68" t="str">
        <x:f>IF(COLUMN()-2&lt;=$E$3,INDEX($B$10:$B$59,RANDBETWEEN(1,$E$3)),"")</x:f>
      </x:c>
      <x:c r="G239" s="68" t="str">
        <x:f>IF(COLUMN()-2&lt;=$E$3,INDEX($B$10:$B$59,RANDBETWEEN(1,$E$3)),"")</x:f>
      </x:c>
      <x:c r="H239" s="68" t="str">
        <x:f>IF(COLUMN()-2&lt;=$E$3,INDEX($B$10:$B$59,RANDBETWEEN(1,$E$3)),"")</x:f>
      </x:c>
      <x:c r="I239" s="68" t="str">
        <x:f>IF(COLUMN()-2&lt;=$E$3,INDEX($B$10:$B$59,RANDBETWEEN(1,$E$3)),"")</x:f>
      </x:c>
      <x:c r="J239" s="68" t="str">
        <x:f>IF(COLUMN()-2&lt;=$E$3,INDEX($B$10:$B$59,RANDBETWEEN(1,$E$3)),"")</x:f>
      </x:c>
      <x:c r="K239" s="68" t="str">
        <x:f>IF(COLUMN()-2&lt;=$E$3,INDEX($B$10:$B$59,RANDBETWEEN(1,$E$3)),"")</x:f>
      </x:c>
      <x:c r="L239" s="68" t="str">
        <x:f>IF(COLUMN()-2&lt;=$E$3,INDEX($B$10:$B$59,RANDBETWEEN(1,$E$3)),"")</x:f>
      </x:c>
      <x:c r="M239" s="68" t="str">
        <x:f>IF(COLUMN()-2&lt;=$E$3,INDEX($B$10:$B$59,RANDBETWEEN(1,$E$3)),"")</x:f>
      </x:c>
      <x:c r="N239" s="68" t="str">
        <x:f>IF(COLUMN()-2&lt;=$E$3,INDEX($B$10:$B$59,RANDBETWEEN(1,$E$3)),"")</x:f>
      </x:c>
      <x:c r="O239" s="68" t="str">
        <x:f>IF(COLUMN()-2&lt;=$E$3,INDEX($B$10:$B$59,RANDBETWEEN(1,$E$3)),"")</x:f>
      </x:c>
      <x:c r="P239" s="68" t="str">
        <x:f>IF(COLUMN()-2&lt;=$E$3,INDEX($B$10:$B$59,RANDBETWEEN(1,$E$3)),"")</x:f>
      </x:c>
      <x:c r="Q239" s="68" t="str">
        <x:f>IF(COLUMN()-2&lt;=$E$3,INDEX($B$10:$B$59,RANDBETWEEN(1,$E$3)),"")</x:f>
      </x:c>
      <x:c r="R239" s="68" t="str">
        <x:f>IF(COLUMN()-2&lt;=$E$3,INDEX($B$10:$B$59,RANDBETWEEN(1,$E$3)),"")</x:f>
      </x:c>
      <x:c r="S239" s="68" t="str">
        <x:f>IF(COLUMN()-2&lt;=$E$3,INDEX($B$10:$B$59,RANDBETWEEN(1,$E$3)),"")</x:f>
      </x:c>
      <x:c r="T239" s="68" t="str">
        <x:f>IF(COLUMN()-2&lt;=$E$3,INDEX($B$10:$B$59,RANDBETWEEN(1,$E$3)),"")</x:f>
      </x:c>
      <x:c r="U239" s="68" t="str">
        <x:f>IF(COLUMN()-2&lt;=$E$3,INDEX($B$10:$B$59,RANDBETWEEN(1,$E$3)),"")</x:f>
      </x:c>
      <x:c r="V239" s="68" t="str">
        <x:f>IF(COLUMN()-2&lt;=$E$3,INDEX($B$10:$B$59,RANDBETWEEN(1,$E$3)),"")</x:f>
      </x:c>
      <x:c r="W239" s="68" t="str">
        <x:f>IF(COLUMN()-2&lt;=$E$3,INDEX($B$10:$B$59,RANDBETWEEN(1,$E$3)),"")</x:f>
      </x:c>
      <x:c r="X239" s="68" t="str">
        <x:f>IF(COLUMN()-2&lt;=$E$3,INDEX($B$10:$B$59,RANDBETWEEN(1,$E$3)),"")</x:f>
      </x:c>
      <x:c r="Y239" s="68" t="str">
        <x:f>IF(COLUMN()-2&lt;=$E$3,INDEX($B$10:$B$59,RANDBETWEEN(1,$E$3)),"")</x:f>
      </x:c>
      <x:c r="Z239" s="68" t="str">
        <x:f>IF(COLUMN()-2&lt;=$E$3,INDEX($B$10:$B$59,RANDBETWEEN(1,$E$3)),"")</x:f>
      </x:c>
      <x:c r="AA239" s="68" t="str">
        <x:f>IF(COLUMN()-2&lt;=$E$3,INDEX($B$10:$B$59,RANDBETWEEN(1,$E$3)),"")</x:f>
      </x:c>
      <x:c r="AB239" s="68" t="str">
        <x:f>IF(COLUMN()-2&lt;=$E$3,INDEX($B$10:$B$59,RANDBETWEEN(1,$E$3)),"")</x:f>
      </x:c>
      <x:c r="AC239" s="68" t="str">
        <x:f>IF(COLUMN()-2&lt;=$E$3,INDEX($B$10:$B$59,RANDBETWEEN(1,$E$3)),"")</x:f>
      </x:c>
      <x:c r="AD239" s="68" t="str">
        <x:f>IF(COLUMN()-2&lt;=$E$3,INDEX($B$10:$B$59,RANDBETWEEN(1,$E$3)),"")</x:f>
      </x:c>
      <x:c r="AE239" s="68" t="str">
        <x:f>IF(COLUMN()-2&lt;=$E$3,INDEX($B$10:$B$59,RANDBETWEEN(1,$E$3)),"")</x:f>
      </x:c>
      <x:c r="AF239" s="68" t="str">
        <x:f>IF(COLUMN()-2&lt;=$E$3,INDEX($B$10:$B$59,RANDBETWEEN(1,$E$3)),"")</x:f>
      </x:c>
      <x:c r="AG239" s="68" t="str">
        <x:f>IF(COLUMN()-2&lt;=$E$3,INDEX($B$10:$B$59,RANDBETWEEN(1,$E$3)),"")</x:f>
      </x:c>
      <x:c r="AH239" s="68" t="str">
        <x:f>IF(COLUMN()-2&lt;=$E$3,INDEX($B$10:$B$59,RANDBETWEEN(1,$E$3)),"")</x:f>
      </x:c>
      <x:c r="AI239" s="68" t="str">
        <x:f>IF(COLUMN()-2&lt;=$E$3,INDEX($B$10:$B$59,RANDBETWEEN(1,$E$3)),"")</x:f>
      </x:c>
      <x:c r="AJ239" s="68" t="str">
        <x:f>IF(COLUMN()-2&lt;=$E$3,INDEX($B$10:$B$59,RANDBETWEEN(1,$E$3)),"")</x:f>
      </x:c>
      <x:c r="AK239" s="68" t="str">
        <x:f>IF(COLUMN()-2&lt;=$E$3,INDEX($B$10:$B$59,RANDBETWEEN(1,$E$3)),"")</x:f>
      </x:c>
      <x:c r="AL239" s="68" t="str">
        <x:f>IF(COLUMN()-2&lt;=$E$3,INDEX($B$10:$B$59,RANDBETWEEN(1,$E$3)),"")</x:f>
      </x:c>
      <x:c r="AM239" s="68" t="str">
        <x:f>IF(COLUMN()-2&lt;=$E$3,INDEX($B$10:$B$59,RANDBETWEEN(1,$E$3)),"")</x:f>
      </x:c>
      <x:c r="AN239" s="68" t="str">
        <x:f>IF(COLUMN()-2&lt;=$E$3,INDEX($B$10:$B$59,RANDBETWEEN(1,$E$3)),"")</x:f>
      </x:c>
      <x:c r="AO239" s="68" t="str">
        <x:f>IF(COLUMN()-2&lt;=$E$3,INDEX($B$10:$B$59,RANDBETWEEN(1,$E$3)),"")</x:f>
      </x:c>
      <x:c r="AP239" s="68" t="str">
        <x:f>IF(COLUMN()-2&lt;=$E$3,INDEX($B$10:$B$59,RANDBETWEEN(1,$E$3)),"")</x:f>
      </x:c>
      <x:c r="AQ239" s="68" t="str">
        <x:f>IF(COLUMN()-2&lt;=$E$3,INDEX($B$10:$B$59,RANDBETWEEN(1,$E$3)),"")</x:f>
      </x:c>
      <x:c r="AR239" s="68" t="str">
        <x:f>IF(COLUMN()-2&lt;=$E$3,INDEX($B$10:$B$59,RANDBETWEEN(1,$E$3)),"")</x:f>
      </x:c>
      <x:c r="AS239" s="68" t="str">
        <x:f>IF(COLUMN()-2&lt;=$E$3,INDEX($B$10:$B$59,RANDBETWEEN(1,$E$3)),"")</x:f>
      </x:c>
      <x:c r="AT239" s="68" t="str">
        <x:f>IF(COLUMN()-2&lt;=$E$3,INDEX($B$10:$B$59,RANDBETWEEN(1,$E$3)),"")</x:f>
      </x:c>
      <x:c r="AU239" s="68" t="str">
        <x:f>IF(COLUMN()-2&lt;=$E$3,INDEX($B$10:$B$59,RANDBETWEEN(1,$E$3)),"")</x:f>
      </x:c>
      <x:c r="AV239" s="68" t="str">
        <x:f>IF(COLUMN()-2&lt;=$E$3,INDEX($B$10:$B$59,RANDBETWEEN(1,$E$3)),"")</x:f>
      </x:c>
      <x:c r="AW239" s="68" t="str">
        <x:f>IF(COLUMN()-2&lt;=$E$3,INDEX($B$10:$B$59,RANDBETWEEN(1,$E$3)),"")</x:f>
      </x:c>
      <x:c r="AX239" s="68" t="str">
        <x:f>IF(COLUMN()-2&lt;=$E$3,INDEX($B$10:$B$59,RANDBETWEEN(1,$E$3)),"")</x:f>
      </x:c>
      <x:c r="AY239" s="68" t="str">
        <x:f>IF(COLUMN()-2&lt;=$E$3,INDEX($B$10:$B$59,RANDBETWEEN(1,$E$3)),"")</x:f>
      </x:c>
      <x:c r="AZ239" s="68" t="str">
        <x:f>IF(COLUMN()-2&lt;=$E$3,INDEX($B$10:$B$59,RANDBETWEEN(1,$E$3)),"")</x:f>
      </x:c>
      <x:c r="BA239" s="68" t="str">
        <x:f>IF($E$3=0,"",AVERAGE(C239:AZ239))</x:f>
      </x:c>
    </x:row>
    <x:row r="240">
      <x:c r="A240" t="n">
        <x:v>176</x:v>
      </x:c>
      <x:c r="C240" s="68" t="str">
        <x:f>IF(COLUMN()-2&lt;=$E$3,INDEX($B$10:$B$59,RANDBETWEEN(1,$E$3)),"")</x:f>
      </x:c>
      <x:c r="D240" s="68" t="str">
        <x:f>IF(COLUMN()-2&lt;=$E$3,INDEX($B$10:$B$59,RANDBETWEEN(1,$E$3)),"")</x:f>
      </x:c>
      <x:c r="E240" s="68" t="str">
        <x:f>IF(COLUMN()-2&lt;=$E$3,INDEX($B$10:$B$59,RANDBETWEEN(1,$E$3)),"")</x:f>
      </x:c>
      <x:c r="F240" s="68" t="str">
        <x:f>IF(COLUMN()-2&lt;=$E$3,INDEX($B$10:$B$59,RANDBETWEEN(1,$E$3)),"")</x:f>
      </x:c>
      <x:c r="G240" s="68" t="str">
        <x:f>IF(COLUMN()-2&lt;=$E$3,INDEX($B$10:$B$59,RANDBETWEEN(1,$E$3)),"")</x:f>
      </x:c>
      <x:c r="H240" s="68" t="str">
        <x:f>IF(COLUMN()-2&lt;=$E$3,INDEX($B$10:$B$59,RANDBETWEEN(1,$E$3)),"")</x:f>
      </x:c>
      <x:c r="I240" s="68" t="str">
        <x:f>IF(COLUMN()-2&lt;=$E$3,INDEX($B$10:$B$59,RANDBETWEEN(1,$E$3)),"")</x:f>
      </x:c>
      <x:c r="J240" s="68" t="str">
        <x:f>IF(COLUMN()-2&lt;=$E$3,INDEX($B$10:$B$59,RANDBETWEEN(1,$E$3)),"")</x:f>
      </x:c>
      <x:c r="K240" s="68" t="str">
        <x:f>IF(COLUMN()-2&lt;=$E$3,INDEX($B$10:$B$59,RANDBETWEEN(1,$E$3)),"")</x:f>
      </x:c>
      <x:c r="L240" s="68" t="str">
        <x:f>IF(COLUMN()-2&lt;=$E$3,INDEX($B$10:$B$59,RANDBETWEEN(1,$E$3)),"")</x:f>
      </x:c>
      <x:c r="M240" s="68" t="str">
        <x:f>IF(COLUMN()-2&lt;=$E$3,INDEX($B$10:$B$59,RANDBETWEEN(1,$E$3)),"")</x:f>
      </x:c>
      <x:c r="N240" s="68" t="str">
        <x:f>IF(COLUMN()-2&lt;=$E$3,INDEX($B$10:$B$59,RANDBETWEEN(1,$E$3)),"")</x:f>
      </x:c>
      <x:c r="O240" s="68" t="str">
        <x:f>IF(COLUMN()-2&lt;=$E$3,INDEX($B$10:$B$59,RANDBETWEEN(1,$E$3)),"")</x:f>
      </x:c>
      <x:c r="P240" s="68" t="str">
        <x:f>IF(COLUMN()-2&lt;=$E$3,INDEX($B$10:$B$59,RANDBETWEEN(1,$E$3)),"")</x:f>
      </x:c>
      <x:c r="Q240" s="68" t="str">
        <x:f>IF(COLUMN()-2&lt;=$E$3,INDEX($B$10:$B$59,RANDBETWEEN(1,$E$3)),"")</x:f>
      </x:c>
      <x:c r="R240" s="68" t="str">
        <x:f>IF(COLUMN()-2&lt;=$E$3,INDEX($B$10:$B$59,RANDBETWEEN(1,$E$3)),"")</x:f>
      </x:c>
      <x:c r="S240" s="68" t="str">
        <x:f>IF(COLUMN()-2&lt;=$E$3,INDEX($B$10:$B$59,RANDBETWEEN(1,$E$3)),"")</x:f>
      </x:c>
      <x:c r="T240" s="68" t="str">
        <x:f>IF(COLUMN()-2&lt;=$E$3,INDEX($B$10:$B$59,RANDBETWEEN(1,$E$3)),"")</x:f>
      </x:c>
      <x:c r="U240" s="68" t="str">
        <x:f>IF(COLUMN()-2&lt;=$E$3,INDEX($B$10:$B$59,RANDBETWEEN(1,$E$3)),"")</x:f>
      </x:c>
      <x:c r="V240" s="68" t="str">
        <x:f>IF(COLUMN()-2&lt;=$E$3,INDEX($B$10:$B$59,RANDBETWEEN(1,$E$3)),"")</x:f>
      </x:c>
      <x:c r="W240" s="68" t="str">
        <x:f>IF(COLUMN()-2&lt;=$E$3,INDEX($B$10:$B$59,RANDBETWEEN(1,$E$3)),"")</x:f>
      </x:c>
      <x:c r="X240" s="68" t="str">
        <x:f>IF(COLUMN()-2&lt;=$E$3,INDEX($B$10:$B$59,RANDBETWEEN(1,$E$3)),"")</x:f>
      </x:c>
      <x:c r="Y240" s="68" t="str">
        <x:f>IF(COLUMN()-2&lt;=$E$3,INDEX($B$10:$B$59,RANDBETWEEN(1,$E$3)),"")</x:f>
      </x:c>
      <x:c r="Z240" s="68" t="str">
        <x:f>IF(COLUMN()-2&lt;=$E$3,INDEX($B$10:$B$59,RANDBETWEEN(1,$E$3)),"")</x:f>
      </x:c>
      <x:c r="AA240" s="68" t="str">
        <x:f>IF(COLUMN()-2&lt;=$E$3,INDEX($B$10:$B$59,RANDBETWEEN(1,$E$3)),"")</x:f>
      </x:c>
      <x:c r="AB240" s="68" t="str">
        <x:f>IF(COLUMN()-2&lt;=$E$3,INDEX($B$10:$B$59,RANDBETWEEN(1,$E$3)),"")</x:f>
      </x:c>
      <x:c r="AC240" s="68" t="str">
        <x:f>IF(COLUMN()-2&lt;=$E$3,INDEX($B$10:$B$59,RANDBETWEEN(1,$E$3)),"")</x:f>
      </x:c>
      <x:c r="AD240" s="68" t="str">
        <x:f>IF(COLUMN()-2&lt;=$E$3,INDEX($B$10:$B$59,RANDBETWEEN(1,$E$3)),"")</x:f>
      </x:c>
      <x:c r="AE240" s="68" t="str">
        <x:f>IF(COLUMN()-2&lt;=$E$3,INDEX($B$10:$B$59,RANDBETWEEN(1,$E$3)),"")</x:f>
      </x:c>
      <x:c r="AF240" s="68" t="str">
        <x:f>IF(COLUMN()-2&lt;=$E$3,INDEX($B$10:$B$59,RANDBETWEEN(1,$E$3)),"")</x:f>
      </x:c>
      <x:c r="AG240" s="68" t="str">
        <x:f>IF(COLUMN()-2&lt;=$E$3,INDEX($B$10:$B$59,RANDBETWEEN(1,$E$3)),"")</x:f>
      </x:c>
      <x:c r="AH240" s="68" t="str">
        <x:f>IF(COLUMN()-2&lt;=$E$3,INDEX($B$10:$B$59,RANDBETWEEN(1,$E$3)),"")</x:f>
      </x:c>
      <x:c r="AI240" s="68" t="str">
        <x:f>IF(COLUMN()-2&lt;=$E$3,INDEX($B$10:$B$59,RANDBETWEEN(1,$E$3)),"")</x:f>
      </x:c>
      <x:c r="AJ240" s="68" t="str">
        <x:f>IF(COLUMN()-2&lt;=$E$3,INDEX($B$10:$B$59,RANDBETWEEN(1,$E$3)),"")</x:f>
      </x:c>
      <x:c r="AK240" s="68" t="str">
        <x:f>IF(COLUMN()-2&lt;=$E$3,INDEX($B$10:$B$59,RANDBETWEEN(1,$E$3)),"")</x:f>
      </x:c>
      <x:c r="AL240" s="68" t="str">
        <x:f>IF(COLUMN()-2&lt;=$E$3,INDEX($B$10:$B$59,RANDBETWEEN(1,$E$3)),"")</x:f>
      </x:c>
      <x:c r="AM240" s="68" t="str">
        <x:f>IF(COLUMN()-2&lt;=$E$3,INDEX($B$10:$B$59,RANDBETWEEN(1,$E$3)),"")</x:f>
      </x:c>
      <x:c r="AN240" s="68" t="str">
        <x:f>IF(COLUMN()-2&lt;=$E$3,INDEX($B$10:$B$59,RANDBETWEEN(1,$E$3)),"")</x:f>
      </x:c>
      <x:c r="AO240" s="68" t="str">
        <x:f>IF(COLUMN()-2&lt;=$E$3,INDEX($B$10:$B$59,RANDBETWEEN(1,$E$3)),"")</x:f>
      </x:c>
      <x:c r="AP240" s="68" t="str">
        <x:f>IF(COLUMN()-2&lt;=$E$3,INDEX($B$10:$B$59,RANDBETWEEN(1,$E$3)),"")</x:f>
      </x:c>
      <x:c r="AQ240" s="68" t="str">
        <x:f>IF(COLUMN()-2&lt;=$E$3,INDEX($B$10:$B$59,RANDBETWEEN(1,$E$3)),"")</x:f>
      </x:c>
      <x:c r="AR240" s="68" t="str">
        <x:f>IF(COLUMN()-2&lt;=$E$3,INDEX($B$10:$B$59,RANDBETWEEN(1,$E$3)),"")</x:f>
      </x:c>
      <x:c r="AS240" s="68" t="str">
        <x:f>IF(COLUMN()-2&lt;=$E$3,INDEX($B$10:$B$59,RANDBETWEEN(1,$E$3)),"")</x:f>
      </x:c>
      <x:c r="AT240" s="68" t="str">
        <x:f>IF(COLUMN()-2&lt;=$E$3,INDEX($B$10:$B$59,RANDBETWEEN(1,$E$3)),"")</x:f>
      </x:c>
      <x:c r="AU240" s="68" t="str">
        <x:f>IF(COLUMN()-2&lt;=$E$3,INDEX($B$10:$B$59,RANDBETWEEN(1,$E$3)),"")</x:f>
      </x:c>
      <x:c r="AV240" s="68" t="str">
        <x:f>IF(COLUMN()-2&lt;=$E$3,INDEX($B$10:$B$59,RANDBETWEEN(1,$E$3)),"")</x:f>
      </x:c>
      <x:c r="AW240" s="68" t="str">
        <x:f>IF(COLUMN()-2&lt;=$E$3,INDEX($B$10:$B$59,RANDBETWEEN(1,$E$3)),"")</x:f>
      </x:c>
      <x:c r="AX240" s="68" t="str">
        <x:f>IF(COLUMN()-2&lt;=$E$3,INDEX($B$10:$B$59,RANDBETWEEN(1,$E$3)),"")</x:f>
      </x:c>
      <x:c r="AY240" s="68" t="str">
        <x:f>IF(COLUMN()-2&lt;=$E$3,INDEX($B$10:$B$59,RANDBETWEEN(1,$E$3)),"")</x:f>
      </x:c>
      <x:c r="AZ240" s="68" t="str">
        <x:f>IF(COLUMN()-2&lt;=$E$3,INDEX($B$10:$B$59,RANDBETWEEN(1,$E$3)),"")</x:f>
      </x:c>
      <x:c r="BA240" s="68" t="str">
        <x:f>IF($E$3=0,"",AVERAGE(C240:AZ240))</x:f>
      </x:c>
    </x:row>
    <x:row r="241">
      <x:c r="A241" t="n">
        <x:v>177</x:v>
      </x:c>
      <x:c r="C241" s="68" t="str">
        <x:f>IF(COLUMN()-2&lt;=$E$3,INDEX($B$10:$B$59,RANDBETWEEN(1,$E$3)),"")</x:f>
      </x:c>
      <x:c r="D241" s="68" t="str">
        <x:f>IF(COLUMN()-2&lt;=$E$3,INDEX($B$10:$B$59,RANDBETWEEN(1,$E$3)),"")</x:f>
      </x:c>
      <x:c r="E241" s="68" t="str">
        <x:f>IF(COLUMN()-2&lt;=$E$3,INDEX($B$10:$B$59,RANDBETWEEN(1,$E$3)),"")</x:f>
      </x:c>
      <x:c r="F241" s="68" t="str">
        <x:f>IF(COLUMN()-2&lt;=$E$3,INDEX($B$10:$B$59,RANDBETWEEN(1,$E$3)),"")</x:f>
      </x:c>
      <x:c r="G241" s="68" t="str">
        <x:f>IF(COLUMN()-2&lt;=$E$3,INDEX($B$10:$B$59,RANDBETWEEN(1,$E$3)),"")</x:f>
      </x:c>
      <x:c r="H241" s="68" t="str">
        <x:f>IF(COLUMN()-2&lt;=$E$3,INDEX($B$10:$B$59,RANDBETWEEN(1,$E$3)),"")</x:f>
      </x:c>
      <x:c r="I241" s="68" t="str">
        <x:f>IF(COLUMN()-2&lt;=$E$3,INDEX($B$10:$B$59,RANDBETWEEN(1,$E$3)),"")</x:f>
      </x:c>
      <x:c r="J241" s="68" t="str">
        <x:f>IF(COLUMN()-2&lt;=$E$3,INDEX($B$10:$B$59,RANDBETWEEN(1,$E$3)),"")</x:f>
      </x:c>
      <x:c r="K241" s="68" t="str">
        <x:f>IF(COLUMN()-2&lt;=$E$3,INDEX($B$10:$B$59,RANDBETWEEN(1,$E$3)),"")</x:f>
      </x:c>
      <x:c r="L241" s="68" t="str">
        <x:f>IF(COLUMN()-2&lt;=$E$3,INDEX($B$10:$B$59,RANDBETWEEN(1,$E$3)),"")</x:f>
      </x:c>
      <x:c r="M241" s="68" t="str">
        <x:f>IF(COLUMN()-2&lt;=$E$3,INDEX($B$10:$B$59,RANDBETWEEN(1,$E$3)),"")</x:f>
      </x:c>
      <x:c r="N241" s="68" t="str">
        <x:f>IF(COLUMN()-2&lt;=$E$3,INDEX($B$10:$B$59,RANDBETWEEN(1,$E$3)),"")</x:f>
      </x:c>
      <x:c r="O241" s="68" t="str">
        <x:f>IF(COLUMN()-2&lt;=$E$3,INDEX($B$10:$B$59,RANDBETWEEN(1,$E$3)),"")</x:f>
      </x:c>
      <x:c r="P241" s="68" t="str">
        <x:f>IF(COLUMN()-2&lt;=$E$3,INDEX($B$10:$B$59,RANDBETWEEN(1,$E$3)),"")</x:f>
      </x:c>
      <x:c r="Q241" s="68" t="str">
        <x:f>IF(COLUMN()-2&lt;=$E$3,INDEX($B$10:$B$59,RANDBETWEEN(1,$E$3)),"")</x:f>
      </x:c>
      <x:c r="R241" s="68" t="str">
        <x:f>IF(COLUMN()-2&lt;=$E$3,INDEX($B$10:$B$59,RANDBETWEEN(1,$E$3)),"")</x:f>
      </x:c>
      <x:c r="S241" s="68" t="str">
        <x:f>IF(COLUMN()-2&lt;=$E$3,INDEX($B$10:$B$59,RANDBETWEEN(1,$E$3)),"")</x:f>
      </x:c>
      <x:c r="T241" s="68" t="str">
        <x:f>IF(COLUMN()-2&lt;=$E$3,INDEX($B$10:$B$59,RANDBETWEEN(1,$E$3)),"")</x:f>
      </x:c>
      <x:c r="U241" s="68" t="str">
        <x:f>IF(COLUMN()-2&lt;=$E$3,INDEX($B$10:$B$59,RANDBETWEEN(1,$E$3)),"")</x:f>
      </x:c>
      <x:c r="V241" s="68" t="str">
        <x:f>IF(COLUMN()-2&lt;=$E$3,INDEX($B$10:$B$59,RANDBETWEEN(1,$E$3)),"")</x:f>
      </x:c>
      <x:c r="W241" s="68" t="str">
        <x:f>IF(COLUMN()-2&lt;=$E$3,INDEX($B$10:$B$59,RANDBETWEEN(1,$E$3)),"")</x:f>
      </x:c>
      <x:c r="X241" s="68" t="str">
        <x:f>IF(COLUMN()-2&lt;=$E$3,INDEX($B$10:$B$59,RANDBETWEEN(1,$E$3)),"")</x:f>
      </x:c>
      <x:c r="Y241" s="68" t="str">
        <x:f>IF(COLUMN()-2&lt;=$E$3,INDEX($B$10:$B$59,RANDBETWEEN(1,$E$3)),"")</x:f>
      </x:c>
      <x:c r="Z241" s="68" t="str">
        <x:f>IF(COLUMN()-2&lt;=$E$3,INDEX($B$10:$B$59,RANDBETWEEN(1,$E$3)),"")</x:f>
      </x:c>
      <x:c r="AA241" s="68" t="str">
        <x:f>IF(COLUMN()-2&lt;=$E$3,INDEX($B$10:$B$59,RANDBETWEEN(1,$E$3)),"")</x:f>
      </x:c>
      <x:c r="AB241" s="68" t="str">
        <x:f>IF(COLUMN()-2&lt;=$E$3,INDEX($B$10:$B$59,RANDBETWEEN(1,$E$3)),"")</x:f>
      </x:c>
      <x:c r="AC241" s="68" t="str">
        <x:f>IF(COLUMN()-2&lt;=$E$3,INDEX($B$10:$B$59,RANDBETWEEN(1,$E$3)),"")</x:f>
      </x:c>
      <x:c r="AD241" s="68" t="str">
        <x:f>IF(COLUMN()-2&lt;=$E$3,INDEX($B$10:$B$59,RANDBETWEEN(1,$E$3)),"")</x:f>
      </x:c>
      <x:c r="AE241" s="68" t="str">
        <x:f>IF(COLUMN()-2&lt;=$E$3,INDEX($B$10:$B$59,RANDBETWEEN(1,$E$3)),"")</x:f>
      </x:c>
      <x:c r="AF241" s="68" t="str">
        <x:f>IF(COLUMN()-2&lt;=$E$3,INDEX($B$10:$B$59,RANDBETWEEN(1,$E$3)),"")</x:f>
      </x:c>
      <x:c r="AG241" s="68" t="str">
        <x:f>IF(COLUMN()-2&lt;=$E$3,INDEX($B$10:$B$59,RANDBETWEEN(1,$E$3)),"")</x:f>
      </x:c>
      <x:c r="AH241" s="68" t="str">
        <x:f>IF(COLUMN()-2&lt;=$E$3,INDEX($B$10:$B$59,RANDBETWEEN(1,$E$3)),"")</x:f>
      </x:c>
      <x:c r="AI241" s="68" t="str">
        <x:f>IF(COLUMN()-2&lt;=$E$3,INDEX($B$10:$B$59,RANDBETWEEN(1,$E$3)),"")</x:f>
      </x:c>
      <x:c r="AJ241" s="68" t="str">
        <x:f>IF(COLUMN()-2&lt;=$E$3,INDEX($B$10:$B$59,RANDBETWEEN(1,$E$3)),"")</x:f>
      </x:c>
      <x:c r="AK241" s="68" t="str">
        <x:f>IF(COLUMN()-2&lt;=$E$3,INDEX($B$10:$B$59,RANDBETWEEN(1,$E$3)),"")</x:f>
      </x:c>
      <x:c r="AL241" s="68" t="str">
        <x:f>IF(COLUMN()-2&lt;=$E$3,INDEX($B$10:$B$59,RANDBETWEEN(1,$E$3)),"")</x:f>
      </x:c>
      <x:c r="AM241" s="68" t="str">
        <x:f>IF(COLUMN()-2&lt;=$E$3,INDEX($B$10:$B$59,RANDBETWEEN(1,$E$3)),"")</x:f>
      </x:c>
      <x:c r="AN241" s="68" t="str">
        <x:f>IF(COLUMN()-2&lt;=$E$3,INDEX($B$10:$B$59,RANDBETWEEN(1,$E$3)),"")</x:f>
      </x:c>
      <x:c r="AO241" s="68" t="str">
        <x:f>IF(COLUMN()-2&lt;=$E$3,INDEX($B$10:$B$59,RANDBETWEEN(1,$E$3)),"")</x:f>
      </x:c>
      <x:c r="AP241" s="68" t="str">
        <x:f>IF(COLUMN()-2&lt;=$E$3,INDEX($B$10:$B$59,RANDBETWEEN(1,$E$3)),"")</x:f>
      </x:c>
      <x:c r="AQ241" s="68" t="str">
        <x:f>IF(COLUMN()-2&lt;=$E$3,INDEX($B$10:$B$59,RANDBETWEEN(1,$E$3)),"")</x:f>
      </x:c>
      <x:c r="AR241" s="68" t="str">
        <x:f>IF(COLUMN()-2&lt;=$E$3,INDEX($B$10:$B$59,RANDBETWEEN(1,$E$3)),"")</x:f>
      </x:c>
      <x:c r="AS241" s="68" t="str">
        <x:f>IF(COLUMN()-2&lt;=$E$3,INDEX($B$10:$B$59,RANDBETWEEN(1,$E$3)),"")</x:f>
      </x:c>
      <x:c r="AT241" s="68" t="str">
        <x:f>IF(COLUMN()-2&lt;=$E$3,INDEX($B$10:$B$59,RANDBETWEEN(1,$E$3)),"")</x:f>
      </x:c>
      <x:c r="AU241" s="68" t="str">
        <x:f>IF(COLUMN()-2&lt;=$E$3,INDEX($B$10:$B$59,RANDBETWEEN(1,$E$3)),"")</x:f>
      </x:c>
      <x:c r="AV241" s="68" t="str">
        <x:f>IF(COLUMN()-2&lt;=$E$3,INDEX($B$10:$B$59,RANDBETWEEN(1,$E$3)),"")</x:f>
      </x:c>
      <x:c r="AW241" s="68" t="str">
        <x:f>IF(COLUMN()-2&lt;=$E$3,INDEX($B$10:$B$59,RANDBETWEEN(1,$E$3)),"")</x:f>
      </x:c>
      <x:c r="AX241" s="68" t="str">
        <x:f>IF(COLUMN()-2&lt;=$E$3,INDEX($B$10:$B$59,RANDBETWEEN(1,$E$3)),"")</x:f>
      </x:c>
      <x:c r="AY241" s="68" t="str">
        <x:f>IF(COLUMN()-2&lt;=$E$3,INDEX($B$10:$B$59,RANDBETWEEN(1,$E$3)),"")</x:f>
      </x:c>
      <x:c r="AZ241" s="68" t="str">
        <x:f>IF(COLUMN()-2&lt;=$E$3,INDEX($B$10:$B$59,RANDBETWEEN(1,$E$3)),"")</x:f>
      </x:c>
      <x:c r="BA241" s="68" t="str">
        <x:f>IF($E$3=0,"",AVERAGE(C241:AZ241))</x:f>
      </x:c>
    </x:row>
    <x:row r="242">
      <x:c r="A242" t="n">
        <x:v>178</x:v>
      </x:c>
      <x:c r="C242" s="68" t="str">
        <x:f>IF(COLUMN()-2&lt;=$E$3,INDEX($B$10:$B$59,RANDBETWEEN(1,$E$3)),"")</x:f>
      </x:c>
      <x:c r="D242" s="68" t="str">
        <x:f>IF(COLUMN()-2&lt;=$E$3,INDEX($B$10:$B$59,RANDBETWEEN(1,$E$3)),"")</x:f>
      </x:c>
      <x:c r="E242" s="68" t="str">
        <x:f>IF(COLUMN()-2&lt;=$E$3,INDEX($B$10:$B$59,RANDBETWEEN(1,$E$3)),"")</x:f>
      </x:c>
      <x:c r="F242" s="68" t="str">
        <x:f>IF(COLUMN()-2&lt;=$E$3,INDEX($B$10:$B$59,RANDBETWEEN(1,$E$3)),"")</x:f>
      </x:c>
      <x:c r="G242" s="68" t="str">
        <x:f>IF(COLUMN()-2&lt;=$E$3,INDEX($B$10:$B$59,RANDBETWEEN(1,$E$3)),"")</x:f>
      </x:c>
      <x:c r="H242" s="68" t="str">
        <x:f>IF(COLUMN()-2&lt;=$E$3,INDEX($B$10:$B$59,RANDBETWEEN(1,$E$3)),"")</x:f>
      </x:c>
      <x:c r="I242" s="68" t="str">
        <x:f>IF(COLUMN()-2&lt;=$E$3,INDEX($B$10:$B$59,RANDBETWEEN(1,$E$3)),"")</x:f>
      </x:c>
      <x:c r="J242" s="68" t="str">
        <x:f>IF(COLUMN()-2&lt;=$E$3,INDEX($B$10:$B$59,RANDBETWEEN(1,$E$3)),"")</x:f>
      </x:c>
      <x:c r="K242" s="68" t="str">
        <x:f>IF(COLUMN()-2&lt;=$E$3,INDEX($B$10:$B$59,RANDBETWEEN(1,$E$3)),"")</x:f>
      </x:c>
      <x:c r="L242" s="68" t="str">
        <x:f>IF(COLUMN()-2&lt;=$E$3,INDEX($B$10:$B$59,RANDBETWEEN(1,$E$3)),"")</x:f>
      </x:c>
      <x:c r="M242" s="68" t="str">
        <x:f>IF(COLUMN()-2&lt;=$E$3,INDEX($B$10:$B$59,RANDBETWEEN(1,$E$3)),"")</x:f>
      </x:c>
      <x:c r="N242" s="68" t="str">
        <x:f>IF(COLUMN()-2&lt;=$E$3,INDEX($B$10:$B$59,RANDBETWEEN(1,$E$3)),"")</x:f>
      </x:c>
      <x:c r="O242" s="68" t="str">
        <x:f>IF(COLUMN()-2&lt;=$E$3,INDEX($B$10:$B$59,RANDBETWEEN(1,$E$3)),"")</x:f>
      </x:c>
      <x:c r="P242" s="68" t="str">
        <x:f>IF(COLUMN()-2&lt;=$E$3,INDEX($B$10:$B$59,RANDBETWEEN(1,$E$3)),"")</x:f>
      </x:c>
      <x:c r="Q242" s="68" t="str">
        <x:f>IF(COLUMN()-2&lt;=$E$3,INDEX($B$10:$B$59,RANDBETWEEN(1,$E$3)),"")</x:f>
      </x:c>
      <x:c r="R242" s="68" t="str">
        <x:f>IF(COLUMN()-2&lt;=$E$3,INDEX($B$10:$B$59,RANDBETWEEN(1,$E$3)),"")</x:f>
      </x:c>
      <x:c r="S242" s="68" t="str">
        <x:f>IF(COLUMN()-2&lt;=$E$3,INDEX($B$10:$B$59,RANDBETWEEN(1,$E$3)),"")</x:f>
      </x:c>
      <x:c r="T242" s="68" t="str">
        <x:f>IF(COLUMN()-2&lt;=$E$3,INDEX($B$10:$B$59,RANDBETWEEN(1,$E$3)),"")</x:f>
      </x:c>
      <x:c r="U242" s="68" t="str">
        <x:f>IF(COLUMN()-2&lt;=$E$3,INDEX($B$10:$B$59,RANDBETWEEN(1,$E$3)),"")</x:f>
      </x:c>
      <x:c r="V242" s="68" t="str">
        <x:f>IF(COLUMN()-2&lt;=$E$3,INDEX($B$10:$B$59,RANDBETWEEN(1,$E$3)),"")</x:f>
      </x:c>
      <x:c r="W242" s="68" t="str">
        <x:f>IF(COLUMN()-2&lt;=$E$3,INDEX($B$10:$B$59,RANDBETWEEN(1,$E$3)),"")</x:f>
      </x:c>
      <x:c r="X242" s="68" t="str">
        <x:f>IF(COLUMN()-2&lt;=$E$3,INDEX($B$10:$B$59,RANDBETWEEN(1,$E$3)),"")</x:f>
      </x:c>
      <x:c r="Y242" s="68" t="str">
        <x:f>IF(COLUMN()-2&lt;=$E$3,INDEX($B$10:$B$59,RANDBETWEEN(1,$E$3)),"")</x:f>
      </x:c>
      <x:c r="Z242" s="68" t="str">
        <x:f>IF(COLUMN()-2&lt;=$E$3,INDEX($B$10:$B$59,RANDBETWEEN(1,$E$3)),"")</x:f>
      </x:c>
      <x:c r="AA242" s="68" t="str">
        <x:f>IF(COLUMN()-2&lt;=$E$3,INDEX($B$10:$B$59,RANDBETWEEN(1,$E$3)),"")</x:f>
      </x:c>
      <x:c r="AB242" s="68" t="str">
        <x:f>IF(COLUMN()-2&lt;=$E$3,INDEX($B$10:$B$59,RANDBETWEEN(1,$E$3)),"")</x:f>
      </x:c>
      <x:c r="AC242" s="68" t="str">
        <x:f>IF(COLUMN()-2&lt;=$E$3,INDEX($B$10:$B$59,RANDBETWEEN(1,$E$3)),"")</x:f>
      </x:c>
      <x:c r="AD242" s="68" t="str">
        <x:f>IF(COLUMN()-2&lt;=$E$3,INDEX($B$10:$B$59,RANDBETWEEN(1,$E$3)),"")</x:f>
      </x:c>
      <x:c r="AE242" s="68" t="str">
        <x:f>IF(COLUMN()-2&lt;=$E$3,INDEX($B$10:$B$59,RANDBETWEEN(1,$E$3)),"")</x:f>
      </x:c>
      <x:c r="AF242" s="68" t="str">
        <x:f>IF(COLUMN()-2&lt;=$E$3,INDEX($B$10:$B$59,RANDBETWEEN(1,$E$3)),"")</x:f>
      </x:c>
      <x:c r="AG242" s="68" t="str">
        <x:f>IF(COLUMN()-2&lt;=$E$3,INDEX($B$10:$B$59,RANDBETWEEN(1,$E$3)),"")</x:f>
      </x:c>
      <x:c r="AH242" s="68" t="str">
        <x:f>IF(COLUMN()-2&lt;=$E$3,INDEX($B$10:$B$59,RANDBETWEEN(1,$E$3)),"")</x:f>
      </x:c>
      <x:c r="AI242" s="68" t="str">
        <x:f>IF(COLUMN()-2&lt;=$E$3,INDEX($B$10:$B$59,RANDBETWEEN(1,$E$3)),"")</x:f>
      </x:c>
      <x:c r="AJ242" s="68" t="str">
        <x:f>IF(COLUMN()-2&lt;=$E$3,INDEX($B$10:$B$59,RANDBETWEEN(1,$E$3)),"")</x:f>
      </x:c>
      <x:c r="AK242" s="68" t="str">
        <x:f>IF(COLUMN()-2&lt;=$E$3,INDEX($B$10:$B$59,RANDBETWEEN(1,$E$3)),"")</x:f>
      </x:c>
      <x:c r="AL242" s="68" t="str">
        <x:f>IF(COLUMN()-2&lt;=$E$3,INDEX($B$10:$B$59,RANDBETWEEN(1,$E$3)),"")</x:f>
      </x:c>
      <x:c r="AM242" s="68" t="str">
        <x:f>IF(COLUMN()-2&lt;=$E$3,INDEX($B$10:$B$59,RANDBETWEEN(1,$E$3)),"")</x:f>
      </x:c>
      <x:c r="AN242" s="68" t="str">
        <x:f>IF(COLUMN()-2&lt;=$E$3,INDEX($B$10:$B$59,RANDBETWEEN(1,$E$3)),"")</x:f>
      </x:c>
      <x:c r="AO242" s="68" t="str">
        <x:f>IF(COLUMN()-2&lt;=$E$3,INDEX($B$10:$B$59,RANDBETWEEN(1,$E$3)),"")</x:f>
      </x:c>
      <x:c r="AP242" s="68" t="str">
        <x:f>IF(COLUMN()-2&lt;=$E$3,INDEX($B$10:$B$59,RANDBETWEEN(1,$E$3)),"")</x:f>
      </x:c>
      <x:c r="AQ242" s="68" t="str">
        <x:f>IF(COLUMN()-2&lt;=$E$3,INDEX($B$10:$B$59,RANDBETWEEN(1,$E$3)),"")</x:f>
      </x:c>
      <x:c r="AR242" s="68" t="str">
        <x:f>IF(COLUMN()-2&lt;=$E$3,INDEX($B$10:$B$59,RANDBETWEEN(1,$E$3)),"")</x:f>
      </x:c>
      <x:c r="AS242" s="68" t="str">
        <x:f>IF(COLUMN()-2&lt;=$E$3,INDEX($B$10:$B$59,RANDBETWEEN(1,$E$3)),"")</x:f>
      </x:c>
      <x:c r="AT242" s="68" t="str">
        <x:f>IF(COLUMN()-2&lt;=$E$3,INDEX($B$10:$B$59,RANDBETWEEN(1,$E$3)),"")</x:f>
      </x:c>
      <x:c r="AU242" s="68" t="str">
        <x:f>IF(COLUMN()-2&lt;=$E$3,INDEX($B$10:$B$59,RANDBETWEEN(1,$E$3)),"")</x:f>
      </x:c>
      <x:c r="AV242" s="68" t="str">
        <x:f>IF(COLUMN()-2&lt;=$E$3,INDEX($B$10:$B$59,RANDBETWEEN(1,$E$3)),"")</x:f>
      </x:c>
      <x:c r="AW242" s="68" t="str">
        <x:f>IF(COLUMN()-2&lt;=$E$3,INDEX($B$10:$B$59,RANDBETWEEN(1,$E$3)),"")</x:f>
      </x:c>
      <x:c r="AX242" s="68" t="str">
        <x:f>IF(COLUMN()-2&lt;=$E$3,INDEX($B$10:$B$59,RANDBETWEEN(1,$E$3)),"")</x:f>
      </x:c>
      <x:c r="AY242" s="68" t="str">
        <x:f>IF(COLUMN()-2&lt;=$E$3,INDEX($B$10:$B$59,RANDBETWEEN(1,$E$3)),"")</x:f>
      </x:c>
      <x:c r="AZ242" s="68" t="str">
        <x:f>IF(COLUMN()-2&lt;=$E$3,INDEX($B$10:$B$59,RANDBETWEEN(1,$E$3)),"")</x:f>
      </x:c>
      <x:c r="BA242" s="68" t="str">
        <x:f>IF($E$3=0,"",AVERAGE(C242:AZ242))</x:f>
      </x:c>
    </x:row>
    <x:row r="243">
      <x:c r="A243" t="n">
        <x:v>179</x:v>
      </x:c>
      <x:c r="C243" s="68" t="str">
        <x:f>IF(COLUMN()-2&lt;=$E$3,INDEX($B$10:$B$59,RANDBETWEEN(1,$E$3)),"")</x:f>
      </x:c>
      <x:c r="D243" s="68" t="str">
        <x:f>IF(COLUMN()-2&lt;=$E$3,INDEX($B$10:$B$59,RANDBETWEEN(1,$E$3)),"")</x:f>
      </x:c>
      <x:c r="E243" s="68" t="str">
        <x:f>IF(COLUMN()-2&lt;=$E$3,INDEX($B$10:$B$59,RANDBETWEEN(1,$E$3)),"")</x:f>
      </x:c>
      <x:c r="F243" s="68" t="str">
        <x:f>IF(COLUMN()-2&lt;=$E$3,INDEX($B$10:$B$59,RANDBETWEEN(1,$E$3)),"")</x:f>
      </x:c>
      <x:c r="G243" s="68" t="str">
        <x:f>IF(COLUMN()-2&lt;=$E$3,INDEX($B$10:$B$59,RANDBETWEEN(1,$E$3)),"")</x:f>
      </x:c>
      <x:c r="H243" s="68" t="str">
        <x:f>IF(COLUMN()-2&lt;=$E$3,INDEX($B$10:$B$59,RANDBETWEEN(1,$E$3)),"")</x:f>
      </x:c>
      <x:c r="I243" s="68" t="str">
        <x:f>IF(COLUMN()-2&lt;=$E$3,INDEX($B$10:$B$59,RANDBETWEEN(1,$E$3)),"")</x:f>
      </x:c>
      <x:c r="J243" s="68" t="str">
        <x:f>IF(COLUMN()-2&lt;=$E$3,INDEX($B$10:$B$59,RANDBETWEEN(1,$E$3)),"")</x:f>
      </x:c>
      <x:c r="K243" s="68" t="str">
        <x:f>IF(COLUMN()-2&lt;=$E$3,INDEX($B$10:$B$59,RANDBETWEEN(1,$E$3)),"")</x:f>
      </x:c>
      <x:c r="L243" s="68" t="str">
        <x:f>IF(COLUMN()-2&lt;=$E$3,INDEX($B$10:$B$59,RANDBETWEEN(1,$E$3)),"")</x:f>
      </x:c>
      <x:c r="M243" s="68" t="str">
        <x:f>IF(COLUMN()-2&lt;=$E$3,INDEX($B$10:$B$59,RANDBETWEEN(1,$E$3)),"")</x:f>
      </x:c>
      <x:c r="N243" s="68" t="str">
        <x:f>IF(COLUMN()-2&lt;=$E$3,INDEX($B$10:$B$59,RANDBETWEEN(1,$E$3)),"")</x:f>
      </x:c>
      <x:c r="O243" s="68" t="str">
        <x:f>IF(COLUMN()-2&lt;=$E$3,INDEX($B$10:$B$59,RANDBETWEEN(1,$E$3)),"")</x:f>
      </x:c>
      <x:c r="P243" s="68" t="str">
        <x:f>IF(COLUMN()-2&lt;=$E$3,INDEX($B$10:$B$59,RANDBETWEEN(1,$E$3)),"")</x:f>
      </x:c>
      <x:c r="Q243" s="68" t="str">
        <x:f>IF(COLUMN()-2&lt;=$E$3,INDEX($B$10:$B$59,RANDBETWEEN(1,$E$3)),"")</x:f>
      </x:c>
      <x:c r="R243" s="68" t="str">
        <x:f>IF(COLUMN()-2&lt;=$E$3,INDEX($B$10:$B$59,RANDBETWEEN(1,$E$3)),"")</x:f>
      </x:c>
      <x:c r="S243" s="68" t="str">
        <x:f>IF(COLUMN()-2&lt;=$E$3,INDEX($B$10:$B$59,RANDBETWEEN(1,$E$3)),"")</x:f>
      </x:c>
      <x:c r="T243" s="68" t="str">
        <x:f>IF(COLUMN()-2&lt;=$E$3,INDEX($B$10:$B$59,RANDBETWEEN(1,$E$3)),"")</x:f>
      </x:c>
      <x:c r="U243" s="68" t="str">
        <x:f>IF(COLUMN()-2&lt;=$E$3,INDEX($B$10:$B$59,RANDBETWEEN(1,$E$3)),"")</x:f>
      </x:c>
      <x:c r="V243" s="68" t="str">
        <x:f>IF(COLUMN()-2&lt;=$E$3,INDEX($B$10:$B$59,RANDBETWEEN(1,$E$3)),"")</x:f>
      </x:c>
      <x:c r="W243" s="68" t="str">
        <x:f>IF(COLUMN()-2&lt;=$E$3,INDEX($B$10:$B$59,RANDBETWEEN(1,$E$3)),"")</x:f>
      </x:c>
      <x:c r="X243" s="68" t="str">
        <x:f>IF(COLUMN()-2&lt;=$E$3,INDEX($B$10:$B$59,RANDBETWEEN(1,$E$3)),"")</x:f>
      </x:c>
      <x:c r="Y243" s="68" t="str">
        <x:f>IF(COLUMN()-2&lt;=$E$3,INDEX($B$10:$B$59,RANDBETWEEN(1,$E$3)),"")</x:f>
      </x:c>
      <x:c r="Z243" s="68" t="str">
        <x:f>IF(COLUMN()-2&lt;=$E$3,INDEX($B$10:$B$59,RANDBETWEEN(1,$E$3)),"")</x:f>
      </x:c>
      <x:c r="AA243" s="68" t="str">
        <x:f>IF(COLUMN()-2&lt;=$E$3,INDEX($B$10:$B$59,RANDBETWEEN(1,$E$3)),"")</x:f>
      </x:c>
      <x:c r="AB243" s="68" t="str">
        <x:f>IF(COLUMN()-2&lt;=$E$3,INDEX($B$10:$B$59,RANDBETWEEN(1,$E$3)),"")</x:f>
      </x:c>
      <x:c r="AC243" s="68" t="str">
        <x:f>IF(COLUMN()-2&lt;=$E$3,INDEX($B$10:$B$59,RANDBETWEEN(1,$E$3)),"")</x:f>
      </x:c>
      <x:c r="AD243" s="68" t="str">
        <x:f>IF(COLUMN()-2&lt;=$E$3,INDEX($B$10:$B$59,RANDBETWEEN(1,$E$3)),"")</x:f>
      </x:c>
      <x:c r="AE243" s="68" t="str">
        <x:f>IF(COLUMN()-2&lt;=$E$3,INDEX($B$10:$B$59,RANDBETWEEN(1,$E$3)),"")</x:f>
      </x:c>
      <x:c r="AF243" s="68" t="str">
        <x:f>IF(COLUMN()-2&lt;=$E$3,INDEX($B$10:$B$59,RANDBETWEEN(1,$E$3)),"")</x:f>
      </x:c>
      <x:c r="AG243" s="68" t="str">
        <x:f>IF(COLUMN()-2&lt;=$E$3,INDEX($B$10:$B$59,RANDBETWEEN(1,$E$3)),"")</x:f>
      </x:c>
      <x:c r="AH243" s="68" t="str">
        <x:f>IF(COLUMN()-2&lt;=$E$3,INDEX($B$10:$B$59,RANDBETWEEN(1,$E$3)),"")</x:f>
      </x:c>
      <x:c r="AI243" s="68" t="str">
        <x:f>IF(COLUMN()-2&lt;=$E$3,INDEX($B$10:$B$59,RANDBETWEEN(1,$E$3)),"")</x:f>
      </x:c>
      <x:c r="AJ243" s="68" t="str">
        <x:f>IF(COLUMN()-2&lt;=$E$3,INDEX($B$10:$B$59,RANDBETWEEN(1,$E$3)),"")</x:f>
      </x:c>
      <x:c r="AK243" s="68" t="str">
        <x:f>IF(COLUMN()-2&lt;=$E$3,INDEX($B$10:$B$59,RANDBETWEEN(1,$E$3)),"")</x:f>
      </x:c>
      <x:c r="AL243" s="68" t="str">
        <x:f>IF(COLUMN()-2&lt;=$E$3,INDEX($B$10:$B$59,RANDBETWEEN(1,$E$3)),"")</x:f>
      </x:c>
      <x:c r="AM243" s="68" t="str">
        <x:f>IF(COLUMN()-2&lt;=$E$3,INDEX($B$10:$B$59,RANDBETWEEN(1,$E$3)),"")</x:f>
      </x:c>
      <x:c r="AN243" s="68" t="str">
        <x:f>IF(COLUMN()-2&lt;=$E$3,INDEX($B$10:$B$59,RANDBETWEEN(1,$E$3)),"")</x:f>
      </x:c>
      <x:c r="AO243" s="68" t="str">
        <x:f>IF(COLUMN()-2&lt;=$E$3,INDEX($B$10:$B$59,RANDBETWEEN(1,$E$3)),"")</x:f>
      </x:c>
      <x:c r="AP243" s="68" t="str">
        <x:f>IF(COLUMN()-2&lt;=$E$3,INDEX($B$10:$B$59,RANDBETWEEN(1,$E$3)),"")</x:f>
      </x:c>
      <x:c r="AQ243" s="68" t="str">
        <x:f>IF(COLUMN()-2&lt;=$E$3,INDEX($B$10:$B$59,RANDBETWEEN(1,$E$3)),"")</x:f>
      </x:c>
      <x:c r="AR243" s="68" t="str">
        <x:f>IF(COLUMN()-2&lt;=$E$3,INDEX($B$10:$B$59,RANDBETWEEN(1,$E$3)),"")</x:f>
      </x:c>
      <x:c r="AS243" s="68" t="str">
        <x:f>IF(COLUMN()-2&lt;=$E$3,INDEX($B$10:$B$59,RANDBETWEEN(1,$E$3)),"")</x:f>
      </x:c>
      <x:c r="AT243" s="68" t="str">
        <x:f>IF(COLUMN()-2&lt;=$E$3,INDEX($B$10:$B$59,RANDBETWEEN(1,$E$3)),"")</x:f>
      </x:c>
      <x:c r="AU243" s="68" t="str">
        <x:f>IF(COLUMN()-2&lt;=$E$3,INDEX($B$10:$B$59,RANDBETWEEN(1,$E$3)),"")</x:f>
      </x:c>
      <x:c r="AV243" s="68" t="str">
        <x:f>IF(COLUMN()-2&lt;=$E$3,INDEX($B$10:$B$59,RANDBETWEEN(1,$E$3)),"")</x:f>
      </x:c>
      <x:c r="AW243" s="68" t="str">
        <x:f>IF(COLUMN()-2&lt;=$E$3,INDEX($B$10:$B$59,RANDBETWEEN(1,$E$3)),"")</x:f>
      </x:c>
      <x:c r="AX243" s="68" t="str">
        <x:f>IF(COLUMN()-2&lt;=$E$3,INDEX($B$10:$B$59,RANDBETWEEN(1,$E$3)),"")</x:f>
      </x:c>
      <x:c r="AY243" s="68" t="str">
        <x:f>IF(COLUMN()-2&lt;=$E$3,INDEX($B$10:$B$59,RANDBETWEEN(1,$E$3)),"")</x:f>
      </x:c>
      <x:c r="AZ243" s="68" t="str">
        <x:f>IF(COLUMN()-2&lt;=$E$3,INDEX($B$10:$B$59,RANDBETWEEN(1,$E$3)),"")</x:f>
      </x:c>
      <x:c r="BA243" s="68" t="str">
        <x:f>IF($E$3=0,"",AVERAGE(C243:AZ243))</x:f>
      </x:c>
    </x:row>
    <x:row r="244">
      <x:c r="A244" t="n">
        <x:v>180</x:v>
      </x:c>
      <x:c r="C244" s="68" t="str">
        <x:f>IF(COLUMN()-2&lt;=$E$3,INDEX($B$10:$B$59,RANDBETWEEN(1,$E$3)),"")</x:f>
      </x:c>
      <x:c r="D244" s="68" t="str">
        <x:f>IF(COLUMN()-2&lt;=$E$3,INDEX($B$10:$B$59,RANDBETWEEN(1,$E$3)),"")</x:f>
      </x:c>
      <x:c r="E244" s="68" t="str">
        <x:f>IF(COLUMN()-2&lt;=$E$3,INDEX($B$10:$B$59,RANDBETWEEN(1,$E$3)),"")</x:f>
      </x:c>
      <x:c r="F244" s="68" t="str">
        <x:f>IF(COLUMN()-2&lt;=$E$3,INDEX($B$10:$B$59,RANDBETWEEN(1,$E$3)),"")</x:f>
      </x:c>
      <x:c r="G244" s="68" t="str">
        <x:f>IF(COLUMN()-2&lt;=$E$3,INDEX($B$10:$B$59,RANDBETWEEN(1,$E$3)),"")</x:f>
      </x:c>
      <x:c r="H244" s="68" t="str">
        <x:f>IF(COLUMN()-2&lt;=$E$3,INDEX($B$10:$B$59,RANDBETWEEN(1,$E$3)),"")</x:f>
      </x:c>
      <x:c r="I244" s="68" t="str">
        <x:f>IF(COLUMN()-2&lt;=$E$3,INDEX($B$10:$B$59,RANDBETWEEN(1,$E$3)),"")</x:f>
      </x:c>
      <x:c r="J244" s="68" t="str">
        <x:f>IF(COLUMN()-2&lt;=$E$3,INDEX($B$10:$B$59,RANDBETWEEN(1,$E$3)),"")</x:f>
      </x:c>
      <x:c r="K244" s="68" t="str">
        <x:f>IF(COLUMN()-2&lt;=$E$3,INDEX($B$10:$B$59,RANDBETWEEN(1,$E$3)),"")</x:f>
      </x:c>
      <x:c r="L244" s="68" t="str">
        <x:f>IF(COLUMN()-2&lt;=$E$3,INDEX($B$10:$B$59,RANDBETWEEN(1,$E$3)),"")</x:f>
      </x:c>
      <x:c r="M244" s="68" t="str">
        <x:f>IF(COLUMN()-2&lt;=$E$3,INDEX($B$10:$B$59,RANDBETWEEN(1,$E$3)),"")</x:f>
      </x:c>
      <x:c r="N244" s="68" t="str">
        <x:f>IF(COLUMN()-2&lt;=$E$3,INDEX($B$10:$B$59,RANDBETWEEN(1,$E$3)),"")</x:f>
      </x:c>
      <x:c r="O244" s="68" t="str">
        <x:f>IF(COLUMN()-2&lt;=$E$3,INDEX($B$10:$B$59,RANDBETWEEN(1,$E$3)),"")</x:f>
      </x:c>
      <x:c r="P244" s="68" t="str">
        <x:f>IF(COLUMN()-2&lt;=$E$3,INDEX($B$10:$B$59,RANDBETWEEN(1,$E$3)),"")</x:f>
      </x:c>
      <x:c r="Q244" s="68" t="str">
        <x:f>IF(COLUMN()-2&lt;=$E$3,INDEX($B$10:$B$59,RANDBETWEEN(1,$E$3)),"")</x:f>
      </x:c>
      <x:c r="R244" s="68" t="str">
        <x:f>IF(COLUMN()-2&lt;=$E$3,INDEX($B$10:$B$59,RANDBETWEEN(1,$E$3)),"")</x:f>
      </x:c>
      <x:c r="S244" s="68" t="str">
        <x:f>IF(COLUMN()-2&lt;=$E$3,INDEX($B$10:$B$59,RANDBETWEEN(1,$E$3)),"")</x:f>
      </x:c>
      <x:c r="T244" s="68" t="str">
        <x:f>IF(COLUMN()-2&lt;=$E$3,INDEX($B$10:$B$59,RANDBETWEEN(1,$E$3)),"")</x:f>
      </x:c>
      <x:c r="U244" s="68" t="str">
        <x:f>IF(COLUMN()-2&lt;=$E$3,INDEX($B$10:$B$59,RANDBETWEEN(1,$E$3)),"")</x:f>
      </x:c>
      <x:c r="V244" s="68" t="str">
        <x:f>IF(COLUMN()-2&lt;=$E$3,INDEX($B$10:$B$59,RANDBETWEEN(1,$E$3)),"")</x:f>
      </x:c>
      <x:c r="W244" s="68" t="str">
        <x:f>IF(COLUMN()-2&lt;=$E$3,INDEX($B$10:$B$59,RANDBETWEEN(1,$E$3)),"")</x:f>
      </x:c>
      <x:c r="X244" s="68" t="str">
        <x:f>IF(COLUMN()-2&lt;=$E$3,INDEX($B$10:$B$59,RANDBETWEEN(1,$E$3)),"")</x:f>
      </x:c>
      <x:c r="Y244" s="68" t="str">
        <x:f>IF(COLUMN()-2&lt;=$E$3,INDEX($B$10:$B$59,RANDBETWEEN(1,$E$3)),"")</x:f>
      </x:c>
      <x:c r="Z244" s="68" t="str">
        <x:f>IF(COLUMN()-2&lt;=$E$3,INDEX($B$10:$B$59,RANDBETWEEN(1,$E$3)),"")</x:f>
      </x:c>
      <x:c r="AA244" s="68" t="str">
        <x:f>IF(COLUMN()-2&lt;=$E$3,INDEX($B$10:$B$59,RANDBETWEEN(1,$E$3)),"")</x:f>
      </x:c>
      <x:c r="AB244" s="68" t="str">
        <x:f>IF(COLUMN()-2&lt;=$E$3,INDEX($B$10:$B$59,RANDBETWEEN(1,$E$3)),"")</x:f>
      </x:c>
      <x:c r="AC244" s="68" t="str">
        <x:f>IF(COLUMN()-2&lt;=$E$3,INDEX($B$10:$B$59,RANDBETWEEN(1,$E$3)),"")</x:f>
      </x:c>
      <x:c r="AD244" s="68" t="str">
        <x:f>IF(COLUMN()-2&lt;=$E$3,INDEX($B$10:$B$59,RANDBETWEEN(1,$E$3)),"")</x:f>
      </x:c>
      <x:c r="AE244" s="68" t="str">
        <x:f>IF(COLUMN()-2&lt;=$E$3,INDEX($B$10:$B$59,RANDBETWEEN(1,$E$3)),"")</x:f>
      </x:c>
      <x:c r="AF244" s="68" t="str">
        <x:f>IF(COLUMN()-2&lt;=$E$3,INDEX($B$10:$B$59,RANDBETWEEN(1,$E$3)),"")</x:f>
      </x:c>
      <x:c r="AG244" s="68" t="str">
        <x:f>IF(COLUMN()-2&lt;=$E$3,INDEX($B$10:$B$59,RANDBETWEEN(1,$E$3)),"")</x:f>
      </x:c>
      <x:c r="AH244" s="68" t="str">
        <x:f>IF(COLUMN()-2&lt;=$E$3,INDEX($B$10:$B$59,RANDBETWEEN(1,$E$3)),"")</x:f>
      </x:c>
      <x:c r="AI244" s="68" t="str">
        <x:f>IF(COLUMN()-2&lt;=$E$3,INDEX($B$10:$B$59,RANDBETWEEN(1,$E$3)),"")</x:f>
      </x:c>
      <x:c r="AJ244" s="68" t="str">
        <x:f>IF(COLUMN()-2&lt;=$E$3,INDEX($B$10:$B$59,RANDBETWEEN(1,$E$3)),"")</x:f>
      </x:c>
      <x:c r="AK244" s="68" t="str">
        <x:f>IF(COLUMN()-2&lt;=$E$3,INDEX($B$10:$B$59,RANDBETWEEN(1,$E$3)),"")</x:f>
      </x:c>
      <x:c r="AL244" s="68" t="str">
        <x:f>IF(COLUMN()-2&lt;=$E$3,INDEX($B$10:$B$59,RANDBETWEEN(1,$E$3)),"")</x:f>
      </x:c>
      <x:c r="AM244" s="68" t="str">
        <x:f>IF(COLUMN()-2&lt;=$E$3,INDEX($B$10:$B$59,RANDBETWEEN(1,$E$3)),"")</x:f>
      </x:c>
      <x:c r="AN244" s="68" t="str">
        <x:f>IF(COLUMN()-2&lt;=$E$3,INDEX($B$10:$B$59,RANDBETWEEN(1,$E$3)),"")</x:f>
      </x:c>
      <x:c r="AO244" s="68" t="str">
        <x:f>IF(COLUMN()-2&lt;=$E$3,INDEX($B$10:$B$59,RANDBETWEEN(1,$E$3)),"")</x:f>
      </x:c>
      <x:c r="AP244" s="68" t="str">
        <x:f>IF(COLUMN()-2&lt;=$E$3,INDEX($B$10:$B$59,RANDBETWEEN(1,$E$3)),"")</x:f>
      </x:c>
      <x:c r="AQ244" s="68" t="str">
        <x:f>IF(COLUMN()-2&lt;=$E$3,INDEX($B$10:$B$59,RANDBETWEEN(1,$E$3)),"")</x:f>
      </x:c>
      <x:c r="AR244" s="68" t="str">
        <x:f>IF(COLUMN()-2&lt;=$E$3,INDEX($B$10:$B$59,RANDBETWEEN(1,$E$3)),"")</x:f>
      </x:c>
      <x:c r="AS244" s="68" t="str">
        <x:f>IF(COLUMN()-2&lt;=$E$3,INDEX($B$10:$B$59,RANDBETWEEN(1,$E$3)),"")</x:f>
      </x:c>
      <x:c r="AT244" s="68" t="str">
        <x:f>IF(COLUMN()-2&lt;=$E$3,INDEX($B$10:$B$59,RANDBETWEEN(1,$E$3)),"")</x:f>
      </x:c>
      <x:c r="AU244" s="68" t="str">
        <x:f>IF(COLUMN()-2&lt;=$E$3,INDEX($B$10:$B$59,RANDBETWEEN(1,$E$3)),"")</x:f>
      </x:c>
      <x:c r="AV244" s="68" t="str">
        <x:f>IF(COLUMN()-2&lt;=$E$3,INDEX($B$10:$B$59,RANDBETWEEN(1,$E$3)),"")</x:f>
      </x:c>
      <x:c r="AW244" s="68" t="str">
        <x:f>IF(COLUMN()-2&lt;=$E$3,INDEX($B$10:$B$59,RANDBETWEEN(1,$E$3)),"")</x:f>
      </x:c>
      <x:c r="AX244" s="68" t="str">
        <x:f>IF(COLUMN()-2&lt;=$E$3,INDEX($B$10:$B$59,RANDBETWEEN(1,$E$3)),"")</x:f>
      </x:c>
      <x:c r="AY244" s="68" t="str">
        <x:f>IF(COLUMN()-2&lt;=$E$3,INDEX($B$10:$B$59,RANDBETWEEN(1,$E$3)),"")</x:f>
      </x:c>
      <x:c r="AZ244" s="68" t="str">
        <x:f>IF(COLUMN()-2&lt;=$E$3,INDEX($B$10:$B$59,RANDBETWEEN(1,$E$3)),"")</x:f>
      </x:c>
      <x:c r="BA244" s="68" t="str">
        <x:f>IF($E$3=0,"",AVERAGE(C244:AZ244))</x:f>
      </x:c>
    </x:row>
    <x:row r="245">
      <x:c r="A245" t="n">
        <x:v>181</x:v>
      </x:c>
      <x:c r="C245" s="68" t="str">
        <x:f>IF(COLUMN()-2&lt;=$E$3,INDEX($B$10:$B$59,RANDBETWEEN(1,$E$3)),"")</x:f>
      </x:c>
      <x:c r="D245" s="68" t="str">
        <x:f>IF(COLUMN()-2&lt;=$E$3,INDEX($B$10:$B$59,RANDBETWEEN(1,$E$3)),"")</x:f>
      </x:c>
      <x:c r="E245" s="68" t="str">
        <x:f>IF(COLUMN()-2&lt;=$E$3,INDEX($B$10:$B$59,RANDBETWEEN(1,$E$3)),"")</x:f>
      </x:c>
      <x:c r="F245" s="68" t="str">
        <x:f>IF(COLUMN()-2&lt;=$E$3,INDEX($B$10:$B$59,RANDBETWEEN(1,$E$3)),"")</x:f>
      </x:c>
      <x:c r="G245" s="68" t="str">
        <x:f>IF(COLUMN()-2&lt;=$E$3,INDEX($B$10:$B$59,RANDBETWEEN(1,$E$3)),"")</x:f>
      </x:c>
      <x:c r="H245" s="68" t="str">
        <x:f>IF(COLUMN()-2&lt;=$E$3,INDEX($B$10:$B$59,RANDBETWEEN(1,$E$3)),"")</x:f>
      </x:c>
      <x:c r="I245" s="68" t="str">
        <x:f>IF(COLUMN()-2&lt;=$E$3,INDEX($B$10:$B$59,RANDBETWEEN(1,$E$3)),"")</x:f>
      </x:c>
      <x:c r="J245" s="68" t="str">
        <x:f>IF(COLUMN()-2&lt;=$E$3,INDEX($B$10:$B$59,RANDBETWEEN(1,$E$3)),"")</x:f>
      </x:c>
      <x:c r="K245" s="68" t="str">
        <x:f>IF(COLUMN()-2&lt;=$E$3,INDEX($B$10:$B$59,RANDBETWEEN(1,$E$3)),"")</x:f>
      </x:c>
      <x:c r="L245" s="68" t="str">
        <x:f>IF(COLUMN()-2&lt;=$E$3,INDEX($B$10:$B$59,RANDBETWEEN(1,$E$3)),"")</x:f>
      </x:c>
      <x:c r="M245" s="68" t="str">
        <x:f>IF(COLUMN()-2&lt;=$E$3,INDEX($B$10:$B$59,RANDBETWEEN(1,$E$3)),"")</x:f>
      </x:c>
      <x:c r="N245" s="68" t="str">
        <x:f>IF(COLUMN()-2&lt;=$E$3,INDEX($B$10:$B$59,RANDBETWEEN(1,$E$3)),"")</x:f>
      </x:c>
      <x:c r="O245" s="68" t="str">
        <x:f>IF(COLUMN()-2&lt;=$E$3,INDEX($B$10:$B$59,RANDBETWEEN(1,$E$3)),"")</x:f>
      </x:c>
      <x:c r="P245" s="68" t="str">
        <x:f>IF(COLUMN()-2&lt;=$E$3,INDEX($B$10:$B$59,RANDBETWEEN(1,$E$3)),"")</x:f>
      </x:c>
      <x:c r="Q245" s="68" t="str">
        <x:f>IF(COLUMN()-2&lt;=$E$3,INDEX($B$10:$B$59,RANDBETWEEN(1,$E$3)),"")</x:f>
      </x:c>
      <x:c r="R245" s="68" t="str">
        <x:f>IF(COLUMN()-2&lt;=$E$3,INDEX($B$10:$B$59,RANDBETWEEN(1,$E$3)),"")</x:f>
      </x:c>
      <x:c r="S245" s="68" t="str">
        <x:f>IF(COLUMN()-2&lt;=$E$3,INDEX($B$10:$B$59,RANDBETWEEN(1,$E$3)),"")</x:f>
      </x:c>
      <x:c r="T245" s="68" t="str">
        <x:f>IF(COLUMN()-2&lt;=$E$3,INDEX($B$10:$B$59,RANDBETWEEN(1,$E$3)),"")</x:f>
      </x:c>
      <x:c r="U245" s="68" t="str">
        <x:f>IF(COLUMN()-2&lt;=$E$3,INDEX($B$10:$B$59,RANDBETWEEN(1,$E$3)),"")</x:f>
      </x:c>
      <x:c r="V245" s="68" t="str">
        <x:f>IF(COLUMN()-2&lt;=$E$3,INDEX($B$10:$B$59,RANDBETWEEN(1,$E$3)),"")</x:f>
      </x:c>
      <x:c r="W245" s="68" t="str">
        <x:f>IF(COLUMN()-2&lt;=$E$3,INDEX($B$10:$B$59,RANDBETWEEN(1,$E$3)),"")</x:f>
      </x:c>
      <x:c r="X245" s="68" t="str">
        <x:f>IF(COLUMN()-2&lt;=$E$3,INDEX($B$10:$B$59,RANDBETWEEN(1,$E$3)),"")</x:f>
      </x:c>
      <x:c r="Y245" s="68" t="str">
        <x:f>IF(COLUMN()-2&lt;=$E$3,INDEX($B$10:$B$59,RANDBETWEEN(1,$E$3)),"")</x:f>
      </x:c>
      <x:c r="Z245" s="68" t="str">
        <x:f>IF(COLUMN()-2&lt;=$E$3,INDEX($B$10:$B$59,RANDBETWEEN(1,$E$3)),"")</x:f>
      </x:c>
      <x:c r="AA245" s="68" t="str">
        <x:f>IF(COLUMN()-2&lt;=$E$3,INDEX($B$10:$B$59,RANDBETWEEN(1,$E$3)),"")</x:f>
      </x:c>
      <x:c r="AB245" s="68" t="str">
        <x:f>IF(COLUMN()-2&lt;=$E$3,INDEX($B$10:$B$59,RANDBETWEEN(1,$E$3)),"")</x:f>
      </x:c>
      <x:c r="AC245" s="68" t="str">
        <x:f>IF(COLUMN()-2&lt;=$E$3,INDEX($B$10:$B$59,RANDBETWEEN(1,$E$3)),"")</x:f>
      </x:c>
      <x:c r="AD245" s="68" t="str">
        <x:f>IF(COLUMN()-2&lt;=$E$3,INDEX($B$10:$B$59,RANDBETWEEN(1,$E$3)),"")</x:f>
      </x:c>
      <x:c r="AE245" s="68" t="str">
        <x:f>IF(COLUMN()-2&lt;=$E$3,INDEX($B$10:$B$59,RANDBETWEEN(1,$E$3)),"")</x:f>
      </x:c>
      <x:c r="AF245" s="68" t="str">
        <x:f>IF(COLUMN()-2&lt;=$E$3,INDEX($B$10:$B$59,RANDBETWEEN(1,$E$3)),"")</x:f>
      </x:c>
      <x:c r="AG245" s="68" t="str">
        <x:f>IF(COLUMN()-2&lt;=$E$3,INDEX($B$10:$B$59,RANDBETWEEN(1,$E$3)),"")</x:f>
      </x:c>
      <x:c r="AH245" s="68" t="str">
        <x:f>IF(COLUMN()-2&lt;=$E$3,INDEX($B$10:$B$59,RANDBETWEEN(1,$E$3)),"")</x:f>
      </x:c>
      <x:c r="AI245" s="68" t="str">
        <x:f>IF(COLUMN()-2&lt;=$E$3,INDEX($B$10:$B$59,RANDBETWEEN(1,$E$3)),"")</x:f>
      </x:c>
      <x:c r="AJ245" s="68" t="str">
        <x:f>IF(COLUMN()-2&lt;=$E$3,INDEX($B$10:$B$59,RANDBETWEEN(1,$E$3)),"")</x:f>
      </x:c>
      <x:c r="AK245" s="68" t="str">
        <x:f>IF(COLUMN()-2&lt;=$E$3,INDEX($B$10:$B$59,RANDBETWEEN(1,$E$3)),"")</x:f>
      </x:c>
      <x:c r="AL245" s="68" t="str">
        <x:f>IF(COLUMN()-2&lt;=$E$3,INDEX($B$10:$B$59,RANDBETWEEN(1,$E$3)),"")</x:f>
      </x:c>
      <x:c r="AM245" s="68" t="str">
        <x:f>IF(COLUMN()-2&lt;=$E$3,INDEX($B$10:$B$59,RANDBETWEEN(1,$E$3)),"")</x:f>
      </x:c>
      <x:c r="AN245" s="68" t="str">
        <x:f>IF(COLUMN()-2&lt;=$E$3,INDEX($B$10:$B$59,RANDBETWEEN(1,$E$3)),"")</x:f>
      </x:c>
      <x:c r="AO245" s="68" t="str">
        <x:f>IF(COLUMN()-2&lt;=$E$3,INDEX($B$10:$B$59,RANDBETWEEN(1,$E$3)),"")</x:f>
      </x:c>
      <x:c r="AP245" s="68" t="str">
        <x:f>IF(COLUMN()-2&lt;=$E$3,INDEX($B$10:$B$59,RANDBETWEEN(1,$E$3)),"")</x:f>
      </x:c>
      <x:c r="AQ245" s="68" t="str">
        <x:f>IF(COLUMN()-2&lt;=$E$3,INDEX($B$10:$B$59,RANDBETWEEN(1,$E$3)),"")</x:f>
      </x:c>
      <x:c r="AR245" s="68" t="str">
        <x:f>IF(COLUMN()-2&lt;=$E$3,INDEX($B$10:$B$59,RANDBETWEEN(1,$E$3)),"")</x:f>
      </x:c>
      <x:c r="AS245" s="68" t="str">
        <x:f>IF(COLUMN()-2&lt;=$E$3,INDEX($B$10:$B$59,RANDBETWEEN(1,$E$3)),"")</x:f>
      </x:c>
      <x:c r="AT245" s="68" t="str">
        <x:f>IF(COLUMN()-2&lt;=$E$3,INDEX($B$10:$B$59,RANDBETWEEN(1,$E$3)),"")</x:f>
      </x:c>
      <x:c r="AU245" s="68" t="str">
        <x:f>IF(COLUMN()-2&lt;=$E$3,INDEX($B$10:$B$59,RANDBETWEEN(1,$E$3)),"")</x:f>
      </x:c>
      <x:c r="AV245" s="68" t="str">
        <x:f>IF(COLUMN()-2&lt;=$E$3,INDEX($B$10:$B$59,RANDBETWEEN(1,$E$3)),"")</x:f>
      </x:c>
      <x:c r="AW245" s="68" t="str">
        <x:f>IF(COLUMN()-2&lt;=$E$3,INDEX($B$10:$B$59,RANDBETWEEN(1,$E$3)),"")</x:f>
      </x:c>
      <x:c r="AX245" s="68" t="str">
        <x:f>IF(COLUMN()-2&lt;=$E$3,INDEX($B$10:$B$59,RANDBETWEEN(1,$E$3)),"")</x:f>
      </x:c>
      <x:c r="AY245" s="68" t="str">
        <x:f>IF(COLUMN()-2&lt;=$E$3,INDEX($B$10:$B$59,RANDBETWEEN(1,$E$3)),"")</x:f>
      </x:c>
      <x:c r="AZ245" s="68" t="str">
        <x:f>IF(COLUMN()-2&lt;=$E$3,INDEX($B$10:$B$59,RANDBETWEEN(1,$E$3)),"")</x:f>
      </x:c>
      <x:c r="BA245" s="68" t="str">
        <x:f>IF($E$3=0,"",AVERAGE(C245:AZ245))</x:f>
      </x:c>
    </x:row>
    <x:row r="246">
      <x:c r="A246" t="n">
        <x:v>182</x:v>
      </x:c>
      <x:c r="C246" s="68" t="str">
        <x:f>IF(COLUMN()-2&lt;=$E$3,INDEX($B$10:$B$59,RANDBETWEEN(1,$E$3)),"")</x:f>
      </x:c>
      <x:c r="D246" s="68" t="str">
        <x:f>IF(COLUMN()-2&lt;=$E$3,INDEX($B$10:$B$59,RANDBETWEEN(1,$E$3)),"")</x:f>
      </x:c>
      <x:c r="E246" s="68" t="str">
        <x:f>IF(COLUMN()-2&lt;=$E$3,INDEX($B$10:$B$59,RANDBETWEEN(1,$E$3)),"")</x:f>
      </x:c>
      <x:c r="F246" s="68" t="str">
        <x:f>IF(COLUMN()-2&lt;=$E$3,INDEX($B$10:$B$59,RANDBETWEEN(1,$E$3)),"")</x:f>
      </x:c>
      <x:c r="G246" s="68" t="str">
        <x:f>IF(COLUMN()-2&lt;=$E$3,INDEX($B$10:$B$59,RANDBETWEEN(1,$E$3)),"")</x:f>
      </x:c>
      <x:c r="H246" s="68" t="str">
        <x:f>IF(COLUMN()-2&lt;=$E$3,INDEX($B$10:$B$59,RANDBETWEEN(1,$E$3)),"")</x:f>
      </x:c>
      <x:c r="I246" s="68" t="str">
        <x:f>IF(COLUMN()-2&lt;=$E$3,INDEX($B$10:$B$59,RANDBETWEEN(1,$E$3)),"")</x:f>
      </x:c>
      <x:c r="J246" s="68" t="str">
        <x:f>IF(COLUMN()-2&lt;=$E$3,INDEX($B$10:$B$59,RANDBETWEEN(1,$E$3)),"")</x:f>
      </x:c>
      <x:c r="K246" s="68" t="str">
        <x:f>IF(COLUMN()-2&lt;=$E$3,INDEX($B$10:$B$59,RANDBETWEEN(1,$E$3)),"")</x:f>
      </x:c>
      <x:c r="L246" s="68" t="str">
        <x:f>IF(COLUMN()-2&lt;=$E$3,INDEX($B$10:$B$59,RANDBETWEEN(1,$E$3)),"")</x:f>
      </x:c>
      <x:c r="M246" s="68" t="str">
        <x:f>IF(COLUMN()-2&lt;=$E$3,INDEX($B$10:$B$59,RANDBETWEEN(1,$E$3)),"")</x:f>
      </x:c>
      <x:c r="N246" s="68" t="str">
        <x:f>IF(COLUMN()-2&lt;=$E$3,INDEX($B$10:$B$59,RANDBETWEEN(1,$E$3)),"")</x:f>
      </x:c>
      <x:c r="O246" s="68" t="str">
        <x:f>IF(COLUMN()-2&lt;=$E$3,INDEX($B$10:$B$59,RANDBETWEEN(1,$E$3)),"")</x:f>
      </x:c>
      <x:c r="P246" s="68" t="str">
        <x:f>IF(COLUMN()-2&lt;=$E$3,INDEX($B$10:$B$59,RANDBETWEEN(1,$E$3)),"")</x:f>
      </x:c>
      <x:c r="Q246" s="68" t="str">
        <x:f>IF(COLUMN()-2&lt;=$E$3,INDEX($B$10:$B$59,RANDBETWEEN(1,$E$3)),"")</x:f>
      </x:c>
      <x:c r="R246" s="68" t="str">
        <x:f>IF(COLUMN()-2&lt;=$E$3,INDEX($B$10:$B$59,RANDBETWEEN(1,$E$3)),"")</x:f>
      </x:c>
      <x:c r="S246" s="68" t="str">
        <x:f>IF(COLUMN()-2&lt;=$E$3,INDEX($B$10:$B$59,RANDBETWEEN(1,$E$3)),"")</x:f>
      </x:c>
      <x:c r="T246" s="68" t="str">
        <x:f>IF(COLUMN()-2&lt;=$E$3,INDEX($B$10:$B$59,RANDBETWEEN(1,$E$3)),"")</x:f>
      </x:c>
      <x:c r="U246" s="68" t="str">
        <x:f>IF(COLUMN()-2&lt;=$E$3,INDEX($B$10:$B$59,RANDBETWEEN(1,$E$3)),"")</x:f>
      </x:c>
      <x:c r="V246" s="68" t="str">
        <x:f>IF(COLUMN()-2&lt;=$E$3,INDEX($B$10:$B$59,RANDBETWEEN(1,$E$3)),"")</x:f>
      </x:c>
      <x:c r="W246" s="68" t="str">
        <x:f>IF(COLUMN()-2&lt;=$E$3,INDEX($B$10:$B$59,RANDBETWEEN(1,$E$3)),"")</x:f>
      </x:c>
      <x:c r="X246" s="68" t="str">
        <x:f>IF(COLUMN()-2&lt;=$E$3,INDEX($B$10:$B$59,RANDBETWEEN(1,$E$3)),"")</x:f>
      </x:c>
      <x:c r="Y246" s="68" t="str">
        <x:f>IF(COLUMN()-2&lt;=$E$3,INDEX($B$10:$B$59,RANDBETWEEN(1,$E$3)),"")</x:f>
      </x:c>
      <x:c r="Z246" s="68" t="str">
        <x:f>IF(COLUMN()-2&lt;=$E$3,INDEX($B$10:$B$59,RANDBETWEEN(1,$E$3)),"")</x:f>
      </x:c>
      <x:c r="AA246" s="68" t="str">
        <x:f>IF(COLUMN()-2&lt;=$E$3,INDEX($B$10:$B$59,RANDBETWEEN(1,$E$3)),"")</x:f>
      </x:c>
      <x:c r="AB246" s="68" t="str">
        <x:f>IF(COLUMN()-2&lt;=$E$3,INDEX($B$10:$B$59,RANDBETWEEN(1,$E$3)),"")</x:f>
      </x:c>
      <x:c r="AC246" s="68" t="str">
        <x:f>IF(COLUMN()-2&lt;=$E$3,INDEX($B$10:$B$59,RANDBETWEEN(1,$E$3)),"")</x:f>
      </x:c>
      <x:c r="AD246" s="68" t="str">
        <x:f>IF(COLUMN()-2&lt;=$E$3,INDEX($B$10:$B$59,RANDBETWEEN(1,$E$3)),"")</x:f>
      </x:c>
      <x:c r="AE246" s="68" t="str">
        <x:f>IF(COLUMN()-2&lt;=$E$3,INDEX($B$10:$B$59,RANDBETWEEN(1,$E$3)),"")</x:f>
      </x:c>
      <x:c r="AF246" s="68" t="str">
        <x:f>IF(COLUMN()-2&lt;=$E$3,INDEX($B$10:$B$59,RANDBETWEEN(1,$E$3)),"")</x:f>
      </x:c>
      <x:c r="AG246" s="68" t="str">
        <x:f>IF(COLUMN()-2&lt;=$E$3,INDEX($B$10:$B$59,RANDBETWEEN(1,$E$3)),"")</x:f>
      </x:c>
      <x:c r="AH246" s="68" t="str">
        <x:f>IF(COLUMN()-2&lt;=$E$3,INDEX($B$10:$B$59,RANDBETWEEN(1,$E$3)),"")</x:f>
      </x:c>
      <x:c r="AI246" s="68" t="str">
        <x:f>IF(COLUMN()-2&lt;=$E$3,INDEX($B$10:$B$59,RANDBETWEEN(1,$E$3)),"")</x:f>
      </x:c>
      <x:c r="AJ246" s="68" t="str">
        <x:f>IF(COLUMN()-2&lt;=$E$3,INDEX($B$10:$B$59,RANDBETWEEN(1,$E$3)),"")</x:f>
      </x:c>
      <x:c r="AK246" s="68" t="str">
        <x:f>IF(COLUMN()-2&lt;=$E$3,INDEX($B$10:$B$59,RANDBETWEEN(1,$E$3)),"")</x:f>
      </x:c>
      <x:c r="AL246" s="68" t="str">
        <x:f>IF(COLUMN()-2&lt;=$E$3,INDEX($B$10:$B$59,RANDBETWEEN(1,$E$3)),"")</x:f>
      </x:c>
      <x:c r="AM246" s="68" t="str">
        <x:f>IF(COLUMN()-2&lt;=$E$3,INDEX($B$10:$B$59,RANDBETWEEN(1,$E$3)),"")</x:f>
      </x:c>
      <x:c r="AN246" s="68" t="str">
        <x:f>IF(COLUMN()-2&lt;=$E$3,INDEX($B$10:$B$59,RANDBETWEEN(1,$E$3)),"")</x:f>
      </x:c>
      <x:c r="AO246" s="68" t="str">
        <x:f>IF(COLUMN()-2&lt;=$E$3,INDEX($B$10:$B$59,RANDBETWEEN(1,$E$3)),"")</x:f>
      </x:c>
      <x:c r="AP246" s="68" t="str">
        <x:f>IF(COLUMN()-2&lt;=$E$3,INDEX($B$10:$B$59,RANDBETWEEN(1,$E$3)),"")</x:f>
      </x:c>
      <x:c r="AQ246" s="68" t="str">
        <x:f>IF(COLUMN()-2&lt;=$E$3,INDEX($B$10:$B$59,RANDBETWEEN(1,$E$3)),"")</x:f>
      </x:c>
      <x:c r="AR246" s="68" t="str">
        <x:f>IF(COLUMN()-2&lt;=$E$3,INDEX($B$10:$B$59,RANDBETWEEN(1,$E$3)),"")</x:f>
      </x:c>
      <x:c r="AS246" s="68" t="str">
        <x:f>IF(COLUMN()-2&lt;=$E$3,INDEX($B$10:$B$59,RANDBETWEEN(1,$E$3)),"")</x:f>
      </x:c>
      <x:c r="AT246" s="68" t="str">
        <x:f>IF(COLUMN()-2&lt;=$E$3,INDEX($B$10:$B$59,RANDBETWEEN(1,$E$3)),"")</x:f>
      </x:c>
      <x:c r="AU246" s="68" t="str">
        <x:f>IF(COLUMN()-2&lt;=$E$3,INDEX($B$10:$B$59,RANDBETWEEN(1,$E$3)),"")</x:f>
      </x:c>
      <x:c r="AV246" s="68" t="str">
        <x:f>IF(COLUMN()-2&lt;=$E$3,INDEX($B$10:$B$59,RANDBETWEEN(1,$E$3)),"")</x:f>
      </x:c>
      <x:c r="AW246" s="68" t="str">
        <x:f>IF(COLUMN()-2&lt;=$E$3,INDEX($B$10:$B$59,RANDBETWEEN(1,$E$3)),"")</x:f>
      </x:c>
      <x:c r="AX246" s="68" t="str">
        <x:f>IF(COLUMN()-2&lt;=$E$3,INDEX($B$10:$B$59,RANDBETWEEN(1,$E$3)),"")</x:f>
      </x:c>
      <x:c r="AY246" s="68" t="str">
        <x:f>IF(COLUMN()-2&lt;=$E$3,INDEX($B$10:$B$59,RANDBETWEEN(1,$E$3)),"")</x:f>
      </x:c>
      <x:c r="AZ246" s="68" t="str">
        <x:f>IF(COLUMN()-2&lt;=$E$3,INDEX($B$10:$B$59,RANDBETWEEN(1,$E$3)),"")</x:f>
      </x:c>
      <x:c r="BA246" s="68" t="str">
        <x:f>IF($E$3=0,"",AVERAGE(C246:AZ246))</x:f>
      </x:c>
    </x:row>
    <x:row r="247">
      <x:c r="A247" t="n">
        <x:v>183</x:v>
      </x:c>
      <x:c r="C247" s="68" t="str">
        <x:f>IF(COLUMN()-2&lt;=$E$3,INDEX($B$10:$B$59,RANDBETWEEN(1,$E$3)),"")</x:f>
      </x:c>
      <x:c r="D247" s="68" t="str">
        <x:f>IF(COLUMN()-2&lt;=$E$3,INDEX($B$10:$B$59,RANDBETWEEN(1,$E$3)),"")</x:f>
      </x:c>
      <x:c r="E247" s="68" t="str">
        <x:f>IF(COLUMN()-2&lt;=$E$3,INDEX($B$10:$B$59,RANDBETWEEN(1,$E$3)),"")</x:f>
      </x:c>
      <x:c r="F247" s="68" t="str">
        <x:f>IF(COLUMN()-2&lt;=$E$3,INDEX($B$10:$B$59,RANDBETWEEN(1,$E$3)),"")</x:f>
      </x:c>
      <x:c r="G247" s="68" t="str">
        <x:f>IF(COLUMN()-2&lt;=$E$3,INDEX($B$10:$B$59,RANDBETWEEN(1,$E$3)),"")</x:f>
      </x:c>
      <x:c r="H247" s="68" t="str">
        <x:f>IF(COLUMN()-2&lt;=$E$3,INDEX($B$10:$B$59,RANDBETWEEN(1,$E$3)),"")</x:f>
      </x:c>
      <x:c r="I247" s="68" t="str">
        <x:f>IF(COLUMN()-2&lt;=$E$3,INDEX($B$10:$B$59,RANDBETWEEN(1,$E$3)),"")</x:f>
      </x:c>
      <x:c r="J247" s="68" t="str">
        <x:f>IF(COLUMN()-2&lt;=$E$3,INDEX($B$10:$B$59,RANDBETWEEN(1,$E$3)),"")</x:f>
      </x:c>
      <x:c r="K247" s="68" t="str">
        <x:f>IF(COLUMN()-2&lt;=$E$3,INDEX($B$10:$B$59,RANDBETWEEN(1,$E$3)),"")</x:f>
      </x:c>
      <x:c r="L247" s="68" t="str">
        <x:f>IF(COLUMN()-2&lt;=$E$3,INDEX($B$10:$B$59,RANDBETWEEN(1,$E$3)),"")</x:f>
      </x:c>
      <x:c r="M247" s="68" t="str">
        <x:f>IF(COLUMN()-2&lt;=$E$3,INDEX($B$10:$B$59,RANDBETWEEN(1,$E$3)),"")</x:f>
      </x:c>
      <x:c r="N247" s="68" t="str">
        <x:f>IF(COLUMN()-2&lt;=$E$3,INDEX($B$10:$B$59,RANDBETWEEN(1,$E$3)),"")</x:f>
      </x:c>
      <x:c r="O247" s="68" t="str">
        <x:f>IF(COLUMN()-2&lt;=$E$3,INDEX($B$10:$B$59,RANDBETWEEN(1,$E$3)),"")</x:f>
      </x:c>
      <x:c r="P247" s="68" t="str">
        <x:f>IF(COLUMN()-2&lt;=$E$3,INDEX($B$10:$B$59,RANDBETWEEN(1,$E$3)),"")</x:f>
      </x:c>
      <x:c r="Q247" s="68" t="str">
        <x:f>IF(COLUMN()-2&lt;=$E$3,INDEX($B$10:$B$59,RANDBETWEEN(1,$E$3)),"")</x:f>
      </x:c>
      <x:c r="R247" s="68" t="str">
        <x:f>IF(COLUMN()-2&lt;=$E$3,INDEX($B$10:$B$59,RANDBETWEEN(1,$E$3)),"")</x:f>
      </x:c>
      <x:c r="S247" s="68" t="str">
        <x:f>IF(COLUMN()-2&lt;=$E$3,INDEX($B$10:$B$59,RANDBETWEEN(1,$E$3)),"")</x:f>
      </x:c>
      <x:c r="T247" s="68" t="str">
        <x:f>IF(COLUMN()-2&lt;=$E$3,INDEX($B$10:$B$59,RANDBETWEEN(1,$E$3)),"")</x:f>
      </x:c>
      <x:c r="U247" s="68" t="str">
        <x:f>IF(COLUMN()-2&lt;=$E$3,INDEX($B$10:$B$59,RANDBETWEEN(1,$E$3)),"")</x:f>
      </x:c>
      <x:c r="V247" s="68" t="str">
        <x:f>IF(COLUMN()-2&lt;=$E$3,INDEX($B$10:$B$59,RANDBETWEEN(1,$E$3)),"")</x:f>
      </x:c>
      <x:c r="W247" s="68" t="str">
        <x:f>IF(COLUMN()-2&lt;=$E$3,INDEX($B$10:$B$59,RANDBETWEEN(1,$E$3)),"")</x:f>
      </x:c>
      <x:c r="X247" s="68" t="str">
        <x:f>IF(COLUMN()-2&lt;=$E$3,INDEX($B$10:$B$59,RANDBETWEEN(1,$E$3)),"")</x:f>
      </x:c>
      <x:c r="Y247" s="68" t="str">
        <x:f>IF(COLUMN()-2&lt;=$E$3,INDEX($B$10:$B$59,RANDBETWEEN(1,$E$3)),"")</x:f>
      </x:c>
      <x:c r="Z247" s="68" t="str">
        <x:f>IF(COLUMN()-2&lt;=$E$3,INDEX($B$10:$B$59,RANDBETWEEN(1,$E$3)),"")</x:f>
      </x:c>
      <x:c r="AA247" s="68" t="str">
        <x:f>IF(COLUMN()-2&lt;=$E$3,INDEX($B$10:$B$59,RANDBETWEEN(1,$E$3)),"")</x:f>
      </x:c>
      <x:c r="AB247" s="68" t="str">
        <x:f>IF(COLUMN()-2&lt;=$E$3,INDEX($B$10:$B$59,RANDBETWEEN(1,$E$3)),"")</x:f>
      </x:c>
      <x:c r="AC247" s="68" t="str">
        <x:f>IF(COLUMN()-2&lt;=$E$3,INDEX($B$10:$B$59,RANDBETWEEN(1,$E$3)),"")</x:f>
      </x:c>
      <x:c r="AD247" s="68" t="str">
        <x:f>IF(COLUMN()-2&lt;=$E$3,INDEX($B$10:$B$59,RANDBETWEEN(1,$E$3)),"")</x:f>
      </x:c>
      <x:c r="AE247" s="68" t="str">
        <x:f>IF(COLUMN()-2&lt;=$E$3,INDEX($B$10:$B$59,RANDBETWEEN(1,$E$3)),"")</x:f>
      </x:c>
      <x:c r="AF247" s="68" t="str">
        <x:f>IF(COLUMN()-2&lt;=$E$3,INDEX($B$10:$B$59,RANDBETWEEN(1,$E$3)),"")</x:f>
      </x:c>
      <x:c r="AG247" s="68" t="str">
        <x:f>IF(COLUMN()-2&lt;=$E$3,INDEX($B$10:$B$59,RANDBETWEEN(1,$E$3)),"")</x:f>
      </x:c>
      <x:c r="AH247" s="68" t="str">
        <x:f>IF(COLUMN()-2&lt;=$E$3,INDEX($B$10:$B$59,RANDBETWEEN(1,$E$3)),"")</x:f>
      </x:c>
      <x:c r="AI247" s="68" t="str">
        <x:f>IF(COLUMN()-2&lt;=$E$3,INDEX($B$10:$B$59,RANDBETWEEN(1,$E$3)),"")</x:f>
      </x:c>
      <x:c r="AJ247" s="68" t="str">
        <x:f>IF(COLUMN()-2&lt;=$E$3,INDEX($B$10:$B$59,RANDBETWEEN(1,$E$3)),"")</x:f>
      </x:c>
      <x:c r="AK247" s="68" t="str">
        <x:f>IF(COLUMN()-2&lt;=$E$3,INDEX($B$10:$B$59,RANDBETWEEN(1,$E$3)),"")</x:f>
      </x:c>
      <x:c r="AL247" s="68" t="str">
        <x:f>IF(COLUMN()-2&lt;=$E$3,INDEX($B$10:$B$59,RANDBETWEEN(1,$E$3)),"")</x:f>
      </x:c>
      <x:c r="AM247" s="68" t="str">
        <x:f>IF(COLUMN()-2&lt;=$E$3,INDEX($B$10:$B$59,RANDBETWEEN(1,$E$3)),"")</x:f>
      </x:c>
      <x:c r="AN247" s="68" t="str">
        <x:f>IF(COLUMN()-2&lt;=$E$3,INDEX($B$10:$B$59,RANDBETWEEN(1,$E$3)),"")</x:f>
      </x:c>
      <x:c r="AO247" s="68" t="str">
        <x:f>IF(COLUMN()-2&lt;=$E$3,INDEX($B$10:$B$59,RANDBETWEEN(1,$E$3)),"")</x:f>
      </x:c>
      <x:c r="AP247" s="68" t="str">
        <x:f>IF(COLUMN()-2&lt;=$E$3,INDEX($B$10:$B$59,RANDBETWEEN(1,$E$3)),"")</x:f>
      </x:c>
      <x:c r="AQ247" s="68" t="str">
        <x:f>IF(COLUMN()-2&lt;=$E$3,INDEX($B$10:$B$59,RANDBETWEEN(1,$E$3)),"")</x:f>
      </x:c>
      <x:c r="AR247" s="68" t="str">
        <x:f>IF(COLUMN()-2&lt;=$E$3,INDEX($B$10:$B$59,RANDBETWEEN(1,$E$3)),"")</x:f>
      </x:c>
      <x:c r="AS247" s="68" t="str">
        <x:f>IF(COLUMN()-2&lt;=$E$3,INDEX($B$10:$B$59,RANDBETWEEN(1,$E$3)),"")</x:f>
      </x:c>
      <x:c r="AT247" s="68" t="str">
        <x:f>IF(COLUMN()-2&lt;=$E$3,INDEX($B$10:$B$59,RANDBETWEEN(1,$E$3)),"")</x:f>
      </x:c>
      <x:c r="AU247" s="68" t="str">
        <x:f>IF(COLUMN()-2&lt;=$E$3,INDEX($B$10:$B$59,RANDBETWEEN(1,$E$3)),"")</x:f>
      </x:c>
      <x:c r="AV247" s="68" t="str">
        <x:f>IF(COLUMN()-2&lt;=$E$3,INDEX($B$10:$B$59,RANDBETWEEN(1,$E$3)),"")</x:f>
      </x:c>
      <x:c r="AW247" s="68" t="str">
        <x:f>IF(COLUMN()-2&lt;=$E$3,INDEX($B$10:$B$59,RANDBETWEEN(1,$E$3)),"")</x:f>
      </x:c>
      <x:c r="AX247" s="68" t="str">
        <x:f>IF(COLUMN()-2&lt;=$E$3,INDEX($B$10:$B$59,RANDBETWEEN(1,$E$3)),"")</x:f>
      </x:c>
      <x:c r="AY247" s="68" t="str">
        <x:f>IF(COLUMN()-2&lt;=$E$3,INDEX($B$10:$B$59,RANDBETWEEN(1,$E$3)),"")</x:f>
      </x:c>
      <x:c r="AZ247" s="68" t="str">
        <x:f>IF(COLUMN()-2&lt;=$E$3,INDEX($B$10:$B$59,RANDBETWEEN(1,$E$3)),"")</x:f>
      </x:c>
      <x:c r="BA247" s="68" t="str">
        <x:f>IF($E$3=0,"",AVERAGE(C247:AZ247))</x:f>
      </x:c>
    </x:row>
    <x:row r="248">
      <x:c r="A248" t="n">
        <x:v>184</x:v>
      </x:c>
      <x:c r="C248" s="68" t="str">
        <x:f>IF(COLUMN()-2&lt;=$E$3,INDEX($B$10:$B$59,RANDBETWEEN(1,$E$3)),"")</x:f>
      </x:c>
      <x:c r="D248" s="68" t="str">
        <x:f>IF(COLUMN()-2&lt;=$E$3,INDEX($B$10:$B$59,RANDBETWEEN(1,$E$3)),"")</x:f>
      </x:c>
      <x:c r="E248" s="68" t="str">
        <x:f>IF(COLUMN()-2&lt;=$E$3,INDEX($B$10:$B$59,RANDBETWEEN(1,$E$3)),"")</x:f>
      </x:c>
      <x:c r="F248" s="68" t="str">
        <x:f>IF(COLUMN()-2&lt;=$E$3,INDEX($B$10:$B$59,RANDBETWEEN(1,$E$3)),"")</x:f>
      </x:c>
      <x:c r="G248" s="68" t="str">
        <x:f>IF(COLUMN()-2&lt;=$E$3,INDEX($B$10:$B$59,RANDBETWEEN(1,$E$3)),"")</x:f>
      </x:c>
      <x:c r="H248" s="68" t="str">
        <x:f>IF(COLUMN()-2&lt;=$E$3,INDEX($B$10:$B$59,RANDBETWEEN(1,$E$3)),"")</x:f>
      </x:c>
      <x:c r="I248" s="68" t="str">
        <x:f>IF(COLUMN()-2&lt;=$E$3,INDEX($B$10:$B$59,RANDBETWEEN(1,$E$3)),"")</x:f>
      </x:c>
      <x:c r="J248" s="68" t="str">
        <x:f>IF(COLUMN()-2&lt;=$E$3,INDEX($B$10:$B$59,RANDBETWEEN(1,$E$3)),"")</x:f>
      </x:c>
      <x:c r="K248" s="68" t="str">
        <x:f>IF(COLUMN()-2&lt;=$E$3,INDEX($B$10:$B$59,RANDBETWEEN(1,$E$3)),"")</x:f>
      </x:c>
      <x:c r="L248" s="68" t="str">
        <x:f>IF(COLUMN()-2&lt;=$E$3,INDEX($B$10:$B$59,RANDBETWEEN(1,$E$3)),"")</x:f>
      </x:c>
      <x:c r="M248" s="68" t="str">
        <x:f>IF(COLUMN()-2&lt;=$E$3,INDEX($B$10:$B$59,RANDBETWEEN(1,$E$3)),"")</x:f>
      </x:c>
      <x:c r="N248" s="68" t="str">
        <x:f>IF(COLUMN()-2&lt;=$E$3,INDEX($B$10:$B$59,RANDBETWEEN(1,$E$3)),"")</x:f>
      </x:c>
      <x:c r="O248" s="68" t="str">
        <x:f>IF(COLUMN()-2&lt;=$E$3,INDEX($B$10:$B$59,RANDBETWEEN(1,$E$3)),"")</x:f>
      </x:c>
      <x:c r="P248" s="68" t="str">
        <x:f>IF(COLUMN()-2&lt;=$E$3,INDEX($B$10:$B$59,RANDBETWEEN(1,$E$3)),"")</x:f>
      </x:c>
      <x:c r="Q248" s="68" t="str">
        <x:f>IF(COLUMN()-2&lt;=$E$3,INDEX($B$10:$B$59,RANDBETWEEN(1,$E$3)),"")</x:f>
      </x:c>
      <x:c r="R248" s="68" t="str">
        <x:f>IF(COLUMN()-2&lt;=$E$3,INDEX($B$10:$B$59,RANDBETWEEN(1,$E$3)),"")</x:f>
      </x:c>
      <x:c r="S248" s="68" t="str">
        <x:f>IF(COLUMN()-2&lt;=$E$3,INDEX($B$10:$B$59,RANDBETWEEN(1,$E$3)),"")</x:f>
      </x:c>
      <x:c r="T248" s="68" t="str">
        <x:f>IF(COLUMN()-2&lt;=$E$3,INDEX($B$10:$B$59,RANDBETWEEN(1,$E$3)),"")</x:f>
      </x:c>
      <x:c r="U248" s="68" t="str">
        <x:f>IF(COLUMN()-2&lt;=$E$3,INDEX($B$10:$B$59,RANDBETWEEN(1,$E$3)),"")</x:f>
      </x:c>
      <x:c r="V248" s="68" t="str">
        <x:f>IF(COLUMN()-2&lt;=$E$3,INDEX($B$10:$B$59,RANDBETWEEN(1,$E$3)),"")</x:f>
      </x:c>
      <x:c r="W248" s="68" t="str">
        <x:f>IF(COLUMN()-2&lt;=$E$3,INDEX($B$10:$B$59,RANDBETWEEN(1,$E$3)),"")</x:f>
      </x:c>
      <x:c r="X248" s="68" t="str">
        <x:f>IF(COLUMN()-2&lt;=$E$3,INDEX($B$10:$B$59,RANDBETWEEN(1,$E$3)),"")</x:f>
      </x:c>
      <x:c r="Y248" s="68" t="str">
        <x:f>IF(COLUMN()-2&lt;=$E$3,INDEX($B$10:$B$59,RANDBETWEEN(1,$E$3)),"")</x:f>
      </x:c>
      <x:c r="Z248" s="68" t="str">
        <x:f>IF(COLUMN()-2&lt;=$E$3,INDEX($B$10:$B$59,RANDBETWEEN(1,$E$3)),"")</x:f>
      </x:c>
      <x:c r="AA248" s="68" t="str">
        <x:f>IF(COLUMN()-2&lt;=$E$3,INDEX($B$10:$B$59,RANDBETWEEN(1,$E$3)),"")</x:f>
      </x:c>
      <x:c r="AB248" s="68" t="str">
        <x:f>IF(COLUMN()-2&lt;=$E$3,INDEX($B$10:$B$59,RANDBETWEEN(1,$E$3)),"")</x:f>
      </x:c>
      <x:c r="AC248" s="68" t="str">
        <x:f>IF(COLUMN()-2&lt;=$E$3,INDEX($B$10:$B$59,RANDBETWEEN(1,$E$3)),"")</x:f>
      </x:c>
      <x:c r="AD248" s="68" t="str">
        <x:f>IF(COLUMN()-2&lt;=$E$3,INDEX($B$10:$B$59,RANDBETWEEN(1,$E$3)),"")</x:f>
      </x:c>
      <x:c r="AE248" s="68" t="str">
        <x:f>IF(COLUMN()-2&lt;=$E$3,INDEX($B$10:$B$59,RANDBETWEEN(1,$E$3)),"")</x:f>
      </x:c>
      <x:c r="AF248" s="68" t="str">
        <x:f>IF(COLUMN()-2&lt;=$E$3,INDEX($B$10:$B$59,RANDBETWEEN(1,$E$3)),"")</x:f>
      </x:c>
      <x:c r="AG248" s="68" t="str">
        <x:f>IF(COLUMN()-2&lt;=$E$3,INDEX($B$10:$B$59,RANDBETWEEN(1,$E$3)),"")</x:f>
      </x:c>
      <x:c r="AH248" s="68" t="str">
        <x:f>IF(COLUMN()-2&lt;=$E$3,INDEX($B$10:$B$59,RANDBETWEEN(1,$E$3)),"")</x:f>
      </x:c>
      <x:c r="AI248" s="68" t="str">
        <x:f>IF(COLUMN()-2&lt;=$E$3,INDEX($B$10:$B$59,RANDBETWEEN(1,$E$3)),"")</x:f>
      </x:c>
      <x:c r="AJ248" s="68" t="str">
        <x:f>IF(COLUMN()-2&lt;=$E$3,INDEX($B$10:$B$59,RANDBETWEEN(1,$E$3)),"")</x:f>
      </x:c>
      <x:c r="AK248" s="68" t="str">
        <x:f>IF(COLUMN()-2&lt;=$E$3,INDEX($B$10:$B$59,RANDBETWEEN(1,$E$3)),"")</x:f>
      </x:c>
      <x:c r="AL248" s="68" t="str">
        <x:f>IF(COLUMN()-2&lt;=$E$3,INDEX($B$10:$B$59,RANDBETWEEN(1,$E$3)),"")</x:f>
      </x:c>
      <x:c r="AM248" s="68" t="str">
        <x:f>IF(COLUMN()-2&lt;=$E$3,INDEX($B$10:$B$59,RANDBETWEEN(1,$E$3)),"")</x:f>
      </x:c>
      <x:c r="AN248" s="68" t="str">
        <x:f>IF(COLUMN()-2&lt;=$E$3,INDEX($B$10:$B$59,RANDBETWEEN(1,$E$3)),"")</x:f>
      </x:c>
      <x:c r="AO248" s="68" t="str">
        <x:f>IF(COLUMN()-2&lt;=$E$3,INDEX($B$10:$B$59,RANDBETWEEN(1,$E$3)),"")</x:f>
      </x:c>
      <x:c r="AP248" s="68" t="str">
        <x:f>IF(COLUMN()-2&lt;=$E$3,INDEX($B$10:$B$59,RANDBETWEEN(1,$E$3)),"")</x:f>
      </x:c>
      <x:c r="AQ248" s="68" t="str">
        <x:f>IF(COLUMN()-2&lt;=$E$3,INDEX($B$10:$B$59,RANDBETWEEN(1,$E$3)),"")</x:f>
      </x:c>
      <x:c r="AR248" s="68" t="str">
        <x:f>IF(COLUMN()-2&lt;=$E$3,INDEX($B$10:$B$59,RANDBETWEEN(1,$E$3)),"")</x:f>
      </x:c>
      <x:c r="AS248" s="68" t="str">
        <x:f>IF(COLUMN()-2&lt;=$E$3,INDEX($B$10:$B$59,RANDBETWEEN(1,$E$3)),"")</x:f>
      </x:c>
      <x:c r="AT248" s="68" t="str">
        <x:f>IF(COLUMN()-2&lt;=$E$3,INDEX($B$10:$B$59,RANDBETWEEN(1,$E$3)),"")</x:f>
      </x:c>
      <x:c r="AU248" s="68" t="str">
        <x:f>IF(COLUMN()-2&lt;=$E$3,INDEX($B$10:$B$59,RANDBETWEEN(1,$E$3)),"")</x:f>
      </x:c>
      <x:c r="AV248" s="68" t="str">
        <x:f>IF(COLUMN()-2&lt;=$E$3,INDEX($B$10:$B$59,RANDBETWEEN(1,$E$3)),"")</x:f>
      </x:c>
      <x:c r="AW248" s="68" t="str">
        <x:f>IF(COLUMN()-2&lt;=$E$3,INDEX($B$10:$B$59,RANDBETWEEN(1,$E$3)),"")</x:f>
      </x:c>
      <x:c r="AX248" s="68" t="str">
        <x:f>IF(COLUMN()-2&lt;=$E$3,INDEX($B$10:$B$59,RANDBETWEEN(1,$E$3)),"")</x:f>
      </x:c>
      <x:c r="AY248" s="68" t="str">
        <x:f>IF(COLUMN()-2&lt;=$E$3,INDEX($B$10:$B$59,RANDBETWEEN(1,$E$3)),"")</x:f>
      </x:c>
      <x:c r="AZ248" s="68" t="str">
        <x:f>IF(COLUMN()-2&lt;=$E$3,INDEX($B$10:$B$59,RANDBETWEEN(1,$E$3)),"")</x:f>
      </x:c>
      <x:c r="BA248" s="68" t="str">
        <x:f>IF($E$3=0,"",AVERAGE(C248:AZ248))</x:f>
      </x:c>
    </x:row>
    <x:row r="249">
      <x:c r="A249" t="n">
        <x:v>185</x:v>
      </x:c>
      <x:c r="C249" s="68" t="str">
        <x:f>IF(COLUMN()-2&lt;=$E$3,INDEX($B$10:$B$59,RANDBETWEEN(1,$E$3)),"")</x:f>
      </x:c>
      <x:c r="D249" s="68" t="str">
        <x:f>IF(COLUMN()-2&lt;=$E$3,INDEX($B$10:$B$59,RANDBETWEEN(1,$E$3)),"")</x:f>
      </x:c>
      <x:c r="E249" s="68" t="str">
        <x:f>IF(COLUMN()-2&lt;=$E$3,INDEX($B$10:$B$59,RANDBETWEEN(1,$E$3)),"")</x:f>
      </x:c>
      <x:c r="F249" s="68" t="str">
        <x:f>IF(COLUMN()-2&lt;=$E$3,INDEX($B$10:$B$59,RANDBETWEEN(1,$E$3)),"")</x:f>
      </x:c>
      <x:c r="G249" s="68" t="str">
        <x:f>IF(COLUMN()-2&lt;=$E$3,INDEX($B$10:$B$59,RANDBETWEEN(1,$E$3)),"")</x:f>
      </x:c>
      <x:c r="H249" s="68" t="str">
        <x:f>IF(COLUMN()-2&lt;=$E$3,INDEX($B$10:$B$59,RANDBETWEEN(1,$E$3)),"")</x:f>
      </x:c>
      <x:c r="I249" s="68" t="str">
        <x:f>IF(COLUMN()-2&lt;=$E$3,INDEX($B$10:$B$59,RANDBETWEEN(1,$E$3)),"")</x:f>
      </x:c>
      <x:c r="J249" s="68" t="str">
        <x:f>IF(COLUMN()-2&lt;=$E$3,INDEX($B$10:$B$59,RANDBETWEEN(1,$E$3)),"")</x:f>
      </x:c>
      <x:c r="K249" s="68" t="str">
        <x:f>IF(COLUMN()-2&lt;=$E$3,INDEX($B$10:$B$59,RANDBETWEEN(1,$E$3)),"")</x:f>
      </x:c>
      <x:c r="L249" s="68" t="str">
        <x:f>IF(COLUMN()-2&lt;=$E$3,INDEX($B$10:$B$59,RANDBETWEEN(1,$E$3)),"")</x:f>
      </x:c>
      <x:c r="M249" s="68" t="str">
        <x:f>IF(COLUMN()-2&lt;=$E$3,INDEX($B$10:$B$59,RANDBETWEEN(1,$E$3)),"")</x:f>
      </x:c>
      <x:c r="N249" s="68" t="str">
        <x:f>IF(COLUMN()-2&lt;=$E$3,INDEX($B$10:$B$59,RANDBETWEEN(1,$E$3)),"")</x:f>
      </x:c>
      <x:c r="O249" s="68" t="str">
        <x:f>IF(COLUMN()-2&lt;=$E$3,INDEX($B$10:$B$59,RANDBETWEEN(1,$E$3)),"")</x:f>
      </x:c>
      <x:c r="P249" s="68" t="str">
        <x:f>IF(COLUMN()-2&lt;=$E$3,INDEX($B$10:$B$59,RANDBETWEEN(1,$E$3)),"")</x:f>
      </x:c>
      <x:c r="Q249" s="68" t="str">
        <x:f>IF(COLUMN()-2&lt;=$E$3,INDEX($B$10:$B$59,RANDBETWEEN(1,$E$3)),"")</x:f>
      </x:c>
      <x:c r="R249" s="68" t="str">
        <x:f>IF(COLUMN()-2&lt;=$E$3,INDEX($B$10:$B$59,RANDBETWEEN(1,$E$3)),"")</x:f>
      </x:c>
      <x:c r="S249" s="68" t="str">
        <x:f>IF(COLUMN()-2&lt;=$E$3,INDEX($B$10:$B$59,RANDBETWEEN(1,$E$3)),"")</x:f>
      </x:c>
      <x:c r="T249" s="68" t="str">
        <x:f>IF(COLUMN()-2&lt;=$E$3,INDEX($B$10:$B$59,RANDBETWEEN(1,$E$3)),"")</x:f>
      </x:c>
      <x:c r="U249" s="68" t="str">
        <x:f>IF(COLUMN()-2&lt;=$E$3,INDEX($B$10:$B$59,RANDBETWEEN(1,$E$3)),"")</x:f>
      </x:c>
      <x:c r="V249" s="68" t="str">
        <x:f>IF(COLUMN()-2&lt;=$E$3,INDEX($B$10:$B$59,RANDBETWEEN(1,$E$3)),"")</x:f>
      </x:c>
      <x:c r="W249" s="68" t="str">
        <x:f>IF(COLUMN()-2&lt;=$E$3,INDEX($B$10:$B$59,RANDBETWEEN(1,$E$3)),"")</x:f>
      </x:c>
      <x:c r="X249" s="68" t="str">
        <x:f>IF(COLUMN()-2&lt;=$E$3,INDEX($B$10:$B$59,RANDBETWEEN(1,$E$3)),"")</x:f>
      </x:c>
      <x:c r="Y249" s="68" t="str">
        <x:f>IF(COLUMN()-2&lt;=$E$3,INDEX($B$10:$B$59,RANDBETWEEN(1,$E$3)),"")</x:f>
      </x:c>
      <x:c r="Z249" s="68" t="str">
        <x:f>IF(COLUMN()-2&lt;=$E$3,INDEX($B$10:$B$59,RANDBETWEEN(1,$E$3)),"")</x:f>
      </x:c>
      <x:c r="AA249" s="68" t="str">
        <x:f>IF(COLUMN()-2&lt;=$E$3,INDEX($B$10:$B$59,RANDBETWEEN(1,$E$3)),"")</x:f>
      </x:c>
      <x:c r="AB249" s="68" t="str">
        <x:f>IF(COLUMN()-2&lt;=$E$3,INDEX($B$10:$B$59,RANDBETWEEN(1,$E$3)),"")</x:f>
      </x:c>
      <x:c r="AC249" s="68" t="str">
        <x:f>IF(COLUMN()-2&lt;=$E$3,INDEX($B$10:$B$59,RANDBETWEEN(1,$E$3)),"")</x:f>
      </x:c>
      <x:c r="AD249" s="68" t="str">
        <x:f>IF(COLUMN()-2&lt;=$E$3,INDEX($B$10:$B$59,RANDBETWEEN(1,$E$3)),"")</x:f>
      </x:c>
      <x:c r="AE249" s="68" t="str">
        <x:f>IF(COLUMN()-2&lt;=$E$3,INDEX($B$10:$B$59,RANDBETWEEN(1,$E$3)),"")</x:f>
      </x:c>
      <x:c r="AF249" s="68" t="str">
        <x:f>IF(COLUMN()-2&lt;=$E$3,INDEX($B$10:$B$59,RANDBETWEEN(1,$E$3)),"")</x:f>
      </x:c>
      <x:c r="AG249" s="68" t="str">
        <x:f>IF(COLUMN()-2&lt;=$E$3,INDEX($B$10:$B$59,RANDBETWEEN(1,$E$3)),"")</x:f>
      </x:c>
      <x:c r="AH249" s="68" t="str">
        <x:f>IF(COLUMN()-2&lt;=$E$3,INDEX($B$10:$B$59,RANDBETWEEN(1,$E$3)),"")</x:f>
      </x:c>
      <x:c r="AI249" s="68" t="str">
        <x:f>IF(COLUMN()-2&lt;=$E$3,INDEX($B$10:$B$59,RANDBETWEEN(1,$E$3)),"")</x:f>
      </x:c>
      <x:c r="AJ249" s="68" t="str">
        <x:f>IF(COLUMN()-2&lt;=$E$3,INDEX($B$10:$B$59,RANDBETWEEN(1,$E$3)),"")</x:f>
      </x:c>
      <x:c r="AK249" s="68" t="str">
        <x:f>IF(COLUMN()-2&lt;=$E$3,INDEX($B$10:$B$59,RANDBETWEEN(1,$E$3)),"")</x:f>
      </x:c>
      <x:c r="AL249" s="68" t="str">
        <x:f>IF(COLUMN()-2&lt;=$E$3,INDEX($B$10:$B$59,RANDBETWEEN(1,$E$3)),"")</x:f>
      </x:c>
      <x:c r="AM249" s="68" t="str">
        <x:f>IF(COLUMN()-2&lt;=$E$3,INDEX($B$10:$B$59,RANDBETWEEN(1,$E$3)),"")</x:f>
      </x:c>
      <x:c r="AN249" s="68" t="str">
        <x:f>IF(COLUMN()-2&lt;=$E$3,INDEX($B$10:$B$59,RANDBETWEEN(1,$E$3)),"")</x:f>
      </x:c>
      <x:c r="AO249" s="68" t="str">
        <x:f>IF(COLUMN()-2&lt;=$E$3,INDEX($B$10:$B$59,RANDBETWEEN(1,$E$3)),"")</x:f>
      </x:c>
      <x:c r="AP249" s="68" t="str">
        <x:f>IF(COLUMN()-2&lt;=$E$3,INDEX($B$10:$B$59,RANDBETWEEN(1,$E$3)),"")</x:f>
      </x:c>
      <x:c r="AQ249" s="68" t="str">
        <x:f>IF(COLUMN()-2&lt;=$E$3,INDEX($B$10:$B$59,RANDBETWEEN(1,$E$3)),"")</x:f>
      </x:c>
      <x:c r="AR249" s="68" t="str">
        <x:f>IF(COLUMN()-2&lt;=$E$3,INDEX($B$10:$B$59,RANDBETWEEN(1,$E$3)),"")</x:f>
      </x:c>
      <x:c r="AS249" s="68" t="str">
        <x:f>IF(COLUMN()-2&lt;=$E$3,INDEX($B$10:$B$59,RANDBETWEEN(1,$E$3)),"")</x:f>
      </x:c>
      <x:c r="AT249" s="68" t="str">
        <x:f>IF(COLUMN()-2&lt;=$E$3,INDEX($B$10:$B$59,RANDBETWEEN(1,$E$3)),"")</x:f>
      </x:c>
      <x:c r="AU249" s="68" t="str">
        <x:f>IF(COLUMN()-2&lt;=$E$3,INDEX($B$10:$B$59,RANDBETWEEN(1,$E$3)),"")</x:f>
      </x:c>
      <x:c r="AV249" s="68" t="str">
        <x:f>IF(COLUMN()-2&lt;=$E$3,INDEX($B$10:$B$59,RANDBETWEEN(1,$E$3)),"")</x:f>
      </x:c>
      <x:c r="AW249" s="68" t="str">
        <x:f>IF(COLUMN()-2&lt;=$E$3,INDEX($B$10:$B$59,RANDBETWEEN(1,$E$3)),"")</x:f>
      </x:c>
      <x:c r="AX249" s="68" t="str">
        <x:f>IF(COLUMN()-2&lt;=$E$3,INDEX($B$10:$B$59,RANDBETWEEN(1,$E$3)),"")</x:f>
      </x:c>
      <x:c r="AY249" s="68" t="str">
        <x:f>IF(COLUMN()-2&lt;=$E$3,INDEX($B$10:$B$59,RANDBETWEEN(1,$E$3)),"")</x:f>
      </x:c>
      <x:c r="AZ249" s="68" t="str">
        <x:f>IF(COLUMN()-2&lt;=$E$3,INDEX($B$10:$B$59,RANDBETWEEN(1,$E$3)),"")</x:f>
      </x:c>
      <x:c r="BA249" s="68" t="str">
        <x:f>IF($E$3=0,"",AVERAGE(C249:AZ249))</x:f>
      </x:c>
    </x:row>
    <x:row r="250">
      <x:c r="A250" t="n">
        <x:v>186</x:v>
      </x:c>
      <x:c r="C250" s="68" t="str">
        <x:f>IF(COLUMN()-2&lt;=$E$3,INDEX($B$10:$B$59,RANDBETWEEN(1,$E$3)),"")</x:f>
      </x:c>
      <x:c r="D250" s="68" t="str">
        <x:f>IF(COLUMN()-2&lt;=$E$3,INDEX($B$10:$B$59,RANDBETWEEN(1,$E$3)),"")</x:f>
      </x:c>
      <x:c r="E250" s="68" t="str">
        <x:f>IF(COLUMN()-2&lt;=$E$3,INDEX($B$10:$B$59,RANDBETWEEN(1,$E$3)),"")</x:f>
      </x:c>
      <x:c r="F250" s="68" t="str">
        <x:f>IF(COLUMN()-2&lt;=$E$3,INDEX($B$10:$B$59,RANDBETWEEN(1,$E$3)),"")</x:f>
      </x:c>
      <x:c r="G250" s="68" t="str">
        <x:f>IF(COLUMN()-2&lt;=$E$3,INDEX($B$10:$B$59,RANDBETWEEN(1,$E$3)),"")</x:f>
      </x:c>
      <x:c r="H250" s="68" t="str">
        <x:f>IF(COLUMN()-2&lt;=$E$3,INDEX($B$10:$B$59,RANDBETWEEN(1,$E$3)),"")</x:f>
      </x:c>
      <x:c r="I250" s="68" t="str">
        <x:f>IF(COLUMN()-2&lt;=$E$3,INDEX($B$10:$B$59,RANDBETWEEN(1,$E$3)),"")</x:f>
      </x:c>
      <x:c r="J250" s="68" t="str">
        <x:f>IF(COLUMN()-2&lt;=$E$3,INDEX($B$10:$B$59,RANDBETWEEN(1,$E$3)),"")</x:f>
      </x:c>
      <x:c r="K250" s="68" t="str">
        <x:f>IF(COLUMN()-2&lt;=$E$3,INDEX($B$10:$B$59,RANDBETWEEN(1,$E$3)),"")</x:f>
      </x:c>
      <x:c r="L250" s="68" t="str">
        <x:f>IF(COLUMN()-2&lt;=$E$3,INDEX($B$10:$B$59,RANDBETWEEN(1,$E$3)),"")</x:f>
      </x:c>
      <x:c r="M250" s="68" t="str">
        <x:f>IF(COLUMN()-2&lt;=$E$3,INDEX($B$10:$B$59,RANDBETWEEN(1,$E$3)),"")</x:f>
      </x:c>
      <x:c r="N250" s="68" t="str">
        <x:f>IF(COLUMN()-2&lt;=$E$3,INDEX($B$10:$B$59,RANDBETWEEN(1,$E$3)),"")</x:f>
      </x:c>
      <x:c r="O250" s="68" t="str">
        <x:f>IF(COLUMN()-2&lt;=$E$3,INDEX($B$10:$B$59,RANDBETWEEN(1,$E$3)),"")</x:f>
      </x:c>
      <x:c r="P250" s="68" t="str">
        <x:f>IF(COLUMN()-2&lt;=$E$3,INDEX($B$10:$B$59,RANDBETWEEN(1,$E$3)),"")</x:f>
      </x:c>
      <x:c r="Q250" s="68" t="str">
        <x:f>IF(COLUMN()-2&lt;=$E$3,INDEX($B$10:$B$59,RANDBETWEEN(1,$E$3)),"")</x:f>
      </x:c>
      <x:c r="R250" s="68" t="str">
        <x:f>IF(COLUMN()-2&lt;=$E$3,INDEX($B$10:$B$59,RANDBETWEEN(1,$E$3)),"")</x:f>
      </x:c>
      <x:c r="S250" s="68" t="str">
        <x:f>IF(COLUMN()-2&lt;=$E$3,INDEX($B$10:$B$59,RANDBETWEEN(1,$E$3)),"")</x:f>
      </x:c>
      <x:c r="T250" s="68" t="str">
        <x:f>IF(COLUMN()-2&lt;=$E$3,INDEX($B$10:$B$59,RANDBETWEEN(1,$E$3)),"")</x:f>
      </x:c>
      <x:c r="U250" s="68" t="str">
        <x:f>IF(COLUMN()-2&lt;=$E$3,INDEX($B$10:$B$59,RANDBETWEEN(1,$E$3)),"")</x:f>
      </x:c>
      <x:c r="V250" s="68" t="str">
        <x:f>IF(COLUMN()-2&lt;=$E$3,INDEX($B$10:$B$59,RANDBETWEEN(1,$E$3)),"")</x:f>
      </x:c>
      <x:c r="W250" s="68" t="str">
        <x:f>IF(COLUMN()-2&lt;=$E$3,INDEX($B$10:$B$59,RANDBETWEEN(1,$E$3)),"")</x:f>
      </x:c>
      <x:c r="X250" s="68" t="str">
        <x:f>IF(COLUMN()-2&lt;=$E$3,INDEX($B$10:$B$59,RANDBETWEEN(1,$E$3)),"")</x:f>
      </x:c>
      <x:c r="Y250" s="68" t="str">
        <x:f>IF(COLUMN()-2&lt;=$E$3,INDEX($B$10:$B$59,RANDBETWEEN(1,$E$3)),"")</x:f>
      </x:c>
      <x:c r="Z250" s="68" t="str">
        <x:f>IF(COLUMN()-2&lt;=$E$3,INDEX($B$10:$B$59,RANDBETWEEN(1,$E$3)),"")</x:f>
      </x:c>
      <x:c r="AA250" s="68" t="str">
        <x:f>IF(COLUMN()-2&lt;=$E$3,INDEX($B$10:$B$59,RANDBETWEEN(1,$E$3)),"")</x:f>
      </x:c>
      <x:c r="AB250" s="68" t="str">
        <x:f>IF(COLUMN()-2&lt;=$E$3,INDEX($B$10:$B$59,RANDBETWEEN(1,$E$3)),"")</x:f>
      </x:c>
      <x:c r="AC250" s="68" t="str">
        <x:f>IF(COLUMN()-2&lt;=$E$3,INDEX($B$10:$B$59,RANDBETWEEN(1,$E$3)),"")</x:f>
      </x:c>
      <x:c r="AD250" s="68" t="str">
        <x:f>IF(COLUMN()-2&lt;=$E$3,INDEX($B$10:$B$59,RANDBETWEEN(1,$E$3)),"")</x:f>
      </x:c>
      <x:c r="AE250" s="68" t="str">
        <x:f>IF(COLUMN()-2&lt;=$E$3,INDEX($B$10:$B$59,RANDBETWEEN(1,$E$3)),"")</x:f>
      </x:c>
      <x:c r="AF250" s="68" t="str">
        <x:f>IF(COLUMN()-2&lt;=$E$3,INDEX($B$10:$B$59,RANDBETWEEN(1,$E$3)),"")</x:f>
      </x:c>
      <x:c r="AG250" s="68" t="str">
        <x:f>IF(COLUMN()-2&lt;=$E$3,INDEX($B$10:$B$59,RANDBETWEEN(1,$E$3)),"")</x:f>
      </x:c>
      <x:c r="AH250" s="68" t="str">
        <x:f>IF(COLUMN()-2&lt;=$E$3,INDEX($B$10:$B$59,RANDBETWEEN(1,$E$3)),"")</x:f>
      </x:c>
      <x:c r="AI250" s="68" t="str">
        <x:f>IF(COLUMN()-2&lt;=$E$3,INDEX($B$10:$B$59,RANDBETWEEN(1,$E$3)),"")</x:f>
      </x:c>
      <x:c r="AJ250" s="68" t="str">
        <x:f>IF(COLUMN()-2&lt;=$E$3,INDEX($B$10:$B$59,RANDBETWEEN(1,$E$3)),"")</x:f>
      </x:c>
      <x:c r="AK250" s="68" t="str">
        <x:f>IF(COLUMN()-2&lt;=$E$3,INDEX($B$10:$B$59,RANDBETWEEN(1,$E$3)),"")</x:f>
      </x:c>
      <x:c r="AL250" s="68" t="str">
        <x:f>IF(COLUMN()-2&lt;=$E$3,INDEX($B$10:$B$59,RANDBETWEEN(1,$E$3)),"")</x:f>
      </x:c>
      <x:c r="AM250" s="68" t="str">
        <x:f>IF(COLUMN()-2&lt;=$E$3,INDEX($B$10:$B$59,RANDBETWEEN(1,$E$3)),"")</x:f>
      </x:c>
      <x:c r="AN250" s="68" t="str">
        <x:f>IF(COLUMN()-2&lt;=$E$3,INDEX($B$10:$B$59,RANDBETWEEN(1,$E$3)),"")</x:f>
      </x:c>
      <x:c r="AO250" s="68" t="str">
        <x:f>IF(COLUMN()-2&lt;=$E$3,INDEX($B$10:$B$59,RANDBETWEEN(1,$E$3)),"")</x:f>
      </x:c>
      <x:c r="AP250" s="68" t="str">
        <x:f>IF(COLUMN()-2&lt;=$E$3,INDEX($B$10:$B$59,RANDBETWEEN(1,$E$3)),"")</x:f>
      </x:c>
      <x:c r="AQ250" s="68" t="str">
        <x:f>IF(COLUMN()-2&lt;=$E$3,INDEX($B$10:$B$59,RANDBETWEEN(1,$E$3)),"")</x:f>
      </x:c>
      <x:c r="AR250" s="68" t="str">
        <x:f>IF(COLUMN()-2&lt;=$E$3,INDEX($B$10:$B$59,RANDBETWEEN(1,$E$3)),"")</x:f>
      </x:c>
      <x:c r="AS250" s="68" t="str">
        <x:f>IF(COLUMN()-2&lt;=$E$3,INDEX($B$10:$B$59,RANDBETWEEN(1,$E$3)),"")</x:f>
      </x:c>
      <x:c r="AT250" s="68" t="str">
        <x:f>IF(COLUMN()-2&lt;=$E$3,INDEX($B$10:$B$59,RANDBETWEEN(1,$E$3)),"")</x:f>
      </x:c>
      <x:c r="AU250" s="68" t="str">
        <x:f>IF(COLUMN()-2&lt;=$E$3,INDEX($B$10:$B$59,RANDBETWEEN(1,$E$3)),"")</x:f>
      </x:c>
      <x:c r="AV250" s="68" t="str">
        <x:f>IF(COLUMN()-2&lt;=$E$3,INDEX($B$10:$B$59,RANDBETWEEN(1,$E$3)),"")</x:f>
      </x:c>
      <x:c r="AW250" s="68" t="str">
        <x:f>IF(COLUMN()-2&lt;=$E$3,INDEX($B$10:$B$59,RANDBETWEEN(1,$E$3)),"")</x:f>
      </x:c>
      <x:c r="AX250" s="68" t="str">
        <x:f>IF(COLUMN()-2&lt;=$E$3,INDEX($B$10:$B$59,RANDBETWEEN(1,$E$3)),"")</x:f>
      </x:c>
      <x:c r="AY250" s="68" t="str">
        <x:f>IF(COLUMN()-2&lt;=$E$3,INDEX($B$10:$B$59,RANDBETWEEN(1,$E$3)),"")</x:f>
      </x:c>
      <x:c r="AZ250" s="68" t="str">
        <x:f>IF(COLUMN()-2&lt;=$E$3,INDEX($B$10:$B$59,RANDBETWEEN(1,$E$3)),"")</x:f>
      </x:c>
      <x:c r="BA250" s="68" t="str">
        <x:f>IF($E$3=0,"",AVERAGE(C250:AZ250))</x:f>
      </x:c>
    </x:row>
    <x:row r="251">
      <x:c r="A251" t="n">
        <x:v>187</x:v>
      </x:c>
      <x:c r="C251" s="68" t="str">
        <x:f>IF(COLUMN()-2&lt;=$E$3,INDEX($B$10:$B$59,RANDBETWEEN(1,$E$3)),"")</x:f>
      </x:c>
      <x:c r="D251" s="68" t="str">
        <x:f>IF(COLUMN()-2&lt;=$E$3,INDEX($B$10:$B$59,RANDBETWEEN(1,$E$3)),"")</x:f>
      </x:c>
      <x:c r="E251" s="68" t="str">
        <x:f>IF(COLUMN()-2&lt;=$E$3,INDEX($B$10:$B$59,RANDBETWEEN(1,$E$3)),"")</x:f>
      </x:c>
      <x:c r="F251" s="68" t="str">
        <x:f>IF(COLUMN()-2&lt;=$E$3,INDEX($B$10:$B$59,RANDBETWEEN(1,$E$3)),"")</x:f>
      </x:c>
      <x:c r="G251" s="68" t="str">
        <x:f>IF(COLUMN()-2&lt;=$E$3,INDEX($B$10:$B$59,RANDBETWEEN(1,$E$3)),"")</x:f>
      </x:c>
      <x:c r="H251" s="68" t="str">
        <x:f>IF(COLUMN()-2&lt;=$E$3,INDEX($B$10:$B$59,RANDBETWEEN(1,$E$3)),"")</x:f>
      </x:c>
      <x:c r="I251" s="68" t="str">
        <x:f>IF(COLUMN()-2&lt;=$E$3,INDEX($B$10:$B$59,RANDBETWEEN(1,$E$3)),"")</x:f>
      </x:c>
      <x:c r="J251" s="68" t="str">
        <x:f>IF(COLUMN()-2&lt;=$E$3,INDEX($B$10:$B$59,RANDBETWEEN(1,$E$3)),"")</x:f>
      </x:c>
      <x:c r="K251" s="68" t="str">
        <x:f>IF(COLUMN()-2&lt;=$E$3,INDEX($B$10:$B$59,RANDBETWEEN(1,$E$3)),"")</x:f>
      </x:c>
      <x:c r="L251" s="68" t="str">
        <x:f>IF(COLUMN()-2&lt;=$E$3,INDEX($B$10:$B$59,RANDBETWEEN(1,$E$3)),"")</x:f>
      </x:c>
      <x:c r="M251" s="68" t="str">
        <x:f>IF(COLUMN()-2&lt;=$E$3,INDEX($B$10:$B$59,RANDBETWEEN(1,$E$3)),"")</x:f>
      </x:c>
      <x:c r="N251" s="68" t="str">
        <x:f>IF(COLUMN()-2&lt;=$E$3,INDEX($B$10:$B$59,RANDBETWEEN(1,$E$3)),"")</x:f>
      </x:c>
      <x:c r="O251" s="68" t="str">
        <x:f>IF(COLUMN()-2&lt;=$E$3,INDEX($B$10:$B$59,RANDBETWEEN(1,$E$3)),"")</x:f>
      </x:c>
      <x:c r="P251" s="68" t="str">
        <x:f>IF(COLUMN()-2&lt;=$E$3,INDEX($B$10:$B$59,RANDBETWEEN(1,$E$3)),"")</x:f>
      </x:c>
      <x:c r="Q251" s="68" t="str">
        <x:f>IF(COLUMN()-2&lt;=$E$3,INDEX($B$10:$B$59,RANDBETWEEN(1,$E$3)),"")</x:f>
      </x:c>
      <x:c r="R251" s="68" t="str">
        <x:f>IF(COLUMN()-2&lt;=$E$3,INDEX($B$10:$B$59,RANDBETWEEN(1,$E$3)),"")</x:f>
      </x:c>
      <x:c r="S251" s="68" t="str">
        <x:f>IF(COLUMN()-2&lt;=$E$3,INDEX($B$10:$B$59,RANDBETWEEN(1,$E$3)),"")</x:f>
      </x:c>
      <x:c r="T251" s="68" t="str">
        <x:f>IF(COLUMN()-2&lt;=$E$3,INDEX($B$10:$B$59,RANDBETWEEN(1,$E$3)),"")</x:f>
      </x:c>
      <x:c r="U251" s="68" t="str">
        <x:f>IF(COLUMN()-2&lt;=$E$3,INDEX($B$10:$B$59,RANDBETWEEN(1,$E$3)),"")</x:f>
      </x:c>
      <x:c r="V251" s="68" t="str">
        <x:f>IF(COLUMN()-2&lt;=$E$3,INDEX($B$10:$B$59,RANDBETWEEN(1,$E$3)),"")</x:f>
      </x:c>
      <x:c r="W251" s="68" t="str">
        <x:f>IF(COLUMN()-2&lt;=$E$3,INDEX($B$10:$B$59,RANDBETWEEN(1,$E$3)),"")</x:f>
      </x:c>
      <x:c r="X251" s="68" t="str">
        <x:f>IF(COLUMN()-2&lt;=$E$3,INDEX($B$10:$B$59,RANDBETWEEN(1,$E$3)),"")</x:f>
      </x:c>
      <x:c r="Y251" s="68" t="str">
        <x:f>IF(COLUMN()-2&lt;=$E$3,INDEX($B$10:$B$59,RANDBETWEEN(1,$E$3)),"")</x:f>
      </x:c>
      <x:c r="Z251" s="68" t="str">
        <x:f>IF(COLUMN()-2&lt;=$E$3,INDEX($B$10:$B$59,RANDBETWEEN(1,$E$3)),"")</x:f>
      </x:c>
      <x:c r="AA251" s="68" t="str">
        <x:f>IF(COLUMN()-2&lt;=$E$3,INDEX($B$10:$B$59,RANDBETWEEN(1,$E$3)),"")</x:f>
      </x:c>
      <x:c r="AB251" s="68" t="str">
        <x:f>IF(COLUMN()-2&lt;=$E$3,INDEX($B$10:$B$59,RANDBETWEEN(1,$E$3)),"")</x:f>
      </x:c>
      <x:c r="AC251" s="68" t="str">
        <x:f>IF(COLUMN()-2&lt;=$E$3,INDEX($B$10:$B$59,RANDBETWEEN(1,$E$3)),"")</x:f>
      </x:c>
      <x:c r="AD251" s="68" t="str">
        <x:f>IF(COLUMN()-2&lt;=$E$3,INDEX($B$10:$B$59,RANDBETWEEN(1,$E$3)),"")</x:f>
      </x:c>
      <x:c r="AE251" s="68" t="str">
        <x:f>IF(COLUMN()-2&lt;=$E$3,INDEX($B$10:$B$59,RANDBETWEEN(1,$E$3)),"")</x:f>
      </x:c>
      <x:c r="AF251" s="68" t="str">
        <x:f>IF(COLUMN()-2&lt;=$E$3,INDEX($B$10:$B$59,RANDBETWEEN(1,$E$3)),"")</x:f>
      </x:c>
      <x:c r="AG251" s="68" t="str">
        <x:f>IF(COLUMN()-2&lt;=$E$3,INDEX($B$10:$B$59,RANDBETWEEN(1,$E$3)),"")</x:f>
      </x:c>
      <x:c r="AH251" s="68" t="str">
        <x:f>IF(COLUMN()-2&lt;=$E$3,INDEX($B$10:$B$59,RANDBETWEEN(1,$E$3)),"")</x:f>
      </x:c>
      <x:c r="AI251" s="68" t="str">
        <x:f>IF(COLUMN()-2&lt;=$E$3,INDEX($B$10:$B$59,RANDBETWEEN(1,$E$3)),"")</x:f>
      </x:c>
      <x:c r="AJ251" s="68" t="str">
        <x:f>IF(COLUMN()-2&lt;=$E$3,INDEX($B$10:$B$59,RANDBETWEEN(1,$E$3)),"")</x:f>
      </x:c>
      <x:c r="AK251" s="68" t="str">
        <x:f>IF(COLUMN()-2&lt;=$E$3,INDEX($B$10:$B$59,RANDBETWEEN(1,$E$3)),"")</x:f>
      </x:c>
      <x:c r="AL251" s="68" t="str">
        <x:f>IF(COLUMN()-2&lt;=$E$3,INDEX($B$10:$B$59,RANDBETWEEN(1,$E$3)),"")</x:f>
      </x:c>
      <x:c r="AM251" s="68" t="str">
        <x:f>IF(COLUMN()-2&lt;=$E$3,INDEX($B$10:$B$59,RANDBETWEEN(1,$E$3)),"")</x:f>
      </x:c>
      <x:c r="AN251" s="68" t="str">
        <x:f>IF(COLUMN()-2&lt;=$E$3,INDEX($B$10:$B$59,RANDBETWEEN(1,$E$3)),"")</x:f>
      </x:c>
      <x:c r="AO251" s="68" t="str">
        <x:f>IF(COLUMN()-2&lt;=$E$3,INDEX($B$10:$B$59,RANDBETWEEN(1,$E$3)),"")</x:f>
      </x:c>
      <x:c r="AP251" s="68" t="str">
        <x:f>IF(COLUMN()-2&lt;=$E$3,INDEX($B$10:$B$59,RANDBETWEEN(1,$E$3)),"")</x:f>
      </x:c>
      <x:c r="AQ251" s="68" t="str">
        <x:f>IF(COLUMN()-2&lt;=$E$3,INDEX($B$10:$B$59,RANDBETWEEN(1,$E$3)),"")</x:f>
      </x:c>
      <x:c r="AR251" s="68" t="str">
        <x:f>IF(COLUMN()-2&lt;=$E$3,INDEX($B$10:$B$59,RANDBETWEEN(1,$E$3)),"")</x:f>
      </x:c>
      <x:c r="AS251" s="68" t="str">
        <x:f>IF(COLUMN()-2&lt;=$E$3,INDEX($B$10:$B$59,RANDBETWEEN(1,$E$3)),"")</x:f>
      </x:c>
      <x:c r="AT251" s="68" t="str">
        <x:f>IF(COLUMN()-2&lt;=$E$3,INDEX($B$10:$B$59,RANDBETWEEN(1,$E$3)),"")</x:f>
      </x:c>
      <x:c r="AU251" s="68" t="str">
        <x:f>IF(COLUMN()-2&lt;=$E$3,INDEX($B$10:$B$59,RANDBETWEEN(1,$E$3)),"")</x:f>
      </x:c>
      <x:c r="AV251" s="68" t="str">
        <x:f>IF(COLUMN()-2&lt;=$E$3,INDEX($B$10:$B$59,RANDBETWEEN(1,$E$3)),"")</x:f>
      </x:c>
      <x:c r="AW251" s="68" t="str">
        <x:f>IF(COLUMN()-2&lt;=$E$3,INDEX($B$10:$B$59,RANDBETWEEN(1,$E$3)),"")</x:f>
      </x:c>
      <x:c r="AX251" s="68" t="str">
        <x:f>IF(COLUMN()-2&lt;=$E$3,INDEX($B$10:$B$59,RANDBETWEEN(1,$E$3)),"")</x:f>
      </x:c>
      <x:c r="AY251" s="68" t="str">
        <x:f>IF(COLUMN()-2&lt;=$E$3,INDEX($B$10:$B$59,RANDBETWEEN(1,$E$3)),"")</x:f>
      </x:c>
      <x:c r="AZ251" s="68" t="str">
        <x:f>IF(COLUMN()-2&lt;=$E$3,INDEX($B$10:$B$59,RANDBETWEEN(1,$E$3)),"")</x:f>
      </x:c>
      <x:c r="BA251" s="68" t="str">
        <x:f>IF($E$3=0,"",AVERAGE(C251:AZ251))</x:f>
      </x:c>
    </x:row>
    <x:row r="252">
      <x:c r="A252" t="n">
        <x:v>188</x:v>
      </x:c>
      <x:c r="C252" s="68" t="str">
        <x:f>IF(COLUMN()-2&lt;=$E$3,INDEX($B$10:$B$59,RANDBETWEEN(1,$E$3)),"")</x:f>
      </x:c>
      <x:c r="D252" s="68" t="str">
        <x:f>IF(COLUMN()-2&lt;=$E$3,INDEX($B$10:$B$59,RANDBETWEEN(1,$E$3)),"")</x:f>
      </x:c>
      <x:c r="E252" s="68" t="str">
        <x:f>IF(COLUMN()-2&lt;=$E$3,INDEX($B$10:$B$59,RANDBETWEEN(1,$E$3)),"")</x:f>
      </x:c>
      <x:c r="F252" s="68" t="str">
        <x:f>IF(COLUMN()-2&lt;=$E$3,INDEX($B$10:$B$59,RANDBETWEEN(1,$E$3)),"")</x:f>
      </x:c>
      <x:c r="G252" s="68" t="str">
        <x:f>IF(COLUMN()-2&lt;=$E$3,INDEX($B$10:$B$59,RANDBETWEEN(1,$E$3)),"")</x:f>
      </x:c>
      <x:c r="H252" s="68" t="str">
        <x:f>IF(COLUMN()-2&lt;=$E$3,INDEX($B$10:$B$59,RANDBETWEEN(1,$E$3)),"")</x:f>
      </x:c>
      <x:c r="I252" s="68" t="str">
        <x:f>IF(COLUMN()-2&lt;=$E$3,INDEX($B$10:$B$59,RANDBETWEEN(1,$E$3)),"")</x:f>
      </x:c>
      <x:c r="J252" s="68" t="str">
        <x:f>IF(COLUMN()-2&lt;=$E$3,INDEX($B$10:$B$59,RANDBETWEEN(1,$E$3)),"")</x:f>
      </x:c>
      <x:c r="K252" s="68" t="str">
        <x:f>IF(COLUMN()-2&lt;=$E$3,INDEX($B$10:$B$59,RANDBETWEEN(1,$E$3)),"")</x:f>
      </x:c>
      <x:c r="L252" s="68" t="str">
        <x:f>IF(COLUMN()-2&lt;=$E$3,INDEX($B$10:$B$59,RANDBETWEEN(1,$E$3)),"")</x:f>
      </x:c>
      <x:c r="M252" s="68" t="str">
        <x:f>IF(COLUMN()-2&lt;=$E$3,INDEX($B$10:$B$59,RANDBETWEEN(1,$E$3)),"")</x:f>
      </x:c>
      <x:c r="N252" s="68" t="str">
        <x:f>IF(COLUMN()-2&lt;=$E$3,INDEX($B$10:$B$59,RANDBETWEEN(1,$E$3)),"")</x:f>
      </x:c>
      <x:c r="O252" s="68" t="str">
        <x:f>IF(COLUMN()-2&lt;=$E$3,INDEX($B$10:$B$59,RANDBETWEEN(1,$E$3)),"")</x:f>
      </x:c>
      <x:c r="P252" s="68" t="str">
        <x:f>IF(COLUMN()-2&lt;=$E$3,INDEX($B$10:$B$59,RANDBETWEEN(1,$E$3)),"")</x:f>
      </x:c>
      <x:c r="Q252" s="68" t="str">
        <x:f>IF(COLUMN()-2&lt;=$E$3,INDEX($B$10:$B$59,RANDBETWEEN(1,$E$3)),"")</x:f>
      </x:c>
      <x:c r="R252" s="68" t="str">
        <x:f>IF(COLUMN()-2&lt;=$E$3,INDEX($B$10:$B$59,RANDBETWEEN(1,$E$3)),"")</x:f>
      </x:c>
      <x:c r="S252" s="68" t="str">
        <x:f>IF(COLUMN()-2&lt;=$E$3,INDEX($B$10:$B$59,RANDBETWEEN(1,$E$3)),"")</x:f>
      </x:c>
      <x:c r="T252" s="68" t="str">
        <x:f>IF(COLUMN()-2&lt;=$E$3,INDEX($B$10:$B$59,RANDBETWEEN(1,$E$3)),"")</x:f>
      </x:c>
      <x:c r="U252" s="68" t="str">
        <x:f>IF(COLUMN()-2&lt;=$E$3,INDEX($B$10:$B$59,RANDBETWEEN(1,$E$3)),"")</x:f>
      </x:c>
      <x:c r="V252" s="68" t="str">
        <x:f>IF(COLUMN()-2&lt;=$E$3,INDEX($B$10:$B$59,RANDBETWEEN(1,$E$3)),"")</x:f>
      </x:c>
      <x:c r="W252" s="68" t="str">
        <x:f>IF(COLUMN()-2&lt;=$E$3,INDEX($B$10:$B$59,RANDBETWEEN(1,$E$3)),"")</x:f>
      </x:c>
      <x:c r="X252" s="68" t="str">
        <x:f>IF(COLUMN()-2&lt;=$E$3,INDEX($B$10:$B$59,RANDBETWEEN(1,$E$3)),"")</x:f>
      </x:c>
      <x:c r="Y252" s="68" t="str">
        <x:f>IF(COLUMN()-2&lt;=$E$3,INDEX($B$10:$B$59,RANDBETWEEN(1,$E$3)),"")</x:f>
      </x:c>
      <x:c r="Z252" s="68" t="str">
        <x:f>IF(COLUMN()-2&lt;=$E$3,INDEX($B$10:$B$59,RANDBETWEEN(1,$E$3)),"")</x:f>
      </x:c>
      <x:c r="AA252" s="68" t="str">
        <x:f>IF(COLUMN()-2&lt;=$E$3,INDEX($B$10:$B$59,RANDBETWEEN(1,$E$3)),"")</x:f>
      </x:c>
      <x:c r="AB252" s="68" t="str">
        <x:f>IF(COLUMN()-2&lt;=$E$3,INDEX($B$10:$B$59,RANDBETWEEN(1,$E$3)),"")</x:f>
      </x:c>
      <x:c r="AC252" s="68" t="str">
        <x:f>IF(COLUMN()-2&lt;=$E$3,INDEX($B$10:$B$59,RANDBETWEEN(1,$E$3)),"")</x:f>
      </x:c>
      <x:c r="AD252" s="68" t="str">
        <x:f>IF(COLUMN()-2&lt;=$E$3,INDEX($B$10:$B$59,RANDBETWEEN(1,$E$3)),"")</x:f>
      </x:c>
      <x:c r="AE252" s="68" t="str">
        <x:f>IF(COLUMN()-2&lt;=$E$3,INDEX($B$10:$B$59,RANDBETWEEN(1,$E$3)),"")</x:f>
      </x:c>
      <x:c r="AF252" s="68" t="str">
        <x:f>IF(COLUMN()-2&lt;=$E$3,INDEX($B$10:$B$59,RANDBETWEEN(1,$E$3)),"")</x:f>
      </x:c>
      <x:c r="AG252" s="68" t="str">
        <x:f>IF(COLUMN()-2&lt;=$E$3,INDEX($B$10:$B$59,RANDBETWEEN(1,$E$3)),"")</x:f>
      </x:c>
      <x:c r="AH252" s="68" t="str">
        <x:f>IF(COLUMN()-2&lt;=$E$3,INDEX($B$10:$B$59,RANDBETWEEN(1,$E$3)),"")</x:f>
      </x:c>
      <x:c r="AI252" s="68" t="str">
        <x:f>IF(COLUMN()-2&lt;=$E$3,INDEX($B$10:$B$59,RANDBETWEEN(1,$E$3)),"")</x:f>
      </x:c>
      <x:c r="AJ252" s="68" t="str">
        <x:f>IF(COLUMN()-2&lt;=$E$3,INDEX($B$10:$B$59,RANDBETWEEN(1,$E$3)),"")</x:f>
      </x:c>
      <x:c r="AK252" s="68" t="str">
        <x:f>IF(COLUMN()-2&lt;=$E$3,INDEX($B$10:$B$59,RANDBETWEEN(1,$E$3)),"")</x:f>
      </x:c>
      <x:c r="AL252" s="68" t="str">
        <x:f>IF(COLUMN()-2&lt;=$E$3,INDEX($B$10:$B$59,RANDBETWEEN(1,$E$3)),"")</x:f>
      </x:c>
      <x:c r="AM252" s="68" t="str">
        <x:f>IF(COLUMN()-2&lt;=$E$3,INDEX($B$10:$B$59,RANDBETWEEN(1,$E$3)),"")</x:f>
      </x:c>
      <x:c r="AN252" s="68" t="str">
        <x:f>IF(COLUMN()-2&lt;=$E$3,INDEX($B$10:$B$59,RANDBETWEEN(1,$E$3)),"")</x:f>
      </x:c>
      <x:c r="AO252" s="68" t="str">
        <x:f>IF(COLUMN()-2&lt;=$E$3,INDEX($B$10:$B$59,RANDBETWEEN(1,$E$3)),"")</x:f>
      </x:c>
      <x:c r="AP252" s="68" t="str">
        <x:f>IF(COLUMN()-2&lt;=$E$3,INDEX($B$10:$B$59,RANDBETWEEN(1,$E$3)),"")</x:f>
      </x:c>
      <x:c r="AQ252" s="68" t="str">
        <x:f>IF(COLUMN()-2&lt;=$E$3,INDEX($B$10:$B$59,RANDBETWEEN(1,$E$3)),"")</x:f>
      </x:c>
      <x:c r="AR252" s="68" t="str">
        <x:f>IF(COLUMN()-2&lt;=$E$3,INDEX($B$10:$B$59,RANDBETWEEN(1,$E$3)),"")</x:f>
      </x:c>
      <x:c r="AS252" s="68" t="str">
        <x:f>IF(COLUMN()-2&lt;=$E$3,INDEX($B$10:$B$59,RANDBETWEEN(1,$E$3)),"")</x:f>
      </x:c>
      <x:c r="AT252" s="68" t="str">
        <x:f>IF(COLUMN()-2&lt;=$E$3,INDEX($B$10:$B$59,RANDBETWEEN(1,$E$3)),"")</x:f>
      </x:c>
      <x:c r="AU252" s="68" t="str">
        <x:f>IF(COLUMN()-2&lt;=$E$3,INDEX($B$10:$B$59,RANDBETWEEN(1,$E$3)),"")</x:f>
      </x:c>
      <x:c r="AV252" s="68" t="str">
        <x:f>IF(COLUMN()-2&lt;=$E$3,INDEX($B$10:$B$59,RANDBETWEEN(1,$E$3)),"")</x:f>
      </x:c>
      <x:c r="AW252" s="68" t="str">
        <x:f>IF(COLUMN()-2&lt;=$E$3,INDEX($B$10:$B$59,RANDBETWEEN(1,$E$3)),"")</x:f>
      </x:c>
      <x:c r="AX252" s="68" t="str">
        <x:f>IF(COLUMN()-2&lt;=$E$3,INDEX($B$10:$B$59,RANDBETWEEN(1,$E$3)),"")</x:f>
      </x:c>
      <x:c r="AY252" s="68" t="str">
        <x:f>IF(COLUMN()-2&lt;=$E$3,INDEX($B$10:$B$59,RANDBETWEEN(1,$E$3)),"")</x:f>
      </x:c>
      <x:c r="AZ252" s="68" t="str">
        <x:f>IF(COLUMN()-2&lt;=$E$3,INDEX($B$10:$B$59,RANDBETWEEN(1,$E$3)),"")</x:f>
      </x:c>
      <x:c r="BA252" s="68" t="str">
        <x:f>IF($E$3=0,"",AVERAGE(C252:AZ252))</x:f>
      </x:c>
    </x:row>
    <x:row r="253">
      <x:c r="A253" t="n">
        <x:v>189</x:v>
      </x:c>
      <x:c r="C253" s="68" t="str">
        <x:f>IF(COLUMN()-2&lt;=$E$3,INDEX($B$10:$B$59,RANDBETWEEN(1,$E$3)),"")</x:f>
      </x:c>
      <x:c r="D253" s="68" t="str">
        <x:f>IF(COLUMN()-2&lt;=$E$3,INDEX($B$10:$B$59,RANDBETWEEN(1,$E$3)),"")</x:f>
      </x:c>
      <x:c r="E253" s="68" t="str">
        <x:f>IF(COLUMN()-2&lt;=$E$3,INDEX($B$10:$B$59,RANDBETWEEN(1,$E$3)),"")</x:f>
      </x:c>
      <x:c r="F253" s="68" t="str">
        <x:f>IF(COLUMN()-2&lt;=$E$3,INDEX($B$10:$B$59,RANDBETWEEN(1,$E$3)),"")</x:f>
      </x:c>
      <x:c r="G253" s="68" t="str">
        <x:f>IF(COLUMN()-2&lt;=$E$3,INDEX($B$10:$B$59,RANDBETWEEN(1,$E$3)),"")</x:f>
      </x:c>
      <x:c r="H253" s="68" t="str">
        <x:f>IF(COLUMN()-2&lt;=$E$3,INDEX($B$10:$B$59,RANDBETWEEN(1,$E$3)),"")</x:f>
      </x:c>
      <x:c r="I253" s="68" t="str">
        <x:f>IF(COLUMN()-2&lt;=$E$3,INDEX($B$10:$B$59,RANDBETWEEN(1,$E$3)),"")</x:f>
      </x:c>
      <x:c r="J253" s="68" t="str">
        <x:f>IF(COLUMN()-2&lt;=$E$3,INDEX($B$10:$B$59,RANDBETWEEN(1,$E$3)),"")</x:f>
      </x:c>
      <x:c r="K253" s="68" t="str">
        <x:f>IF(COLUMN()-2&lt;=$E$3,INDEX($B$10:$B$59,RANDBETWEEN(1,$E$3)),"")</x:f>
      </x:c>
      <x:c r="L253" s="68" t="str">
        <x:f>IF(COLUMN()-2&lt;=$E$3,INDEX($B$10:$B$59,RANDBETWEEN(1,$E$3)),"")</x:f>
      </x:c>
      <x:c r="M253" s="68" t="str">
        <x:f>IF(COLUMN()-2&lt;=$E$3,INDEX($B$10:$B$59,RANDBETWEEN(1,$E$3)),"")</x:f>
      </x:c>
      <x:c r="N253" s="68" t="str">
        <x:f>IF(COLUMN()-2&lt;=$E$3,INDEX($B$10:$B$59,RANDBETWEEN(1,$E$3)),"")</x:f>
      </x:c>
      <x:c r="O253" s="68" t="str">
        <x:f>IF(COLUMN()-2&lt;=$E$3,INDEX($B$10:$B$59,RANDBETWEEN(1,$E$3)),"")</x:f>
      </x:c>
      <x:c r="P253" s="68" t="str">
        <x:f>IF(COLUMN()-2&lt;=$E$3,INDEX($B$10:$B$59,RANDBETWEEN(1,$E$3)),"")</x:f>
      </x:c>
      <x:c r="Q253" s="68" t="str">
        <x:f>IF(COLUMN()-2&lt;=$E$3,INDEX($B$10:$B$59,RANDBETWEEN(1,$E$3)),"")</x:f>
      </x:c>
      <x:c r="R253" s="68" t="str">
        <x:f>IF(COLUMN()-2&lt;=$E$3,INDEX($B$10:$B$59,RANDBETWEEN(1,$E$3)),"")</x:f>
      </x:c>
      <x:c r="S253" s="68" t="str">
        <x:f>IF(COLUMN()-2&lt;=$E$3,INDEX($B$10:$B$59,RANDBETWEEN(1,$E$3)),"")</x:f>
      </x:c>
      <x:c r="T253" s="68" t="str">
        <x:f>IF(COLUMN()-2&lt;=$E$3,INDEX($B$10:$B$59,RANDBETWEEN(1,$E$3)),"")</x:f>
      </x:c>
      <x:c r="U253" s="68" t="str">
        <x:f>IF(COLUMN()-2&lt;=$E$3,INDEX($B$10:$B$59,RANDBETWEEN(1,$E$3)),"")</x:f>
      </x:c>
      <x:c r="V253" s="68" t="str">
        <x:f>IF(COLUMN()-2&lt;=$E$3,INDEX($B$10:$B$59,RANDBETWEEN(1,$E$3)),"")</x:f>
      </x:c>
      <x:c r="W253" s="68" t="str">
        <x:f>IF(COLUMN()-2&lt;=$E$3,INDEX($B$10:$B$59,RANDBETWEEN(1,$E$3)),"")</x:f>
      </x:c>
      <x:c r="X253" s="68" t="str">
        <x:f>IF(COLUMN()-2&lt;=$E$3,INDEX($B$10:$B$59,RANDBETWEEN(1,$E$3)),"")</x:f>
      </x:c>
      <x:c r="Y253" s="68" t="str">
        <x:f>IF(COLUMN()-2&lt;=$E$3,INDEX($B$10:$B$59,RANDBETWEEN(1,$E$3)),"")</x:f>
      </x:c>
      <x:c r="Z253" s="68" t="str">
        <x:f>IF(COLUMN()-2&lt;=$E$3,INDEX($B$10:$B$59,RANDBETWEEN(1,$E$3)),"")</x:f>
      </x:c>
      <x:c r="AA253" s="68" t="str">
        <x:f>IF(COLUMN()-2&lt;=$E$3,INDEX($B$10:$B$59,RANDBETWEEN(1,$E$3)),"")</x:f>
      </x:c>
      <x:c r="AB253" s="68" t="str">
        <x:f>IF(COLUMN()-2&lt;=$E$3,INDEX($B$10:$B$59,RANDBETWEEN(1,$E$3)),"")</x:f>
      </x:c>
      <x:c r="AC253" s="68" t="str">
        <x:f>IF(COLUMN()-2&lt;=$E$3,INDEX($B$10:$B$59,RANDBETWEEN(1,$E$3)),"")</x:f>
      </x:c>
      <x:c r="AD253" s="68" t="str">
        <x:f>IF(COLUMN()-2&lt;=$E$3,INDEX($B$10:$B$59,RANDBETWEEN(1,$E$3)),"")</x:f>
      </x:c>
      <x:c r="AE253" s="68" t="str">
        <x:f>IF(COLUMN()-2&lt;=$E$3,INDEX($B$10:$B$59,RANDBETWEEN(1,$E$3)),"")</x:f>
      </x:c>
      <x:c r="AF253" s="68" t="str">
        <x:f>IF(COLUMN()-2&lt;=$E$3,INDEX($B$10:$B$59,RANDBETWEEN(1,$E$3)),"")</x:f>
      </x:c>
      <x:c r="AG253" s="68" t="str">
        <x:f>IF(COLUMN()-2&lt;=$E$3,INDEX($B$10:$B$59,RANDBETWEEN(1,$E$3)),"")</x:f>
      </x:c>
      <x:c r="AH253" s="68" t="str">
        <x:f>IF(COLUMN()-2&lt;=$E$3,INDEX($B$10:$B$59,RANDBETWEEN(1,$E$3)),"")</x:f>
      </x:c>
      <x:c r="AI253" s="68" t="str">
        <x:f>IF(COLUMN()-2&lt;=$E$3,INDEX($B$10:$B$59,RANDBETWEEN(1,$E$3)),"")</x:f>
      </x:c>
      <x:c r="AJ253" s="68" t="str">
        <x:f>IF(COLUMN()-2&lt;=$E$3,INDEX($B$10:$B$59,RANDBETWEEN(1,$E$3)),"")</x:f>
      </x:c>
      <x:c r="AK253" s="68" t="str">
        <x:f>IF(COLUMN()-2&lt;=$E$3,INDEX($B$10:$B$59,RANDBETWEEN(1,$E$3)),"")</x:f>
      </x:c>
      <x:c r="AL253" s="68" t="str">
        <x:f>IF(COLUMN()-2&lt;=$E$3,INDEX($B$10:$B$59,RANDBETWEEN(1,$E$3)),"")</x:f>
      </x:c>
      <x:c r="AM253" s="68" t="str">
        <x:f>IF(COLUMN()-2&lt;=$E$3,INDEX($B$10:$B$59,RANDBETWEEN(1,$E$3)),"")</x:f>
      </x:c>
      <x:c r="AN253" s="68" t="str">
        <x:f>IF(COLUMN()-2&lt;=$E$3,INDEX($B$10:$B$59,RANDBETWEEN(1,$E$3)),"")</x:f>
      </x:c>
      <x:c r="AO253" s="68" t="str">
        <x:f>IF(COLUMN()-2&lt;=$E$3,INDEX($B$10:$B$59,RANDBETWEEN(1,$E$3)),"")</x:f>
      </x:c>
      <x:c r="AP253" s="68" t="str">
        <x:f>IF(COLUMN()-2&lt;=$E$3,INDEX($B$10:$B$59,RANDBETWEEN(1,$E$3)),"")</x:f>
      </x:c>
      <x:c r="AQ253" s="68" t="str">
        <x:f>IF(COLUMN()-2&lt;=$E$3,INDEX($B$10:$B$59,RANDBETWEEN(1,$E$3)),"")</x:f>
      </x:c>
      <x:c r="AR253" s="68" t="str">
        <x:f>IF(COLUMN()-2&lt;=$E$3,INDEX($B$10:$B$59,RANDBETWEEN(1,$E$3)),"")</x:f>
      </x:c>
      <x:c r="AS253" s="68" t="str">
        <x:f>IF(COLUMN()-2&lt;=$E$3,INDEX($B$10:$B$59,RANDBETWEEN(1,$E$3)),"")</x:f>
      </x:c>
      <x:c r="AT253" s="68" t="str">
        <x:f>IF(COLUMN()-2&lt;=$E$3,INDEX($B$10:$B$59,RANDBETWEEN(1,$E$3)),"")</x:f>
      </x:c>
      <x:c r="AU253" s="68" t="str">
        <x:f>IF(COLUMN()-2&lt;=$E$3,INDEX($B$10:$B$59,RANDBETWEEN(1,$E$3)),"")</x:f>
      </x:c>
      <x:c r="AV253" s="68" t="str">
        <x:f>IF(COLUMN()-2&lt;=$E$3,INDEX($B$10:$B$59,RANDBETWEEN(1,$E$3)),"")</x:f>
      </x:c>
      <x:c r="AW253" s="68" t="str">
        <x:f>IF(COLUMN()-2&lt;=$E$3,INDEX($B$10:$B$59,RANDBETWEEN(1,$E$3)),"")</x:f>
      </x:c>
      <x:c r="AX253" s="68" t="str">
        <x:f>IF(COLUMN()-2&lt;=$E$3,INDEX($B$10:$B$59,RANDBETWEEN(1,$E$3)),"")</x:f>
      </x:c>
      <x:c r="AY253" s="68" t="str">
        <x:f>IF(COLUMN()-2&lt;=$E$3,INDEX($B$10:$B$59,RANDBETWEEN(1,$E$3)),"")</x:f>
      </x:c>
      <x:c r="AZ253" s="68" t="str">
        <x:f>IF(COLUMN()-2&lt;=$E$3,INDEX($B$10:$B$59,RANDBETWEEN(1,$E$3)),"")</x:f>
      </x:c>
      <x:c r="BA253" s="68" t="str">
        <x:f>IF($E$3=0,"",AVERAGE(C253:AZ253))</x:f>
      </x:c>
    </x:row>
    <x:row r="254">
      <x:c r="A254" t="n">
        <x:v>190</x:v>
      </x:c>
      <x:c r="C254" s="68" t="str">
        <x:f>IF(COLUMN()-2&lt;=$E$3,INDEX($B$10:$B$59,RANDBETWEEN(1,$E$3)),"")</x:f>
      </x:c>
      <x:c r="D254" s="68" t="str">
        <x:f>IF(COLUMN()-2&lt;=$E$3,INDEX($B$10:$B$59,RANDBETWEEN(1,$E$3)),"")</x:f>
      </x:c>
      <x:c r="E254" s="68" t="str">
        <x:f>IF(COLUMN()-2&lt;=$E$3,INDEX($B$10:$B$59,RANDBETWEEN(1,$E$3)),"")</x:f>
      </x:c>
      <x:c r="F254" s="68" t="str">
        <x:f>IF(COLUMN()-2&lt;=$E$3,INDEX($B$10:$B$59,RANDBETWEEN(1,$E$3)),"")</x:f>
      </x:c>
      <x:c r="G254" s="68" t="str">
        <x:f>IF(COLUMN()-2&lt;=$E$3,INDEX($B$10:$B$59,RANDBETWEEN(1,$E$3)),"")</x:f>
      </x:c>
      <x:c r="H254" s="68" t="str">
        <x:f>IF(COLUMN()-2&lt;=$E$3,INDEX($B$10:$B$59,RANDBETWEEN(1,$E$3)),"")</x:f>
      </x:c>
      <x:c r="I254" s="68" t="str">
        <x:f>IF(COLUMN()-2&lt;=$E$3,INDEX($B$10:$B$59,RANDBETWEEN(1,$E$3)),"")</x:f>
      </x:c>
      <x:c r="J254" s="68" t="str">
        <x:f>IF(COLUMN()-2&lt;=$E$3,INDEX($B$10:$B$59,RANDBETWEEN(1,$E$3)),"")</x:f>
      </x:c>
      <x:c r="K254" s="68" t="str">
        <x:f>IF(COLUMN()-2&lt;=$E$3,INDEX($B$10:$B$59,RANDBETWEEN(1,$E$3)),"")</x:f>
      </x:c>
      <x:c r="L254" s="68" t="str">
        <x:f>IF(COLUMN()-2&lt;=$E$3,INDEX($B$10:$B$59,RANDBETWEEN(1,$E$3)),"")</x:f>
      </x:c>
      <x:c r="M254" s="68" t="str">
        <x:f>IF(COLUMN()-2&lt;=$E$3,INDEX($B$10:$B$59,RANDBETWEEN(1,$E$3)),"")</x:f>
      </x:c>
      <x:c r="N254" s="68" t="str">
        <x:f>IF(COLUMN()-2&lt;=$E$3,INDEX($B$10:$B$59,RANDBETWEEN(1,$E$3)),"")</x:f>
      </x:c>
      <x:c r="O254" s="68" t="str">
        <x:f>IF(COLUMN()-2&lt;=$E$3,INDEX($B$10:$B$59,RANDBETWEEN(1,$E$3)),"")</x:f>
      </x:c>
      <x:c r="P254" s="68" t="str">
        <x:f>IF(COLUMN()-2&lt;=$E$3,INDEX($B$10:$B$59,RANDBETWEEN(1,$E$3)),"")</x:f>
      </x:c>
      <x:c r="Q254" s="68" t="str">
        <x:f>IF(COLUMN()-2&lt;=$E$3,INDEX($B$10:$B$59,RANDBETWEEN(1,$E$3)),"")</x:f>
      </x:c>
      <x:c r="R254" s="68" t="str">
        <x:f>IF(COLUMN()-2&lt;=$E$3,INDEX($B$10:$B$59,RANDBETWEEN(1,$E$3)),"")</x:f>
      </x:c>
      <x:c r="S254" s="68" t="str">
        <x:f>IF(COLUMN()-2&lt;=$E$3,INDEX($B$10:$B$59,RANDBETWEEN(1,$E$3)),"")</x:f>
      </x:c>
      <x:c r="T254" s="68" t="str">
        <x:f>IF(COLUMN()-2&lt;=$E$3,INDEX($B$10:$B$59,RANDBETWEEN(1,$E$3)),"")</x:f>
      </x:c>
      <x:c r="U254" s="68" t="str">
        <x:f>IF(COLUMN()-2&lt;=$E$3,INDEX($B$10:$B$59,RANDBETWEEN(1,$E$3)),"")</x:f>
      </x:c>
      <x:c r="V254" s="68" t="str">
        <x:f>IF(COLUMN()-2&lt;=$E$3,INDEX($B$10:$B$59,RANDBETWEEN(1,$E$3)),"")</x:f>
      </x:c>
      <x:c r="W254" s="68" t="str">
        <x:f>IF(COLUMN()-2&lt;=$E$3,INDEX($B$10:$B$59,RANDBETWEEN(1,$E$3)),"")</x:f>
      </x:c>
      <x:c r="X254" s="68" t="str">
        <x:f>IF(COLUMN()-2&lt;=$E$3,INDEX($B$10:$B$59,RANDBETWEEN(1,$E$3)),"")</x:f>
      </x:c>
      <x:c r="Y254" s="68" t="str">
        <x:f>IF(COLUMN()-2&lt;=$E$3,INDEX($B$10:$B$59,RANDBETWEEN(1,$E$3)),"")</x:f>
      </x:c>
      <x:c r="Z254" s="68" t="str">
        <x:f>IF(COLUMN()-2&lt;=$E$3,INDEX($B$10:$B$59,RANDBETWEEN(1,$E$3)),"")</x:f>
      </x:c>
      <x:c r="AA254" s="68" t="str">
        <x:f>IF(COLUMN()-2&lt;=$E$3,INDEX($B$10:$B$59,RANDBETWEEN(1,$E$3)),"")</x:f>
      </x:c>
      <x:c r="AB254" s="68" t="str">
        <x:f>IF(COLUMN()-2&lt;=$E$3,INDEX($B$10:$B$59,RANDBETWEEN(1,$E$3)),"")</x:f>
      </x:c>
      <x:c r="AC254" s="68" t="str">
        <x:f>IF(COLUMN()-2&lt;=$E$3,INDEX($B$10:$B$59,RANDBETWEEN(1,$E$3)),"")</x:f>
      </x:c>
      <x:c r="AD254" s="68" t="str">
        <x:f>IF(COLUMN()-2&lt;=$E$3,INDEX($B$10:$B$59,RANDBETWEEN(1,$E$3)),"")</x:f>
      </x:c>
      <x:c r="AE254" s="68" t="str">
        <x:f>IF(COLUMN()-2&lt;=$E$3,INDEX($B$10:$B$59,RANDBETWEEN(1,$E$3)),"")</x:f>
      </x:c>
      <x:c r="AF254" s="68" t="str">
        <x:f>IF(COLUMN()-2&lt;=$E$3,INDEX($B$10:$B$59,RANDBETWEEN(1,$E$3)),"")</x:f>
      </x:c>
      <x:c r="AG254" s="68" t="str">
        <x:f>IF(COLUMN()-2&lt;=$E$3,INDEX($B$10:$B$59,RANDBETWEEN(1,$E$3)),"")</x:f>
      </x:c>
      <x:c r="AH254" s="68" t="str">
        <x:f>IF(COLUMN()-2&lt;=$E$3,INDEX($B$10:$B$59,RANDBETWEEN(1,$E$3)),"")</x:f>
      </x:c>
      <x:c r="AI254" s="68" t="str">
        <x:f>IF(COLUMN()-2&lt;=$E$3,INDEX($B$10:$B$59,RANDBETWEEN(1,$E$3)),"")</x:f>
      </x:c>
      <x:c r="AJ254" s="68" t="str">
        <x:f>IF(COLUMN()-2&lt;=$E$3,INDEX($B$10:$B$59,RANDBETWEEN(1,$E$3)),"")</x:f>
      </x:c>
      <x:c r="AK254" s="68" t="str">
        <x:f>IF(COLUMN()-2&lt;=$E$3,INDEX($B$10:$B$59,RANDBETWEEN(1,$E$3)),"")</x:f>
      </x:c>
      <x:c r="AL254" s="68" t="str">
        <x:f>IF(COLUMN()-2&lt;=$E$3,INDEX($B$10:$B$59,RANDBETWEEN(1,$E$3)),"")</x:f>
      </x:c>
      <x:c r="AM254" s="68" t="str">
        <x:f>IF(COLUMN()-2&lt;=$E$3,INDEX($B$10:$B$59,RANDBETWEEN(1,$E$3)),"")</x:f>
      </x:c>
      <x:c r="AN254" s="68" t="str">
        <x:f>IF(COLUMN()-2&lt;=$E$3,INDEX($B$10:$B$59,RANDBETWEEN(1,$E$3)),"")</x:f>
      </x:c>
      <x:c r="AO254" s="68" t="str">
        <x:f>IF(COLUMN()-2&lt;=$E$3,INDEX($B$10:$B$59,RANDBETWEEN(1,$E$3)),"")</x:f>
      </x:c>
      <x:c r="AP254" s="68" t="str">
        <x:f>IF(COLUMN()-2&lt;=$E$3,INDEX($B$10:$B$59,RANDBETWEEN(1,$E$3)),"")</x:f>
      </x:c>
      <x:c r="AQ254" s="68" t="str">
        <x:f>IF(COLUMN()-2&lt;=$E$3,INDEX($B$10:$B$59,RANDBETWEEN(1,$E$3)),"")</x:f>
      </x:c>
      <x:c r="AR254" s="68" t="str">
        <x:f>IF(COLUMN()-2&lt;=$E$3,INDEX($B$10:$B$59,RANDBETWEEN(1,$E$3)),"")</x:f>
      </x:c>
      <x:c r="AS254" s="68" t="str">
        <x:f>IF(COLUMN()-2&lt;=$E$3,INDEX($B$10:$B$59,RANDBETWEEN(1,$E$3)),"")</x:f>
      </x:c>
      <x:c r="AT254" s="68" t="str">
        <x:f>IF(COLUMN()-2&lt;=$E$3,INDEX($B$10:$B$59,RANDBETWEEN(1,$E$3)),"")</x:f>
      </x:c>
      <x:c r="AU254" s="68" t="str">
        <x:f>IF(COLUMN()-2&lt;=$E$3,INDEX($B$10:$B$59,RANDBETWEEN(1,$E$3)),"")</x:f>
      </x:c>
      <x:c r="AV254" s="68" t="str">
        <x:f>IF(COLUMN()-2&lt;=$E$3,INDEX($B$10:$B$59,RANDBETWEEN(1,$E$3)),"")</x:f>
      </x:c>
      <x:c r="AW254" s="68" t="str">
        <x:f>IF(COLUMN()-2&lt;=$E$3,INDEX($B$10:$B$59,RANDBETWEEN(1,$E$3)),"")</x:f>
      </x:c>
      <x:c r="AX254" s="68" t="str">
        <x:f>IF(COLUMN()-2&lt;=$E$3,INDEX($B$10:$B$59,RANDBETWEEN(1,$E$3)),"")</x:f>
      </x:c>
      <x:c r="AY254" s="68" t="str">
        <x:f>IF(COLUMN()-2&lt;=$E$3,INDEX($B$10:$B$59,RANDBETWEEN(1,$E$3)),"")</x:f>
      </x:c>
      <x:c r="AZ254" s="68" t="str">
        <x:f>IF(COLUMN()-2&lt;=$E$3,INDEX($B$10:$B$59,RANDBETWEEN(1,$E$3)),"")</x:f>
      </x:c>
      <x:c r="BA254" s="68" t="str">
        <x:f>IF($E$3=0,"",AVERAGE(C254:AZ254))</x:f>
      </x:c>
    </x:row>
    <x:row r="255">
      <x:c r="A255" t="n">
        <x:v>191</x:v>
      </x:c>
      <x:c r="C255" s="68" t="str">
        <x:f>IF(COLUMN()-2&lt;=$E$3,INDEX($B$10:$B$59,RANDBETWEEN(1,$E$3)),"")</x:f>
      </x:c>
      <x:c r="D255" s="68" t="str">
        <x:f>IF(COLUMN()-2&lt;=$E$3,INDEX($B$10:$B$59,RANDBETWEEN(1,$E$3)),"")</x:f>
      </x:c>
      <x:c r="E255" s="68" t="str">
        <x:f>IF(COLUMN()-2&lt;=$E$3,INDEX($B$10:$B$59,RANDBETWEEN(1,$E$3)),"")</x:f>
      </x:c>
      <x:c r="F255" s="68" t="str">
        <x:f>IF(COLUMN()-2&lt;=$E$3,INDEX($B$10:$B$59,RANDBETWEEN(1,$E$3)),"")</x:f>
      </x:c>
      <x:c r="G255" s="68" t="str">
        <x:f>IF(COLUMN()-2&lt;=$E$3,INDEX($B$10:$B$59,RANDBETWEEN(1,$E$3)),"")</x:f>
      </x:c>
      <x:c r="H255" s="68" t="str">
        <x:f>IF(COLUMN()-2&lt;=$E$3,INDEX($B$10:$B$59,RANDBETWEEN(1,$E$3)),"")</x:f>
      </x:c>
      <x:c r="I255" s="68" t="str">
        <x:f>IF(COLUMN()-2&lt;=$E$3,INDEX($B$10:$B$59,RANDBETWEEN(1,$E$3)),"")</x:f>
      </x:c>
      <x:c r="J255" s="68" t="str">
        <x:f>IF(COLUMN()-2&lt;=$E$3,INDEX($B$10:$B$59,RANDBETWEEN(1,$E$3)),"")</x:f>
      </x:c>
      <x:c r="K255" s="68" t="str">
        <x:f>IF(COLUMN()-2&lt;=$E$3,INDEX($B$10:$B$59,RANDBETWEEN(1,$E$3)),"")</x:f>
      </x:c>
      <x:c r="L255" s="68" t="str">
        <x:f>IF(COLUMN()-2&lt;=$E$3,INDEX($B$10:$B$59,RANDBETWEEN(1,$E$3)),"")</x:f>
      </x:c>
      <x:c r="M255" s="68" t="str">
        <x:f>IF(COLUMN()-2&lt;=$E$3,INDEX($B$10:$B$59,RANDBETWEEN(1,$E$3)),"")</x:f>
      </x:c>
      <x:c r="N255" s="68" t="str">
        <x:f>IF(COLUMN()-2&lt;=$E$3,INDEX($B$10:$B$59,RANDBETWEEN(1,$E$3)),"")</x:f>
      </x:c>
      <x:c r="O255" s="68" t="str">
        <x:f>IF(COLUMN()-2&lt;=$E$3,INDEX($B$10:$B$59,RANDBETWEEN(1,$E$3)),"")</x:f>
      </x:c>
      <x:c r="P255" s="68" t="str">
        <x:f>IF(COLUMN()-2&lt;=$E$3,INDEX($B$10:$B$59,RANDBETWEEN(1,$E$3)),"")</x:f>
      </x:c>
      <x:c r="Q255" s="68" t="str">
        <x:f>IF(COLUMN()-2&lt;=$E$3,INDEX($B$10:$B$59,RANDBETWEEN(1,$E$3)),"")</x:f>
      </x:c>
      <x:c r="R255" s="68" t="str">
        <x:f>IF(COLUMN()-2&lt;=$E$3,INDEX($B$10:$B$59,RANDBETWEEN(1,$E$3)),"")</x:f>
      </x:c>
      <x:c r="S255" s="68" t="str">
        <x:f>IF(COLUMN()-2&lt;=$E$3,INDEX($B$10:$B$59,RANDBETWEEN(1,$E$3)),"")</x:f>
      </x:c>
      <x:c r="T255" s="68" t="str">
        <x:f>IF(COLUMN()-2&lt;=$E$3,INDEX($B$10:$B$59,RANDBETWEEN(1,$E$3)),"")</x:f>
      </x:c>
      <x:c r="U255" s="68" t="str">
        <x:f>IF(COLUMN()-2&lt;=$E$3,INDEX($B$10:$B$59,RANDBETWEEN(1,$E$3)),"")</x:f>
      </x:c>
      <x:c r="V255" s="68" t="str">
        <x:f>IF(COLUMN()-2&lt;=$E$3,INDEX($B$10:$B$59,RANDBETWEEN(1,$E$3)),"")</x:f>
      </x:c>
      <x:c r="W255" s="68" t="str">
        <x:f>IF(COLUMN()-2&lt;=$E$3,INDEX($B$10:$B$59,RANDBETWEEN(1,$E$3)),"")</x:f>
      </x:c>
      <x:c r="X255" s="68" t="str">
        <x:f>IF(COLUMN()-2&lt;=$E$3,INDEX($B$10:$B$59,RANDBETWEEN(1,$E$3)),"")</x:f>
      </x:c>
      <x:c r="Y255" s="68" t="str">
        <x:f>IF(COLUMN()-2&lt;=$E$3,INDEX($B$10:$B$59,RANDBETWEEN(1,$E$3)),"")</x:f>
      </x:c>
      <x:c r="Z255" s="68" t="str">
        <x:f>IF(COLUMN()-2&lt;=$E$3,INDEX($B$10:$B$59,RANDBETWEEN(1,$E$3)),"")</x:f>
      </x:c>
      <x:c r="AA255" s="68" t="str">
        <x:f>IF(COLUMN()-2&lt;=$E$3,INDEX($B$10:$B$59,RANDBETWEEN(1,$E$3)),"")</x:f>
      </x:c>
      <x:c r="AB255" s="68" t="str">
        <x:f>IF(COLUMN()-2&lt;=$E$3,INDEX($B$10:$B$59,RANDBETWEEN(1,$E$3)),"")</x:f>
      </x:c>
      <x:c r="AC255" s="68" t="str">
        <x:f>IF(COLUMN()-2&lt;=$E$3,INDEX($B$10:$B$59,RANDBETWEEN(1,$E$3)),"")</x:f>
      </x:c>
      <x:c r="AD255" s="68" t="str">
        <x:f>IF(COLUMN()-2&lt;=$E$3,INDEX($B$10:$B$59,RANDBETWEEN(1,$E$3)),"")</x:f>
      </x:c>
      <x:c r="AE255" s="68" t="str">
        <x:f>IF(COLUMN()-2&lt;=$E$3,INDEX($B$10:$B$59,RANDBETWEEN(1,$E$3)),"")</x:f>
      </x:c>
      <x:c r="AF255" s="68" t="str">
        <x:f>IF(COLUMN()-2&lt;=$E$3,INDEX($B$10:$B$59,RANDBETWEEN(1,$E$3)),"")</x:f>
      </x:c>
      <x:c r="AG255" s="68" t="str">
        <x:f>IF(COLUMN()-2&lt;=$E$3,INDEX($B$10:$B$59,RANDBETWEEN(1,$E$3)),"")</x:f>
      </x:c>
      <x:c r="AH255" s="68" t="str">
        <x:f>IF(COLUMN()-2&lt;=$E$3,INDEX($B$10:$B$59,RANDBETWEEN(1,$E$3)),"")</x:f>
      </x:c>
      <x:c r="AI255" s="68" t="str">
        <x:f>IF(COLUMN()-2&lt;=$E$3,INDEX($B$10:$B$59,RANDBETWEEN(1,$E$3)),"")</x:f>
      </x:c>
      <x:c r="AJ255" s="68" t="str">
        <x:f>IF(COLUMN()-2&lt;=$E$3,INDEX($B$10:$B$59,RANDBETWEEN(1,$E$3)),"")</x:f>
      </x:c>
      <x:c r="AK255" s="68" t="str">
        <x:f>IF(COLUMN()-2&lt;=$E$3,INDEX($B$10:$B$59,RANDBETWEEN(1,$E$3)),"")</x:f>
      </x:c>
      <x:c r="AL255" s="68" t="str">
        <x:f>IF(COLUMN()-2&lt;=$E$3,INDEX($B$10:$B$59,RANDBETWEEN(1,$E$3)),"")</x:f>
      </x:c>
      <x:c r="AM255" s="68" t="str">
        <x:f>IF(COLUMN()-2&lt;=$E$3,INDEX($B$10:$B$59,RANDBETWEEN(1,$E$3)),"")</x:f>
      </x:c>
      <x:c r="AN255" s="68" t="str">
        <x:f>IF(COLUMN()-2&lt;=$E$3,INDEX($B$10:$B$59,RANDBETWEEN(1,$E$3)),"")</x:f>
      </x:c>
      <x:c r="AO255" s="68" t="str">
        <x:f>IF(COLUMN()-2&lt;=$E$3,INDEX($B$10:$B$59,RANDBETWEEN(1,$E$3)),"")</x:f>
      </x:c>
      <x:c r="AP255" s="68" t="str">
        <x:f>IF(COLUMN()-2&lt;=$E$3,INDEX($B$10:$B$59,RANDBETWEEN(1,$E$3)),"")</x:f>
      </x:c>
      <x:c r="AQ255" s="68" t="str">
        <x:f>IF(COLUMN()-2&lt;=$E$3,INDEX($B$10:$B$59,RANDBETWEEN(1,$E$3)),"")</x:f>
      </x:c>
      <x:c r="AR255" s="68" t="str">
        <x:f>IF(COLUMN()-2&lt;=$E$3,INDEX($B$10:$B$59,RANDBETWEEN(1,$E$3)),"")</x:f>
      </x:c>
      <x:c r="AS255" s="68" t="str">
        <x:f>IF(COLUMN()-2&lt;=$E$3,INDEX($B$10:$B$59,RANDBETWEEN(1,$E$3)),"")</x:f>
      </x:c>
      <x:c r="AT255" s="68" t="str">
        <x:f>IF(COLUMN()-2&lt;=$E$3,INDEX($B$10:$B$59,RANDBETWEEN(1,$E$3)),"")</x:f>
      </x:c>
      <x:c r="AU255" s="68" t="str">
        <x:f>IF(COLUMN()-2&lt;=$E$3,INDEX($B$10:$B$59,RANDBETWEEN(1,$E$3)),"")</x:f>
      </x:c>
      <x:c r="AV255" s="68" t="str">
        <x:f>IF(COLUMN()-2&lt;=$E$3,INDEX($B$10:$B$59,RANDBETWEEN(1,$E$3)),"")</x:f>
      </x:c>
      <x:c r="AW255" s="68" t="str">
        <x:f>IF(COLUMN()-2&lt;=$E$3,INDEX($B$10:$B$59,RANDBETWEEN(1,$E$3)),"")</x:f>
      </x:c>
      <x:c r="AX255" s="68" t="str">
        <x:f>IF(COLUMN()-2&lt;=$E$3,INDEX($B$10:$B$59,RANDBETWEEN(1,$E$3)),"")</x:f>
      </x:c>
      <x:c r="AY255" s="68" t="str">
        <x:f>IF(COLUMN()-2&lt;=$E$3,INDEX($B$10:$B$59,RANDBETWEEN(1,$E$3)),"")</x:f>
      </x:c>
      <x:c r="AZ255" s="68" t="str">
        <x:f>IF(COLUMN()-2&lt;=$E$3,INDEX($B$10:$B$59,RANDBETWEEN(1,$E$3)),"")</x:f>
      </x:c>
      <x:c r="BA255" s="68" t="str">
        <x:f>IF($E$3=0,"",AVERAGE(C255:AZ255))</x:f>
      </x:c>
    </x:row>
    <x:row r="256">
      <x:c r="A256" t="n">
        <x:v>192</x:v>
      </x:c>
      <x:c r="C256" s="68" t="str">
        <x:f>IF(COLUMN()-2&lt;=$E$3,INDEX($B$10:$B$59,RANDBETWEEN(1,$E$3)),"")</x:f>
      </x:c>
      <x:c r="D256" s="68" t="str">
        <x:f>IF(COLUMN()-2&lt;=$E$3,INDEX($B$10:$B$59,RANDBETWEEN(1,$E$3)),"")</x:f>
      </x:c>
      <x:c r="E256" s="68" t="str">
        <x:f>IF(COLUMN()-2&lt;=$E$3,INDEX($B$10:$B$59,RANDBETWEEN(1,$E$3)),"")</x:f>
      </x:c>
      <x:c r="F256" s="68" t="str">
        <x:f>IF(COLUMN()-2&lt;=$E$3,INDEX($B$10:$B$59,RANDBETWEEN(1,$E$3)),"")</x:f>
      </x:c>
      <x:c r="G256" s="68" t="str">
        <x:f>IF(COLUMN()-2&lt;=$E$3,INDEX($B$10:$B$59,RANDBETWEEN(1,$E$3)),"")</x:f>
      </x:c>
      <x:c r="H256" s="68" t="str">
        <x:f>IF(COLUMN()-2&lt;=$E$3,INDEX($B$10:$B$59,RANDBETWEEN(1,$E$3)),"")</x:f>
      </x:c>
      <x:c r="I256" s="68" t="str">
        <x:f>IF(COLUMN()-2&lt;=$E$3,INDEX($B$10:$B$59,RANDBETWEEN(1,$E$3)),"")</x:f>
      </x:c>
      <x:c r="J256" s="68" t="str">
        <x:f>IF(COLUMN()-2&lt;=$E$3,INDEX($B$10:$B$59,RANDBETWEEN(1,$E$3)),"")</x:f>
      </x:c>
      <x:c r="K256" s="68" t="str">
        <x:f>IF(COLUMN()-2&lt;=$E$3,INDEX($B$10:$B$59,RANDBETWEEN(1,$E$3)),"")</x:f>
      </x:c>
      <x:c r="L256" s="68" t="str">
        <x:f>IF(COLUMN()-2&lt;=$E$3,INDEX($B$10:$B$59,RANDBETWEEN(1,$E$3)),"")</x:f>
      </x:c>
      <x:c r="M256" s="68" t="str">
        <x:f>IF(COLUMN()-2&lt;=$E$3,INDEX($B$10:$B$59,RANDBETWEEN(1,$E$3)),"")</x:f>
      </x:c>
      <x:c r="N256" s="68" t="str">
        <x:f>IF(COLUMN()-2&lt;=$E$3,INDEX($B$10:$B$59,RANDBETWEEN(1,$E$3)),"")</x:f>
      </x:c>
      <x:c r="O256" s="68" t="str">
        <x:f>IF(COLUMN()-2&lt;=$E$3,INDEX($B$10:$B$59,RANDBETWEEN(1,$E$3)),"")</x:f>
      </x:c>
      <x:c r="P256" s="68" t="str">
        <x:f>IF(COLUMN()-2&lt;=$E$3,INDEX($B$10:$B$59,RANDBETWEEN(1,$E$3)),"")</x:f>
      </x:c>
      <x:c r="Q256" s="68" t="str">
        <x:f>IF(COLUMN()-2&lt;=$E$3,INDEX($B$10:$B$59,RANDBETWEEN(1,$E$3)),"")</x:f>
      </x:c>
      <x:c r="R256" s="68" t="str">
        <x:f>IF(COLUMN()-2&lt;=$E$3,INDEX($B$10:$B$59,RANDBETWEEN(1,$E$3)),"")</x:f>
      </x:c>
      <x:c r="S256" s="68" t="str">
        <x:f>IF(COLUMN()-2&lt;=$E$3,INDEX($B$10:$B$59,RANDBETWEEN(1,$E$3)),"")</x:f>
      </x:c>
      <x:c r="T256" s="68" t="str">
        <x:f>IF(COLUMN()-2&lt;=$E$3,INDEX($B$10:$B$59,RANDBETWEEN(1,$E$3)),"")</x:f>
      </x:c>
      <x:c r="U256" s="68" t="str">
        <x:f>IF(COLUMN()-2&lt;=$E$3,INDEX($B$10:$B$59,RANDBETWEEN(1,$E$3)),"")</x:f>
      </x:c>
      <x:c r="V256" s="68" t="str">
        <x:f>IF(COLUMN()-2&lt;=$E$3,INDEX($B$10:$B$59,RANDBETWEEN(1,$E$3)),"")</x:f>
      </x:c>
      <x:c r="W256" s="68" t="str">
        <x:f>IF(COLUMN()-2&lt;=$E$3,INDEX($B$10:$B$59,RANDBETWEEN(1,$E$3)),"")</x:f>
      </x:c>
      <x:c r="X256" s="68" t="str">
        <x:f>IF(COLUMN()-2&lt;=$E$3,INDEX($B$10:$B$59,RANDBETWEEN(1,$E$3)),"")</x:f>
      </x:c>
      <x:c r="Y256" s="68" t="str">
        <x:f>IF(COLUMN()-2&lt;=$E$3,INDEX($B$10:$B$59,RANDBETWEEN(1,$E$3)),"")</x:f>
      </x:c>
      <x:c r="Z256" s="68" t="str">
        <x:f>IF(COLUMN()-2&lt;=$E$3,INDEX($B$10:$B$59,RANDBETWEEN(1,$E$3)),"")</x:f>
      </x:c>
      <x:c r="AA256" s="68" t="str">
        <x:f>IF(COLUMN()-2&lt;=$E$3,INDEX($B$10:$B$59,RANDBETWEEN(1,$E$3)),"")</x:f>
      </x:c>
      <x:c r="AB256" s="68" t="str">
        <x:f>IF(COLUMN()-2&lt;=$E$3,INDEX($B$10:$B$59,RANDBETWEEN(1,$E$3)),"")</x:f>
      </x:c>
      <x:c r="AC256" s="68" t="str">
        <x:f>IF(COLUMN()-2&lt;=$E$3,INDEX($B$10:$B$59,RANDBETWEEN(1,$E$3)),"")</x:f>
      </x:c>
      <x:c r="AD256" s="68" t="str">
        <x:f>IF(COLUMN()-2&lt;=$E$3,INDEX($B$10:$B$59,RANDBETWEEN(1,$E$3)),"")</x:f>
      </x:c>
      <x:c r="AE256" s="68" t="str">
        <x:f>IF(COLUMN()-2&lt;=$E$3,INDEX($B$10:$B$59,RANDBETWEEN(1,$E$3)),"")</x:f>
      </x:c>
      <x:c r="AF256" s="68" t="str">
        <x:f>IF(COLUMN()-2&lt;=$E$3,INDEX($B$10:$B$59,RANDBETWEEN(1,$E$3)),"")</x:f>
      </x:c>
      <x:c r="AG256" s="68" t="str">
        <x:f>IF(COLUMN()-2&lt;=$E$3,INDEX($B$10:$B$59,RANDBETWEEN(1,$E$3)),"")</x:f>
      </x:c>
      <x:c r="AH256" s="68" t="str">
        <x:f>IF(COLUMN()-2&lt;=$E$3,INDEX($B$10:$B$59,RANDBETWEEN(1,$E$3)),"")</x:f>
      </x:c>
      <x:c r="AI256" s="68" t="str">
        <x:f>IF(COLUMN()-2&lt;=$E$3,INDEX($B$10:$B$59,RANDBETWEEN(1,$E$3)),"")</x:f>
      </x:c>
      <x:c r="AJ256" s="68" t="str">
        <x:f>IF(COLUMN()-2&lt;=$E$3,INDEX($B$10:$B$59,RANDBETWEEN(1,$E$3)),"")</x:f>
      </x:c>
      <x:c r="AK256" s="68" t="str">
        <x:f>IF(COLUMN()-2&lt;=$E$3,INDEX($B$10:$B$59,RANDBETWEEN(1,$E$3)),"")</x:f>
      </x:c>
      <x:c r="AL256" s="68" t="str">
        <x:f>IF(COLUMN()-2&lt;=$E$3,INDEX($B$10:$B$59,RANDBETWEEN(1,$E$3)),"")</x:f>
      </x:c>
      <x:c r="AM256" s="68" t="str">
        <x:f>IF(COLUMN()-2&lt;=$E$3,INDEX($B$10:$B$59,RANDBETWEEN(1,$E$3)),"")</x:f>
      </x:c>
      <x:c r="AN256" s="68" t="str">
        <x:f>IF(COLUMN()-2&lt;=$E$3,INDEX($B$10:$B$59,RANDBETWEEN(1,$E$3)),"")</x:f>
      </x:c>
      <x:c r="AO256" s="68" t="str">
        <x:f>IF(COLUMN()-2&lt;=$E$3,INDEX($B$10:$B$59,RANDBETWEEN(1,$E$3)),"")</x:f>
      </x:c>
      <x:c r="AP256" s="68" t="str">
        <x:f>IF(COLUMN()-2&lt;=$E$3,INDEX($B$10:$B$59,RANDBETWEEN(1,$E$3)),"")</x:f>
      </x:c>
      <x:c r="AQ256" s="68" t="str">
        <x:f>IF(COLUMN()-2&lt;=$E$3,INDEX($B$10:$B$59,RANDBETWEEN(1,$E$3)),"")</x:f>
      </x:c>
      <x:c r="AR256" s="68" t="str">
        <x:f>IF(COLUMN()-2&lt;=$E$3,INDEX($B$10:$B$59,RANDBETWEEN(1,$E$3)),"")</x:f>
      </x:c>
      <x:c r="AS256" s="68" t="str">
        <x:f>IF(COLUMN()-2&lt;=$E$3,INDEX($B$10:$B$59,RANDBETWEEN(1,$E$3)),"")</x:f>
      </x:c>
      <x:c r="AT256" s="68" t="str">
        <x:f>IF(COLUMN()-2&lt;=$E$3,INDEX($B$10:$B$59,RANDBETWEEN(1,$E$3)),"")</x:f>
      </x:c>
      <x:c r="AU256" s="68" t="str">
        <x:f>IF(COLUMN()-2&lt;=$E$3,INDEX($B$10:$B$59,RANDBETWEEN(1,$E$3)),"")</x:f>
      </x:c>
      <x:c r="AV256" s="68" t="str">
        <x:f>IF(COLUMN()-2&lt;=$E$3,INDEX($B$10:$B$59,RANDBETWEEN(1,$E$3)),"")</x:f>
      </x:c>
      <x:c r="AW256" s="68" t="str">
        <x:f>IF(COLUMN()-2&lt;=$E$3,INDEX($B$10:$B$59,RANDBETWEEN(1,$E$3)),"")</x:f>
      </x:c>
      <x:c r="AX256" s="68" t="str">
        <x:f>IF(COLUMN()-2&lt;=$E$3,INDEX($B$10:$B$59,RANDBETWEEN(1,$E$3)),"")</x:f>
      </x:c>
      <x:c r="AY256" s="68" t="str">
        <x:f>IF(COLUMN()-2&lt;=$E$3,INDEX($B$10:$B$59,RANDBETWEEN(1,$E$3)),"")</x:f>
      </x:c>
      <x:c r="AZ256" s="68" t="str">
        <x:f>IF(COLUMN()-2&lt;=$E$3,INDEX($B$10:$B$59,RANDBETWEEN(1,$E$3)),"")</x:f>
      </x:c>
      <x:c r="BA256" s="68" t="str">
        <x:f>IF($E$3=0,"",AVERAGE(C256:AZ256))</x:f>
      </x:c>
    </x:row>
    <x:row r="257">
      <x:c r="A257" t="n">
        <x:v>193</x:v>
      </x:c>
      <x:c r="C257" s="68" t="str">
        <x:f>IF(COLUMN()-2&lt;=$E$3,INDEX($B$10:$B$59,RANDBETWEEN(1,$E$3)),"")</x:f>
      </x:c>
      <x:c r="D257" s="68" t="str">
        <x:f>IF(COLUMN()-2&lt;=$E$3,INDEX($B$10:$B$59,RANDBETWEEN(1,$E$3)),"")</x:f>
      </x:c>
      <x:c r="E257" s="68" t="str">
        <x:f>IF(COLUMN()-2&lt;=$E$3,INDEX($B$10:$B$59,RANDBETWEEN(1,$E$3)),"")</x:f>
      </x:c>
      <x:c r="F257" s="68" t="str">
        <x:f>IF(COLUMN()-2&lt;=$E$3,INDEX($B$10:$B$59,RANDBETWEEN(1,$E$3)),"")</x:f>
      </x:c>
      <x:c r="G257" s="68" t="str">
        <x:f>IF(COLUMN()-2&lt;=$E$3,INDEX($B$10:$B$59,RANDBETWEEN(1,$E$3)),"")</x:f>
      </x:c>
      <x:c r="H257" s="68" t="str">
        <x:f>IF(COLUMN()-2&lt;=$E$3,INDEX($B$10:$B$59,RANDBETWEEN(1,$E$3)),"")</x:f>
      </x:c>
      <x:c r="I257" s="68" t="str">
        <x:f>IF(COLUMN()-2&lt;=$E$3,INDEX($B$10:$B$59,RANDBETWEEN(1,$E$3)),"")</x:f>
      </x:c>
      <x:c r="J257" s="68" t="str">
        <x:f>IF(COLUMN()-2&lt;=$E$3,INDEX($B$10:$B$59,RANDBETWEEN(1,$E$3)),"")</x:f>
      </x:c>
      <x:c r="K257" s="68" t="str">
        <x:f>IF(COLUMN()-2&lt;=$E$3,INDEX($B$10:$B$59,RANDBETWEEN(1,$E$3)),"")</x:f>
      </x:c>
      <x:c r="L257" s="68" t="str">
        <x:f>IF(COLUMN()-2&lt;=$E$3,INDEX($B$10:$B$59,RANDBETWEEN(1,$E$3)),"")</x:f>
      </x:c>
      <x:c r="M257" s="68" t="str">
        <x:f>IF(COLUMN()-2&lt;=$E$3,INDEX($B$10:$B$59,RANDBETWEEN(1,$E$3)),"")</x:f>
      </x:c>
      <x:c r="N257" s="68" t="str">
        <x:f>IF(COLUMN()-2&lt;=$E$3,INDEX($B$10:$B$59,RANDBETWEEN(1,$E$3)),"")</x:f>
      </x:c>
      <x:c r="O257" s="68" t="str">
        <x:f>IF(COLUMN()-2&lt;=$E$3,INDEX($B$10:$B$59,RANDBETWEEN(1,$E$3)),"")</x:f>
      </x:c>
      <x:c r="P257" s="68" t="str">
        <x:f>IF(COLUMN()-2&lt;=$E$3,INDEX($B$10:$B$59,RANDBETWEEN(1,$E$3)),"")</x:f>
      </x:c>
      <x:c r="Q257" s="68" t="str">
        <x:f>IF(COLUMN()-2&lt;=$E$3,INDEX($B$10:$B$59,RANDBETWEEN(1,$E$3)),"")</x:f>
      </x:c>
      <x:c r="R257" s="68" t="str">
        <x:f>IF(COLUMN()-2&lt;=$E$3,INDEX($B$10:$B$59,RANDBETWEEN(1,$E$3)),"")</x:f>
      </x:c>
      <x:c r="S257" s="68" t="str">
        <x:f>IF(COLUMN()-2&lt;=$E$3,INDEX($B$10:$B$59,RANDBETWEEN(1,$E$3)),"")</x:f>
      </x:c>
      <x:c r="T257" s="68" t="str">
        <x:f>IF(COLUMN()-2&lt;=$E$3,INDEX($B$10:$B$59,RANDBETWEEN(1,$E$3)),"")</x:f>
      </x:c>
      <x:c r="U257" s="68" t="str">
        <x:f>IF(COLUMN()-2&lt;=$E$3,INDEX($B$10:$B$59,RANDBETWEEN(1,$E$3)),"")</x:f>
      </x:c>
      <x:c r="V257" s="68" t="str">
        <x:f>IF(COLUMN()-2&lt;=$E$3,INDEX($B$10:$B$59,RANDBETWEEN(1,$E$3)),"")</x:f>
      </x:c>
      <x:c r="W257" s="68" t="str">
        <x:f>IF(COLUMN()-2&lt;=$E$3,INDEX($B$10:$B$59,RANDBETWEEN(1,$E$3)),"")</x:f>
      </x:c>
      <x:c r="X257" s="68" t="str">
        <x:f>IF(COLUMN()-2&lt;=$E$3,INDEX($B$10:$B$59,RANDBETWEEN(1,$E$3)),"")</x:f>
      </x:c>
      <x:c r="Y257" s="68" t="str">
        <x:f>IF(COLUMN()-2&lt;=$E$3,INDEX($B$10:$B$59,RANDBETWEEN(1,$E$3)),"")</x:f>
      </x:c>
      <x:c r="Z257" s="68" t="str">
        <x:f>IF(COLUMN()-2&lt;=$E$3,INDEX($B$10:$B$59,RANDBETWEEN(1,$E$3)),"")</x:f>
      </x:c>
      <x:c r="AA257" s="68" t="str">
        <x:f>IF(COLUMN()-2&lt;=$E$3,INDEX($B$10:$B$59,RANDBETWEEN(1,$E$3)),"")</x:f>
      </x:c>
      <x:c r="AB257" s="68" t="str">
        <x:f>IF(COLUMN()-2&lt;=$E$3,INDEX($B$10:$B$59,RANDBETWEEN(1,$E$3)),"")</x:f>
      </x:c>
      <x:c r="AC257" s="68" t="str">
        <x:f>IF(COLUMN()-2&lt;=$E$3,INDEX($B$10:$B$59,RANDBETWEEN(1,$E$3)),"")</x:f>
      </x:c>
      <x:c r="AD257" s="68" t="str">
        <x:f>IF(COLUMN()-2&lt;=$E$3,INDEX($B$10:$B$59,RANDBETWEEN(1,$E$3)),"")</x:f>
      </x:c>
      <x:c r="AE257" s="68" t="str">
        <x:f>IF(COLUMN()-2&lt;=$E$3,INDEX($B$10:$B$59,RANDBETWEEN(1,$E$3)),"")</x:f>
      </x:c>
      <x:c r="AF257" s="68" t="str">
        <x:f>IF(COLUMN()-2&lt;=$E$3,INDEX($B$10:$B$59,RANDBETWEEN(1,$E$3)),"")</x:f>
      </x:c>
      <x:c r="AG257" s="68" t="str">
        <x:f>IF(COLUMN()-2&lt;=$E$3,INDEX($B$10:$B$59,RANDBETWEEN(1,$E$3)),"")</x:f>
      </x:c>
      <x:c r="AH257" s="68" t="str">
        <x:f>IF(COLUMN()-2&lt;=$E$3,INDEX($B$10:$B$59,RANDBETWEEN(1,$E$3)),"")</x:f>
      </x:c>
      <x:c r="AI257" s="68" t="str">
        <x:f>IF(COLUMN()-2&lt;=$E$3,INDEX($B$10:$B$59,RANDBETWEEN(1,$E$3)),"")</x:f>
      </x:c>
      <x:c r="AJ257" s="68" t="str">
        <x:f>IF(COLUMN()-2&lt;=$E$3,INDEX($B$10:$B$59,RANDBETWEEN(1,$E$3)),"")</x:f>
      </x:c>
      <x:c r="AK257" s="68" t="str">
        <x:f>IF(COLUMN()-2&lt;=$E$3,INDEX($B$10:$B$59,RANDBETWEEN(1,$E$3)),"")</x:f>
      </x:c>
      <x:c r="AL257" s="68" t="str">
        <x:f>IF(COLUMN()-2&lt;=$E$3,INDEX($B$10:$B$59,RANDBETWEEN(1,$E$3)),"")</x:f>
      </x:c>
      <x:c r="AM257" s="68" t="str">
        <x:f>IF(COLUMN()-2&lt;=$E$3,INDEX($B$10:$B$59,RANDBETWEEN(1,$E$3)),"")</x:f>
      </x:c>
      <x:c r="AN257" s="68" t="str">
        <x:f>IF(COLUMN()-2&lt;=$E$3,INDEX($B$10:$B$59,RANDBETWEEN(1,$E$3)),"")</x:f>
      </x:c>
      <x:c r="AO257" s="68" t="str">
        <x:f>IF(COLUMN()-2&lt;=$E$3,INDEX($B$10:$B$59,RANDBETWEEN(1,$E$3)),"")</x:f>
      </x:c>
      <x:c r="AP257" s="68" t="str">
        <x:f>IF(COLUMN()-2&lt;=$E$3,INDEX($B$10:$B$59,RANDBETWEEN(1,$E$3)),"")</x:f>
      </x:c>
      <x:c r="AQ257" s="68" t="str">
        <x:f>IF(COLUMN()-2&lt;=$E$3,INDEX($B$10:$B$59,RANDBETWEEN(1,$E$3)),"")</x:f>
      </x:c>
      <x:c r="AR257" s="68" t="str">
        <x:f>IF(COLUMN()-2&lt;=$E$3,INDEX($B$10:$B$59,RANDBETWEEN(1,$E$3)),"")</x:f>
      </x:c>
      <x:c r="AS257" s="68" t="str">
        <x:f>IF(COLUMN()-2&lt;=$E$3,INDEX($B$10:$B$59,RANDBETWEEN(1,$E$3)),"")</x:f>
      </x:c>
      <x:c r="AT257" s="68" t="str">
        <x:f>IF(COLUMN()-2&lt;=$E$3,INDEX($B$10:$B$59,RANDBETWEEN(1,$E$3)),"")</x:f>
      </x:c>
      <x:c r="AU257" s="68" t="str">
        <x:f>IF(COLUMN()-2&lt;=$E$3,INDEX($B$10:$B$59,RANDBETWEEN(1,$E$3)),"")</x:f>
      </x:c>
      <x:c r="AV257" s="68" t="str">
        <x:f>IF(COLUMN()-2&lt;=$E$3,INDEX($B$10:$B$59,RANDBETWEEN(1,$E$3)),"")</x:f>
      </x:c>
      <x:c r="AW257" s="68" t="str">
        <x:f>IF(COLUMN()-2&lt;=$E$3,INDEX($B$10:$B$59,RANDBETWEEN(1,$E$3)),"")</x:f>
      </x:c>
      <x:c r="AX257" s="68" t="str">
        <x:f>IF(COLUMN()-2&lt;=$E$3,INDEX($B$10:$B$59,RANDBETWEEN(1,$E$3)),"")</x:f>
      </x:c>
      <x:c r="AY257" s="68" t="str">
        <x:f>IF(COLUMN()-2&lt;=$E$3,INDEX($B$10:$B$59,RANDBETWEEN(1,$E$3)),"")</x:f>
      </x:c>
      <x:c r="AZ257" s="68" t="str">
        <x:f>IF(COLUMN()-2&lt;=$E$3,INDEX($B$10:$B$59,RANDBETWEEN(1,$E$3)),"")</x:f>
      </x:c>
      <x:c r="BA257" s="68" t="str">
        <x:f>IF($E$3=0,"",AVERAGE(C257:AZ257))</x:f>
      </x:c>
    </x:row>
    <x:row r="258">
      <x:c r="A258" t="n">
        <x:v>194</x:v>
      </x:c>
      <x:c r="C258" s="68" t="str">
        <x:f>IF(COLUMN()-2&lt;=$E$3,INDEX($B$10:$B$59,RANDBETWEEN(1,$E$3)),"")</x:f>
      </x:c>
      <x:c r="D258" s="68" t="str">
        <x:f>IF(COLUMN()-2&lt;=$E$3,INDEX($B$10:$B$59,RANDBETWEEN(1,$E$3)),"")</x:f>
      </x:c>
      <x:c r="E258" s="68" t="str">
        <x:f>IF(COLUMN()-2&lt;=$E$3,INDEX($B$10:$B$59,RANDBETWEEN(1,$E$3)),"")</x:f>
      </x:c>
      <x:c r="F258" s="68" t="str">
        <x:f>IF(COLUMN()-2&lt;=$E$3,INDEX($B$10:$B$59,RANDBETWEEN(1,$E$3)),"")</x:f>
      </x:c>
      <x:c r="G258" s="68" t="str">
        <x:f>IF(COLUMN()-2&lt;=$E$3,INDEX($B$10:$B$59,RANDBETWEEN(1,$E$3)),"")</x:f>
      </x:c>
      <x:c r="H258" s="68" t="str">
        <x:f>IF(COLUMN()-2&lt;=$E$3,INDEX($B$10:$B$59,RANDBETWEEN(1,$E$3)),"")</x:f>
      </x:c>
      <x:c r="I258" s="68" t="str">
        <x:f>IF(COLUMN()-2&lt;=$E$3,INDEX($B$10:$B$59,RANDBETWEEN(1,$E$3)),"")</x:f>
      </x:c>
      <x:c r="J258" s="68" t="str">
        <x:f>IF(COLUMN()-2&lt;=$E$3,INDEX($B$10:$B$59,RANDBETWEEN(1,$E$3)),"")</x:f>
      </x:c>
      <x:c r="K258" s="68" t="str">
        <x:f>IF(COLUMN()-2&lt;=$E$3,INDEX($B$10:$B$59,RANDBETWEEN(1,$E$3)),"")</x:f>
      </x:c>
      <x:c r="L258" s="68" t="str">
        <x:f>IF(COLUMN()-2&lt;=$E$3,INDEX($B$10:$B$59,RANDBETWEEN(1,$E$3)),"")</x:f>
      </x:c>
      <x:c r="M258" s="68" t="str">
        <x:f>IF(COLUMN()-2&lt;=$E$3,INDEX($B$10:$B$59,RANDBETWEEN(1,$E$3)),"")</x:f>
      </x:c>
      <x:c r="N258" s="68" t="str">
        <x:f>IF(COLUMN()-2&lt;=$E$3,INDEX($B$10:$B$59,RANDBETWEEN(1,$E$3)),"")</x:f>
      </x:c>
      <x:c r="O258" s="68" t="str">
        <x:f>IF(COLUMN()-2&lt;=$E$3,INDEX($B$10:$B$59,RANDBETWEEN(1,$E$3)),"")</x:f>
      </x:c>
      <x:c r="P258" s="68" t="str">
        <x:f>IF(COLUMN()-2&lt;=$E$3,INDEX($B$10:$B$59,RANDBETWEEN(1,$E$3)),"")</x:f>
      </x:c>
      <x:c r="Q258" s="68" t="str">
        <x:f>IF(COLUMN()-2&lt;=$E$3,INDEX($B$10:$B$59,RANDBETWEEN(1,$E$3)),"")</x:f>
      </x:c>
      <x:c r="R258" s="68" t="str">
        <x:f>IF(COLUMN()-2&lt;=$E$3,INDEX($B$10:$B$59,RANDBETWEEN(1,$E$3)),"")</x:f>
      </x:c>
      <x:c r="S258" s="68" t="str">
        <x:f>IF(COLUMN()-2&lt;=$E$3,INDEX($B$10:$B$59,RANDBETWEEN(1,$E$3)),"")</x:f>
      </x:c>
      <x:c r="T258" s="68" t="str">
        <x:f>IF(COLUMN()-2&lt;=$E$3,INDEX($B$10:$B$59,RANDBETWEEN(1,$E$3)),"")</x:f>
      </x:c>
      <x:c r="U258" s="68" t="str">
        <x:f>IF(COLUMN()-2&lt;=$E$3,INDEX($B$10:$B$59,RANDBETWEEN(1,$E$3)),"")</x:f>
      </x:c>
      <x:c r="V258" s="68" t="str">
        <x:f>IF(COLUMN()-2&lt;=$E$3,INDEX($B$10:$B$59,RANDBETWEEN(1,$E$3)),"")</x:f>
      </x:c>
      <x:c r="W258" s="68" t="str">
        <x:f>IF(COLUMN()-2&lt;=$E$3,INDEX($B$10:$B$59,RANDBETWEEN(1,$E$3)),"")</x:f>
      </x:c>
      <x:c r="X258" s="68" t="str">
        <x:f>IF(COLUMN()-2&lt;=$E$3,INDEX($B$10:$B$59,RANDBETWEEN(1,$E$3)),"")</x:f>
      </x:c>
      <x:c r="Y258" s="68" t="str">
        <x:f>IF(COLUMN()-2&lt;=$E$3,INDEX($B$10:$B$59,RANDBETWEEN(1,$E$3)),"")</x:f>
      </x:c>
      <x:c r="Z258" s="68" t="str">
        <x:f>IF(COLUMN()-2&lt;=$E$3,INDEX($B$10:$B$59,RANDBETWEEN(1,$E$3)),"")</x:f>
      </x:c>
      <x:c r="AA258" s="68" t="str">
        <x:f>IF(COLUMN()-2&lt;=$E$3,INDEX($B$10:$B$59,RANDBETWEEN(1,$E$3)),"")</x:f>
      </x:c>
      <x:c r="AB258" s="68" t="str">
        <x:f>IF(COLUMN()-2&lt;=$E$3,INDEX($B$10:$B$59,RANDBETWEEN(1,$E$3)),"")</x:f>
      </x:c>
      <x:c r="AC258" s="68" t="str">
        <x:f>IF(COLUMN()-2&lt;=$E$3,INDEX($B$10:$B$59,RANDBETWEEN(1,$E$3)),"")</x:f>
      </x:c>
      <x:c r="AD258" s="68" t="str">
        <x:f>IF(COLUMN()-2&lt;=$E$3,INDEX($B$10:$B$59,RANDBETWEEN(1,$E$3)),"")</x:f>
      </x:c>
      <x:c r="AE258" s="68" t="str">
        <x:f>IF(COLUMN()-2&lt;=$E$3,INDEX($B$10:$B$59,RANDBETWEEN(1,$E$3)),"")</x:f>
      </x:c>
      <x:c r="AF258" s="68" t="str">
        <x:f>IF(COLUMN()-2&lt;=$E$3,INDEX($B$10:$B$59,RANDBETWEEN(1,$E$3)),"")</x:f>
      </x:c>
      <x:c r="AG258" s="68" t="str">
        <x:f>IF(COLUMN()-2&lt;=$E$3,INDEX($B$10:$B$59,RANDBETWEEN(1,$E$3)),"")</x:f>
      </x:c>
      <x:c r="AH258" s="68" t="str">
        <x:f>IF(COLUMN()-2&lt;=$E$3,INDEX($B$10:$B$59,RANDBETWEEN(1,$E$3)),"")</x:f>
      </x:c>
      <x:c r="AI258" s="68" t="str">
        <x:f>IF(COLUMN()-2&lt;=$E$3,INDEX($B$10:$B$59,RANDBETWEEN(1,$E$3)),"")</x:f>
      </x:c>
      <x:c r="AJ258" s="68" t="str">
        <x:f>IF(COLUMN()-2&lt;=$E$3,INDEX($B$10:$B$59,RANDBETWEEN(1,$E$3)),"")</x:f>
      </x:c>
      <x:c r="AK258" s="68" t="str">
        <x:f>IF(COLUMN()-2&lt;=$E$3,INDEX($B$10:$B$59,RANDBETWEEN(1,$E$3)),"")</x:f>
      </x:c>
      <x:c r="AL258" s="68" t="str">
        <x:f>IF(COLUMN()-2&lt;=$E$3,INDEX($B$10:$B$59,RANDBETWEEN(1,$E$3)),"")</x:f>
      </x:c>
      <x:c r="AM258" s="68" t="str">
        <x:f>IF(COLUMN()-2&lt;=$E$3,INDEX($B$10:$B$59,RANDBETWEEN(1,$E$3)),"")</x:f>
      </x:c>
      <x:c r="AN258" s="68" t="str">
        <x:f>IF(COLUMN()-2&lt;=$E$3,INDEX($B$10:$B$59,RANDBETWEEN(1,$E$3)),"")</x:f>
      </x:c>
      <x:c r="AO258" s="68" t="str">
        <x:f>IF(COLUMN()-2&lt;=$E$3,INDEX($B$10:$B$59,RANDBETWEEN(1,$E$3)),"")</x:f>
      </x:c>
      <x:c r="AP258" s="68" t="str">
        <x:f>IF(COLUMN()-2&lt;=$E$3,INDEX($B$10:$B$59,RANDBETWEEN(1,$E$3)),"")</x:f>
      </x:c>
      <x:c r="AQ258" s="68" t="str">
        <x:f>IF(COLUMN()-2&lt;=$E$3,INDEX($B$10:$B$59,RANDBETWEEN(1,$E$3)),"")</x:f>
      </x:c>
      <x:c r="AR258" s="68" t="str">
        <x:f>IF(COLUMN()-2&lt;=$E$3,INDEX($B$10:$B$59,RANDBETWEEN(1,$E$3)),"")</x:f>
      </x:c>
      <x:c r="AS258" s="68" t="str">
        <x:f>IF(COLUMN()-2&lt;=$E$3,INDEX($B$10:$B$59,RANDBETWEEN(1,$E$3)),"")</x:f>
      </x:c>
      <x:c r="AT258" s="68" t="str">
        <x:f>IF(COLUMN()-2&lt;=$E$3,INDEX($B$10:$B$59,RANDBETWEEN(1,$E$3)),"")</x:f>
      </x:c>
      <x:c r="AU258" s="68" t="str">
        <x:f>IF(COLUMN()-2&lt;=$E$3,INDEX($B$10:$B$59,RANDBETWEEN(1,$E$3)),"")</x:f>
      </x:c>
      <x:c r="AV258" s="68" t="str">
        <x:f>IF(COLUMN()-2&lt;=$E$3,INDEX($B$10:$B$59,RANDBETWEEN(1,$E$3)),"")</x:f>
      </x:c>
      <x:c r="AW258" s="68" t="str">
        <x:f>IF(COLUMN()-2&lt;=$E$3,INDEX($B$10:$B$59,RANDBETWEEN(1,$E$3)),"")</x:f>
      </x:c>
      <x:c r="AX258" s="68" t="str">
        <x:f>IF(COLUMN()-2&lt;=$E$3,INDEX($B$10:$B$59,RANDBETWEEN(1,$E$3)),"")</x:f>
      </x:c>
      <x:c r="AY258" s="68" t="str">
        <x:f>IF(COLUMN()-2&lt;=$E$3,INDEX($B$10:$B$59,RANDBETWEEN(1,$E$3)),"")</x:f>
      </x:c>
      <x:c r="AZ258" s="68" t="str">
        <x:f>IF(COLUMN()-2&lt;=$E$3,INDEX($B$10:$B$59,RANDBETWEEN(1,$E$3)),"")</x:f>
      </x:c>
      <x:c r="BA258" s="68" t="str">
        <x:f>IF($E$3=0,"",AVERAGE(C258:AZ258))</x:f>
      </x:c>
    </x:row>
    <x:row r="259">
      <x:c r="A259" t="n">
        <x:v>195</x:v>
      </x:c>
      <x:c r="C259" s="68" t="str">
        <x:f>IF(COLUMN()-2&lt;=$E$3,INDEX($B$10:$B$59,RANDBETWEEN(1,$E$3)),"")</x:f>
      </x:c>
      <x:c r="D259" s="68" t="str">
        <x:f>IF(COLUMN()-2&lt;=$E$3,INDEX($B$10:$B$59,RANDBETWEEN(1,$E$3)),"")</x:f>
      </x:c>
      <x:c r="E259" s="68" t="str">
        <x:f>IF(COLUMN()-2&lt;=$E$3,INDEX($B$10:$B$59,RANDBETWEEN(1,$E$3)),"")</x:f>
      </x:c>
      <x:c r="F259" s="68" t="str">
        <x:f>IF(COLUMN()-2&lt;=$E$3,INDEX($B$10:$B$59,RANDBETWEEN(1,$E$3)),"")</x:f>
      </x:c>
      <x:c r="G259" s="68" t="str">
        <x:f>IF(COLUMN()-2&lt;=$E$3,INDEX($B$10:$B$59,RANDBETWEEN(1,$E$3)),"")</x:f>
      </x:c>
      <x:c r="H259" s="68" t="str">
        <x:f>IF(COLUMN()-2&lt;=$E$3,INDEX($B$10:$B$59,RANDBETWEEN(1,$E$3)),"")</x:f>
      </x:c>
      <x:c r="I259" s="68" t="str">
        <x:f>IF(COLUMN()-2&lt;=$E$3,INDEX($B$10:$B$59,RANDBETWEEN(1,$E$3)),"")</x:f>
      </x:c>
      <x:c r="J259" s="68" t="str">
        <x:f>IF(COLUMN()-2&lt;=$E$3,INDEX($B$10:$B$59,RANDBETWEEN(1,$E$3)),"")</x:f>
      </x:c>
      <x:c r="K259" s="68" t="str">
        <x:f>IF(COLUMN()-2&lt;=$E$3,INDEX($B$10:$B$59,RANDBETWEEN(1,$E$3)),"")</x:f>
      </x:c>
      <x:c r="L259" s="68" t="str">
        <x:f>IF(COLUMN()-2&lt;=$E$3,INDEX($B$10:$B$59,RANDBETWEEN(1,$E$3)),"")</x:f>
      </x:c>
      <x:c r="M259" s="68" t="str">
        <x:f>IF(COLUMN()-2&lt;=$E$3,INDEX($B$10:$B$59,RANDBETWEEN(1,$E$3)),"")</x:f>
      </x:c>
      <x:c r="N259" s="68" t="str">
        <x:f>IF(COLUMN()-2&lt;=$E$3,INDEX($B$10:$B$59,RANDBETWEEN(1,$E$3)),"")</x:f>
      </x:c>
      <x:c r="O259" s="68" t="str">
        <x:f>IF(COLUMN()-2&lt;=$E$3,INDEX($B$10:$B$59,RANDBETWEEN(1,$E$3)),"")</x:f>
      </x:c>
      <x:c r="P259" s="68" t="str">
        <x:f>IF(COLUMN()-2&lt;=$E$3,INDEX($B$10:$B$59,RANDBETWEEN(1,$E$3)),"")</x:f>
      </x:c>
      <x:c r="Q259" s="68" t="str">
        <x:f>IF(COLUMN()-2&lt;=$E$3,INDEX($B$10:$B$59,RANDBETWEEN(1,$E$3)),"")</x:f>
      </x:c>
      <x:c r="R259" s="68" t="str">
        <x:f>IF(COLUMN()-2&lt;=$E$3,INDEX($B$10:$B$59,RANDBETWEEN(1,$E$3)),"")</x:f>
      </x:c>
      <x:c r="S259" s="68" t="str">
        <x:f>IF(COLUMN()-2&lt;=$E$3,INDEX($B$10:$B$59,RANDBETWEEN(1,$E$3)),"")</x:f>
      </x:c>
      <x:c r="T259" s="68" t="str">
        <x:f>IF(COLUMN()-2&lt;=$E$3,INDEX($B$10:$B$59,RANDBETWEEN(1,$E$3)),"")</x:f>
      </x:c>
      <x:c r="U259" s="68" t="str">
        <x:f>IF(COLUMN()-2&lt;=$E$3,INDEX($B$10:$B$59,RANDBETWEEN(1,$E$3)),"")</x:f>
      </x:c>
      <x:c r="V259" s="68" t="str">
        <x:f>IF(COLUMN()-2&lt;=$E$3,INDEX($B$10:$B$59,RANDBETWEEN(1,$E$3)),"")</x:f>
      </x:c>
      <x:c r="W259" s="68" t="str">
        <x:f>IF(COLUMN()-2&lt;=$E$3,INDEX($B$10:$B$59,RANDBETWEEN(1,$E$3)),"")</x:f>
      </x:c>
      <x:c r="X259" s="68" t="str">
        <x:f>IF(COLUMN()-2&lt;=$E$3,INDEX($B$10:$B$59,RANDBETWEEN(1,$E$3)),"")</x:f>
      </x:c>
      <x:c r="Y259" s="68" t="str">
        <x:f>IF(COLUMN()-2&lt;=$E$3,INDEX($B$10:$B$59,RANDBETWEEN(1,$E$3)),"")</x:f>
      </x:c>
      <x:c r="Z259" s="68" t="str">
        <x:f>IF(COLUMN()-2&lt;=$E$3,INDEX($B$10:$B$59,RANDBETWEEN(1,$E$3)),"")</x:f>
      </x:c>
      <x:c r="AA259" s="68" t="str">
        <x:f>IF(COLUMN()-2&lt;=$E$3,INDEX($B$10:$B$59,RANDBETWEEN(1,$E$3)),"")</x:f>
      </x:c>
      <x:c r="AB259" s="68" t="str">
        <x:f>IF(COLUMN()-2&lt;=$E$3,INDEX($B$10:$B$59,RANDBETWEEN(1,$E$3)),"")</x:f>
      </x:c>
      <x:c r="AC259" s="68" t="str">
        <x:f>IF(COLUMN()-2&lt;=$E$3,INDEX($B$10:$B$59,RANDBETWEEN(1,$E$3)),"")</x:f>
      </x:c>
      <x:c r="AD259" s="68" t="str">
        <x:f>IF(COLUMN()-2&lt;=$E$3,INDEX($B$10:$B$59,RANDBETWEEN(1,$E$3)),"")</x:f>
      </x:c>
      <x:c r="AE259" s="68" t="str">
        <x:f>IF(COLUMN()-2&lt;=$E$3,INDEX($B$10:$B$59,RANDBETWEEN(1,$E$3)),"")</x:f>
      </x:c>
      <x:c r="AF259" s="68" t="str">
        <x:f>IF(COLUMN()-2&lt;=$E$3,INDEX($B$10:$B$59,RANDBETWEEN(1,$E$3)),"")</x:f>
      </x:c>
      <x:c r="AG259" s="68" t="str">
        <x:f>IF(COLUMN()-2&lt;=$E$3,INDEX($B$10:$B$59,RANDBETWEEN(1,$E$3)),"")</x:f>
      </x:c>
      <x:c r="AH259" s="68" t="str">
        <x:f>IF(COLUMN()-2&lt;=$E$3,INDEX($B$10:$B$59,RANDBETWEEN(1,$E$3)),"")</x:f>
      </x:c>
      <x:c r="AI259" s="68" t="str">
        <x:f>IF(COLUMN()-2&lt;=$E$3,INDEX($B$10:$B$59,RANDBETWEEN(1,$E$3)),"")</x:f>
      </x:c>
      <x:c r="AJ259" s="68" t="str">
        <x:f>IF(COLUMN()-2&lt;=$E$3,INDEX($B$10:$B$59,RANDBETWEEN(1,$E$3)),"")</x:f>
      </x:c>
      <x:c r="AK259" s="68" t="str">
        <x:f>IF(COLUMN()-2&lt;=$E$3,INDEX($B$10:$B$59,RANDBETWEEN(1,$E$3)),"")</x:f>
      </x:c>
      <x:c r="AL259" s="68" t="str">
        <x:f>IF(COLUMN()-2&lt;=$E$3,INDEX($B$10:$B$59,RANDBETWEEN(1,$E$3)),"")</x:f>
      </x:c>
      <x:c r="AM259" s="68" t="str">
        <x:f>IF(COLUMN()-2&lt;=$E$3,INDEX($B$10:$B$59,RANDBETWEEN(1,$E$3)),"")</x:f>
      </x:c>
      <x:c r="AN259" s="68" t="str">
        <x:f>IF(COLUMN()-2&lt;=$E$3,INDEX($B$10:$B$59,RANDBETWEEN(1,$E$3)),"")</x:f>
      </x:c>
      <x:c r="AO259" s="68" t="str">
        <x:f>IF(COLUMN()-2&lt;=$E$3,INDEX($B$10:$B$59,RANDBETWEEN(1,$E$3)),"")</x:f>
      </x:c>
      <x:c r="AP259" s="68" t="str">
        <x:f>IF(COLUMN()-2&lt;=$E$3,INDEX($B$10:$B$59,RANDBETWEEN(1,$E$3)),"")</x:f>
      </x:c>
      <x:c r="AQ259" s="68" t="str">
        <x:f>IF(COLUMN()-2&lt;=$E$3,INDEX($B$10:$B$59,RANDBETWEEN(1,$E$3)),"")</x:f>
      </x:c>
      <x:c r="AR259" s="68" t="str">
        <x:f>IF(COLUMN()-2&lt;=$E$3,INDEX($B$10:$B$59,RANDBETWEEN(1,$E$3)),"")</x:f>
      </x:c>
      <x:c r="AS259" s="68" t="str">
        <x:f>IF(COLUMN()-2&lt;=$E$3,INDEX($B$10:$B$59,RANDBETWEEN(1,$E$3)),"")</x:f>
      </x:c>
      <x:c r="AT259" s="68" t="str">
        <x:f>IF(COLUMN()-2&lt;=$E$3,INDEX($B$10:$B$59,RANDBETWEEN(1,$E$3)),"")</x:f>
      </x:c>
      <x:c r="AU259" s="68" t="str">
        <x:f>IF(COLUMN()-2&lt;=$E$3,INDEX($B$10:$B$59,RANDBETWEEN(1,$E$3)),"")</x:f>
      </x:c>
      <x:c r="AV259" s="68" t="str">
        <x:f>IF(COLUMN()-2&lt;=$E$3,INDEX($B$10:$B$59,RANDBETWEEN(1,$E$3)),"")</x:f>
      </x:c>
      <x:c r="AW259" s="68" t="str">
        <x:f>IF(COLUMN()-2&lt;=$E$3,INDEX($B$10:$B$59,RANDBETWEEN(1,$E$3)),"")</x:f>
      </x:c>
      <x:c r="AX259" s="68" t="str">
        <x:f>IF(COLUMN()-2&lt;=$E$3,INDEX($B$10:$B$59,RANDBETWEEN(1,$E$3)),"")</x:f>
      </x:c>
      <x:c r="AY259" s="68" t="str">
        <x:f>IF(COLUMN()-2&lt;=$E$3,INDEX($B$10:$B$59,RANDBETWEEN(1,$E$3)),"")</x:f>
      </x:c>
      <x:c r="AZ259" s="68" t="str">
        <x:f>IF(COLUMN()-2&lt;=$E$3,INDEX($B$10:$B$59,RANDBETWEEN(1,$E$3)),"")</x:f>
      </x:c>
      <x:c r="BA259" s="68" t="str">
        <x:f>IF($E$3=0,"",AVERAGE(C259:AZ259))</x:f>
      </x:c>
    </x:row>
    <x:row r="260">
      <x:c r="A260" t="n">
        <x:v>196</x:v>
      </x:c>
      <x:c r="C260" s="68" t="str">
        <x:f>IF(COLUMN()-2&lt;=$E$3,INDEX($B$10:$B$59,RANDBETWEEN(1,$E$3)),"")</x:f>
      </x:c>
      <x:c r="D260" s="68" t="str">
        <x:f>IF(COLUMN()-2&lt;=$E$3,INDEX($B$10:$B$59,RANDBETWEEN(1,$E$3)),"")</x:f>
      </x:c>
      <x:c r="E260" s="68" t="str">
        <x:f>IF(COLUMN()-2&lt;=$E$3,INDEX($B$10:$B$59,RANDBETWEEN(1,$E$3)),"")</x:f>
      </x:c>
      <x:c r="F260" s="68" t="str">
        <x:f>IF(COLUMN()-2&lt;=$E$3,INDEX($B$10:$B$59,RANDBETWEEN(1,$E$3)),"")</x:f>
      </x:c>
      <x:c r="G260" s="68" t="str">
        <x:f>IF(COLUMN()-2&lt;=$E$3,INDEX($B$10:$B$59,RANDBETWEEN(1,$E$3)),"")</x:f>
      </x:c>
      <x:c r="H260" s="68" t="str">
        <x:f>IF(COLUMN()-2&lt;=$E$3,INDEX($B$10:$B$59,RANDBETWEEN(1,$E$3)),"")</x:f>
      </x:c>
      <x:c r="I260" s="68" t="str">
        <x:f>IF(COLUMN()-2&lt;=$E$3,INDEX($B$10:$B$59,RANDBETWEEN(1,$E$3)),"")</x:f>
      </x:c>
      <x:c r="J260" s="68" t="str">
        <x:f>IF(COLUMN()-2&lt;=$E$3,INDEX($B$10:$B$59,RANDBETWEEN(1,$E$3)),"")</x:f>
      </x:c>
      <x:c r="K260" s="68" t="str">
        <x:f>IF(COLUMN()-2&lt;=$E$3,INDEX($B$10:$B$59,RANDBETWEEN(1,$E$3)),"")</x:f>
      </x:c>
      <x:c r="L260" s="68" t="str">
        <x:f>IF(COLUMN()-2&lt;=$E$3,INDEX($B$10:$B$59,RANDBETWEEN(1,$E$3)),"")</x:f>
      </x:c>
      <x:c r="M260" s="68" t="str">
        <x:f>IF(COLUMN()-2&lt;=$E$3,INDEX($B$10:$B$59,RANDBETWEEN(1,$E$3)),"")</x:f>
      </x:c>
      <x:c r="N260" s="68" t="str">
        <x:f>IF(COLUMN()-2&lt;=$E$3,INDEX($B$10:$B$59,RANDBETWEEN(1,$E$3)),"")</x:f>
      </x:c>
      <x:c r="O260" s="68" t="str">
        <x:f>IF(COLUMN()-2&lt;=$E$3,INDEX($B$10:$B$59,RANDBETWEEN(1,$E$3)),"")</x:f>
      </x:c>
      <x:c r="P260" s="68" t="str">
        <x:f>IF(COLUMN()-2&lt;=$E$3,INDEX($B$10:$B$59,RANDBETWEEN(1,$E$3)),"")</x:f>
      </x:c>
      <x:c r="Q260" s="68" t="str">
        <x:f>IF(COLUMN()-2&lt;=$E$3,INDEX($B$10:$B$59,RANDBETWEEN(1,$E$3)),"")</x:f>
      </x:c>
      <x:c r="R260" s="68" t="str">
        <x:f>IF(COLUMN()-2&lt;=$E$3,INDEX($B$10:$B$59,RANDBETWEEN(1,$E$3)),"")</x:f>
      </x:c>
      <x:c r="S260" s="68" t="str">
        <x:f>IF(COLUMN()-2&lt;=$E$3,INDEX($B$10:$B$59,RANDBETWEEN(1,$E$3)),"")</x:f>
      </x:c>
      <x:c r="T260" s="68" t="str">
        <x:f>IF(COLUMN()-2&lt;=$E$3,INDEX($B$10:$B$59,RANDBETWEEN(1,$E$3)),"")</x:f>
      </x:c>
      <x:c r="U260" s="68" t="str">
        <x:f>IF(COLUMN()-2&lt;=$E$3,INDEX($B$10:$B$59,RANDBETWEEN(1,$E$3)),"")</x:f>
      </x:c>
      <x:c r="V260" s="68" t="str">
        <x:f>IF(COLUMN()-2&lt;=$E$3,INDEX($B$10:$B$59,RANDBETWEEN(1,$E$3)),"")</x:f>
      </x:c>
      <x:c r="W260" s="68" t="str">
        <x:f>IF(COLUMN()-2&lt;=$E$3,INDEX($B$10:$B$59,RANDBETWEEN(1,$E$3)),"")</x:f>
      </x:c>
      <x:c r="X260" s="68" t="str">
        <x:f>IF(COLUMN()-2&lt;=$E$3,INDEX($B$10:$B$59,RANDBETWEEN(1,$E$3)),"")</x:f>
      </x:c>
      <x:c r="Y260" s="68" t="str">
        <x:f>IF(COLUMN()-2&lt;=$E$3,INDEX($B$10:$B$59,RANDBETWEEN(1,$E$3)),"")</x:f>
      </x:c>
      <x:c r="Z260" s="68" t="str">
        <x:f>IF(COLUMN()-2&lt;=$E$3,INDEX($B$10:$B$59,RANDBETWEEN(1,$E$3)),"")</x:f>
      </x:c>
      <x:c r="AA260" s="68" t="str">
        <x:f>IF(COLUMN()-2&lt;=$E$3,INDEX($B$10:$B$59,RANDBETWEEN(1,$E$3)),"")</x:f>
      </x:c>
      <x:c r="AB260" s="68" t="str">
        <x:f>IF(COLUMN()-2&lt;=$E$3,INDEX($B$10:$B$59,RANDBETWEEN(1,$E$3)),"")</x:f>
      </x:c>
      <x:c r="AC260" s="68" t="str">
        <x:f>IF(COLUMN()-2&lt;=$E$3,INDEX($B$10:$B$59,RANDBETWEEN(1,$E$3)),"")</x:f>
      </x:c>
      <x:c r="AD260" s="68" t="str">
        <x:f>IF(COLUMN()-2&lt;=$E$3,INDEX($B$10:$B$59,RANDBETWEEN(1,$E$3)),"")</x:f>
      </x:c>
      <x:c r="AE260" s="68" t="str">
        <x:f>IF(COLUMN()-2&lt;=$E$3,INDEX($B$10:$B$59,RANDBETWEEN(1,$E$3)),"")</x:f>
      </x:c>
      <x:c r="AF260" s="68" t="str">
        <x:f>IF(COLUMN()-2&lt;=$E$3,INDEX($B$10:$B$59,RANDBETWEEN(1,$E$3)),"")</x:f>
      </x:c>
      <x:c r="AG260" s="68" t="str">
        <x:f>IF(COLUMN()-2&lt;=$E$3,INDEX($B$10:$B$59,RANDBETWEEN(1,$E$3)),"")</x:f>
      </x:c>
      <x:c r="AH260" s="68" t="str">
        <x:f>IF(COLUMN()-2&lt;=$E$3,INDEX($B$10:$B$59,RANDBETWEEN(1,$E$3)),"")</x:f>
      </x:c>
      <x:c r="AI260" s="68" t="str">
        <x:f>IF(COLUMN()-2&lt;=$E$3,INDEX($B$10:$B$59,RANDBETWEEN(1,$E$3)),"")</x:f>
      </x:c>
      <x:c r="AJ260" s="68" t="str">
        <x:f>IF(COLUMN()-2&lt;=$E$3,INDEX($B$10:$B$59,RANDBETWEEN(1,$E$3)),"")</x:f>
      </x:c>
      <x:c r="AK260" s="68" t="str">
        <x:f>IF(COLUMN()-2&lt;=$E$3,INDEX($B$10:$B$59,RANDBETWEEN(1,$E$3)),"")</x:f>
      </x:c>
      <x:c r="AL260" s="68" t="str">
        <x:f>IF(COLUMN()-2&lt;=$E$3,INDEX($B$10:$B$59,RANDBETWEEN(1,$E$3)),"")</x:f>
      </x:c>
      <x:c r="AM260" s="68" t="str">
        <x:f>IF(COLUMN()-2&lt;=$E$3,INDEX($B$10:$B$59,RANDBETWEEN(1,$E$3)),"")</x:f>
      </x:c>
      <x:c r="AN260" s="68" t="str">
        <x:f>IF(COLUMN()-2&lt;=$E$3,INDEX($B$10:$B$59,RANDBETWEEN(1,$E$3)),"")</x:f>
      </x:c>
      <x:c r="AO260" s="68" t="str">
        <x:f>IF(COLUMN()-2&lt;=$E$3,INDEX($B$10:$B$59,RANDBETWEEN(1,$E$3)),"")</x:f>
      </x:c>
      <x:c r="AP260" s="68" t="str">
        <x:f>IF(COLUMN()-2&lt;=$E$3,INDEX($B$10:$B$59,RANDBETWEEN(1,$E$3)),"")</x:f>
      </x:c>
      <x:c r="AQ260" s="68" t="str">
        <x:f>IF(COLUMN()-2&lt;=$E$3,INDEX($B$10:$B$59,RANDBETWEEN(1,$E$3)),"")</x:f>
      </x:c>
      <x:c r="AR260" s="68" t="str">
        <x:f>IF(COLUMN()-2&lt;=$E$3,INDEX($B$10:$B$59,RANDBETWEEN(1,$E$3)),"")</x:f>
      </x:c>
      <x:c r="AS260" s="68" t="str">
        <x:f>IF(COLUMN()-2&lt;=$E$3,INDEX($B$10:$B$59,RANDBETWEEN(1,$E$3)),"")</x:f>
      </x:c>
      <x:c r="AT260" s="68" t="str">
        <x:f>IF(COLUMN()-2&lt;=$E$3,INDEX($B$10:$B$59,RANDBETWEEN(1,$E$3)),"")</x:f>
      </x:c>
      <x:c r="AU260" s="68" t="str">
        <x:f>IF(COLUMN()-2&lt;=$E$3,INDEX($B$10:$B$59,RANDBETWEEN(1,$E$3)),"")</x:f>
      </x:c>
      <x:c r="AV260" s="68" t="str">
        <x:f>IF(COLUMN()-2&lt;=$E$3,INDEX($B$10:$B$59,RANDBETWEEN(1,$E$3)),"")</x:f>
      </x:c>
      <x:c r="AW260" s="68" t="str">
        <x:f>IF(COLUMN()-2&lt;=$E$3,INDEX($B$10:$B$59,RANDBETWEEN(1,$E$3)),"")</x:f>
      </x:c>
      <x:c r="AX260" s="68" t="str">
        <x:f>IF(COLUMN()-2&lt;=$E$3,INDEX($B$10:$B$59,RANDBETWEEN(1,$E$3)),"")</x:f>
      </x:c>
      <x:c r="AY260" s="68" t="str">
        <x:f>IF(COLUMN()-2&lt;=$E$3,INDEX($B$10:$B$59,RANDBETWEEN(1,$E$3)),"")</x:f>
      </x:c>
      <x:c r="AZ260" s="68" t="str">
        <x:f>IF(COLUMN()-2&lt;=$E$3,INDEX($B$10:$B$59,RANDBETWEEN(1,$E$3)),"")</x:f>
      </x:c>
      <x:c r="BA260" s="68" t="str">
        <x:f>IF($E$3=0,"",AVERAGE(C260:AZ260))</x:f>
      </x:c>
    </x:row>
    <x:row r="261">
      <x:c r="A261" t="n">
        <x:v>197</x:v>
      </x:c>
      <x:c r="C261" s="68" t="str">
        <x:f>IF(COLUMN()-2&lt;=$E$3,INDEX($B$10:$B$59,RANDBETWEEN(1,$E$3)),"")</x:f>
      </x:c>
      <x:c r="D261" s="68" t="str">
        <x:f>IF(COLUMN()-2&lt;=$E$3,INDEX($B$10:$B$59,RANDBETWEEN(1,$E$3)),"")</x:f>
      </x:c>
      <x:c r="E261" s="68" t="str">
        <x:f>IF(COLUMN()-2&lt;=$E$3,INDEX($B$10:$B$59,RANDBETWEEN(1,$E$3)),"")</x:f>
      </x:c>
      <x:c r="F261" s="68" t="str">
        <x:f>IF(COLUMN()-2&lt;=$E$3,INDEX($B$10:$B$59,RANDBETWEEN(1,$E$3)),"")</x:f>
      </x:c>
      <x:c r="G261" s="68" t="str">
        <x:f>IF(COLUMN()-2&lt;=$E$3,INDEX($B$10:$B$59,RANDBETWEEN(1,$E$3)),"")</x:f>
      </x:c>
      <x:c r="H261" s="68" t="str">
        <x:f>IF(COLUMN()-2&lt;=$E$3,INDEX($B$10:$B$59,RANDBETWEEN(1,$E$3)),"")</x:f>
      </x:c>
      <x:c r="I261" s="68" t="str">
        <x:f>IF(COLUMN()-2&lt;=$E$3,INDEX($B$10:$B$59,RANDBETWEEN(1,$E$3)),"")</x:f>
      </x:c>
      <x:c r="J261" s="68" t="str">
        <x:f>IF(COLUMN()-2&lt;=$E$3,INDEX($B$10:$B$59,RANDBETWEEN(1,$E$3)),"")</x:f>
      </x:c>
      <x:c r="K261" s="68" t="str">
        <x:f>IF(COLUMN()-2&lt;=$E$3,INDEX($B$10:$B$59,RANDBETWEEN(1,$E$3)),"")</x:f>
      </x:c>
      <x:c r="L261" s="68" t="str">
        <x:f>IF(COLUMN()-2&lt;=$E$3,INDEX($B$10:$B$59,RANDBETWEEN(1,$E$3)),"")</x:f>
      </x:c>
      <x:c r="M261" s="68" t="str">
        <x:f>IF(COLUMN()-2&lt;=$E$3,INDEX($B$10:$B$59,RANDBETWEEN(1,$E$3)),"")</x:f>
      </x:c>
      <x:c r="N261" s="68" t="str">
        <x:f>IF(COLUMN()-2&lt;=$E$3,INDEX($B$10:$B$59,RANDBETWEEN(1,$E$3)),"")</x:f>
      </x:c>
      <x:c r="O261" s="68" t="str">
        <x:f>IF(COLUMN()-2&lt;=$E$3,INDEX($B$10:$B$59,RANDBETWEEN(1,$E$3)),"")</x:f>
      </x:c>
      <x:c r="P261" s="68" t="str">
        <x:f>IF(COLUMN()-2&lt;=$E$3,INDEX($B$10:$B$59,RANDBETWEEN(1,$E$3)),"")</x:f>
      </x:c>
      <x:c r="Q261" s="68" t="str">
        <x:f>IF(COLUMN()-2&lt;=$E$3,INDEX($B$10:$B$59,RANDBETWEEN(1,$E$3)),"")</x:f>
      </x:c>
      <x:c r="R261" s="68" t="str">
        <x:f>IF(COLUMN()-2&lt;=$E$3,INDEX($B$10:$B$59,RANDBETWEEN(1,$E$3)),"")</x:f>
      </x:c>
      <x:c r="S261" s="68" t="str">
        <x:f>IF(COLUMN()-2&lt;=$E$3,INDEX($B$10:$B$59,RANDBETWEEN(1,$E$3)),"")</x:f>
      </x:c>
      <x:c r="T261" s="68" t="str">
        <x:f>IF(COLUMN()-2&lt;=$E$3,INDEX($B$10:$B$59,RANDBETWEEN(1,$E$3)),"")</x:f>
      </x:c>
      <x:c r="U261" s="68" t="str">
        <x:f>IF(COLUMN()-2&lt;=$E$3,INDEX($B$10:$B$59,RANDBETWEEN(1,$E$3)),"")</x:f>
      </x:c>
      <x:c r="V261" s="68" t="str">
        <x:f>IF(COLUMN()-2&lt;=$E$3,INDEX($B$10:$B$59,RANDBETWEEN(1,$E$3)),"")</x:f>
      </x:c>
      <x:c r="W261" s="68" t="str">
        <x:f>IF(COLUMN()-2&lt;=$E$3,INDEX($B$10:$B$59,RANDBETWEEN(1,$E$3)),"")</x:f>
      </x:c>
      <x:c r="X261" s="68" t="str">
        <x:f>IF(COLUMN()-2&lt;=$E$3,INDEX($B$10:$B$59,RANDBETWEEN(1,$E$3)),"")</x:f>
      </x:c>
      <x:c r="Y261" s="68" t="str">
        <x:f>IF(COLUMN()-2&lt;=$E$3,INDEX($B$10:$B$59,RANDBETWEEN(1,$E$3)),"")</x:f>
      </x:c>
      <x:c r="Z261" s="68" t="str">
        <x:f>IF(COLUMN()-2&lt;=$E$3,INDEX($B$10:$B$59,RANDBETWEEN(1,$E$3)),"")</x:f>
      </x:c>
      <x:c r="AA261" s="68" t="str">
        <x:f>IF(COLUMN()-2&lt;=$E$3,INDEX($B$10:$B$59,RANDBETWEEN(1,$E$3)),"")</x:f>
      </x:c>
      <x:c r="AB261" s="68" t="str">
        <x:f>IF(COLUMN()-2&lt;=$E$3,INDEX($B$10:$B$59,RANDBETWEEN(1,$E$3)),"")</x:f>
      </x:c>
      <x:c r="AC261" s="68" t="str">
        <x:f>IF(COLUMN()-2&lt;=$E$3,INDEX($B$10:$B$59,RANDBETWEEN(1,$E$3)),"")</x:f>
      </x:c>
      <x:c r="AD261" s="68" t="str">
        <x:f>IF(COLUMN()-2&lt;=$E$3,INDEX($B$10:$B$59,RANDBETWEEN(1,$E$3)),"")</x:f>
      </x:c>
      <x:c r="AE261" s="68" t="str">
        <x:f>IF(COLUMN()-2&lt;=$E$3,INDEX($B$10:$B$59,RANDBETWEEN(1,$E$3)),"")</x:f>
      </x:c>
      <x:c r="AF261" s="68" t="str">
        <x:f>IF(COLUMN()-2&lt;=$E$3,INDEX($B$10:$B$59,RANDBETWEEN(1,$E$3)),"")</x:f>
      </x:c>
      <x:c r="AG261" s="68" t="str">
        <x:f>IF(COLUMN()-2&lt;=$E$3,INDEX($B$10:$B$59,RANDBETWEEN(1,$E$3)),"")</x:f>
      </x:c>
      <x:c r="AH261" s="68" t="str">
        <x:f>IF(COLUMN()-2&lt;=$E$3,INDEX($B$10:$B$59,RANDBETWEEN(1,$E$3)),"")</x:f>
      </x:c>
      <x:c r="AI261" s="68" t="str">
        <x:f>IF(COLUMN()-2&lt;=$E$3,INDEX($B$10:$B$59,RANDBETWEEN(1,$E$3)),"")</x:f>
      </x:c>
      <x:c r="AJ261" s="68" t="str">
        <x:f>IF(COLUMN()-2&lt;=$E$3,INDEX($B$10:$B$59,RANDBETWEEN(1,$E$3)),"")</x:f>
      </x:c>
      <x:c r="AK261" s="68" t="str">
        <x:f>IF(COLUMN()-2&lt;=$E$3,INDEX($B$10:$B$59,RANDBETWEEN(1,$E$3)),"")</x:f>
      </x:c>
      <x:c r="AL261" s="68" t="str">
        <x:f>IF(COLUMN()-2&lt;=$E$3,INDEX($B$10:$B$59,RANDBETWEEN(1,$E$3)),"")</x:f>
      </x:c>
      <x:c r="AM261" s="68" t="str">
        <x:f>IF(COLUMN()-2&lt;=$E$3,INDEX($B$10:$B$59,RANDBETWEEN(1,$E$3)),"")</x:f>
      </x:c>
      <x:c r="AN261" s="68" t="str">
        <x:f>IF(COLUMN()-2&lt;=$E$3,INDEX($B$10:$B$59,RANDBETWEEN(1,$E$3)),"")</x:f>
      </x:c>
      <x:c r="AO261" s="68" t="str">
        <x:f>IF(COLUMN()-2&lt;=$E$3,INDEX($B$10:$B$59,RANDBETWEEN(1,$E$3)),"")</x:f>
      </x:c>
      <x:c r="AP261" s="68" t="str">
        <x:f>IF(COLUMN()-2&lt;=$E$3,INDEX($B$10:$B$59,RANDBETWEEN(1,$E$3)),"")</x:f>
      </x:c>
      <x:c r="AQ261" s="68" t="str">
        <x:f>IF(COLUMN()-2&lt;=$E$3,INDEX($B$10:$B$59,RANDBETWEEN(1,$E$3)),"")</x:f>
      </x:c>
      <x:c r="AR261" s="68" t="str">
        <x:f>IF(COLUMN()-2&lt;=$E$3,INDEX($B$10:$B$59,RANDBETWEEN(1,$E$3)),"")</x:f>
      </x:c>
      <x:c r="AS261" s="68" t="str">
        <x:f>IF(COLUMN()-2&lt;=$E$3,INDEX($B$10:$B$59,RANDBETWEEN(1,$E$3)),"")</x:f>
      </x:c>
      <x:c r="AT261" s="68" t="str">
        <x:f>IF(COLUMN()-2&lt;=$E$3,INDEX($B$10:$B$59,RANDBETWEEN(1,$E$3)),"")</x:f>
      </x:c>
      <x:c r="AU261" s="68" t="str">
        <x:f>IF(COLUMN()-2&lt;=$E$3,INDEX($B$10:$B$59,RANDBETWEEN(1,$E$3)),"")</x:f>
      </x:c>
      <x:c r="AV261" s="68" t="str">
        <x:f>IF(COLUMN()-2&lt;=$E$3,INDEX($B$10:$B$59,RANDBETWEEN(1,$E$3)),"")</x:f>
      </x:c>
      <x:c r="AW261" s="68" t="str">
        <x:f>IF(COLUMN()-2&lt;=$E$3,INDEX($B$10:$B$59,RANDBETWEEN(1,$E$3)),"")</x:f>
      </x:c>
      <x:c r="AX261" s="68" t="str">
        <x:f>IF(COLUMN()-2&lt;=$E$3,INDEX($B$10:$B$59,RANDBETWEEN(1,$E$3)),"")</x:f>
      </x:c>
      <x:c r="AY261" s="68" t="str">
        <x:f>IF(COLUMN()-2&lt;=$E$3,INDEX($B$10:$B$59,RANDBETWEEN(1,$E$3)),"")</x:f>
      </x:c>
      <x:c r="AZ261" s="68" t="str">
        <x:f>IF(COLUMN()-2&lt;=$E$3,INDEX($B$10:$B$59,RANDBETWEEN(1,$E$3)),"")</x:f>
      </x:c>
      <x:c r="BA261" s="68" t="str">
        <x:f>IF($E$3=0,"",AVERAGE(C261:AZ261))</x:f>
      </x:c>
    </x:row>
    <x:row r="262">
      <x:c r="A262" t="n">
        <x:v>198</x:v>
      </x:c>
      <x:c r="C262" s="68" t="str">
        <x:f>IF(COLUMN()-2&lt;=$E$3,INDEX($B$10:$B$59,RANDBETWEEN(1,$E$3)),"")</x:f>
      </x:c>
      <x:c r="D262" s="68" t="str">
        <x:f>IF(COLUMN()-2&lt;=$E$3,INDEX($B$10:$B$59,RANDBETWEEN(1,$E$3)),"")</x:f>
      </x:c>
      <x:c r="E262" s="68" t="str">
        <x:f>IF(COLUMN()-2&lt;=$E$3,INDEX($B$10:$B$59,RANDBETWEEN(1,$E$3)),"")</x:f>
      </x:c>
      <x:c r="F262" s="68" t="str">
        <x:f>IF(COLUMN()-2&lt;=$E$3,INDEX($B$10:$B$59,RANDBETWEEN(1,$E$3)),"")</x:f>
      </x:c>
      <x:c r="G262" s="68" t="str">
        <x:f>IF(COLUMN()-2&lt;=$E$3,INDEX($B$10:$B$59,RANDBETWEEN(1,$E$3)),"")</x:f>
      </x:c>
      <x:c r="H262" s="68" t="str">
        <x:f>IF(COLUMN()-2&lt;=$E$3,INDEX($B$10:$B$59,RANDBETWEEN(1,$E$3)),"")</x:f>
      </x:c>
      <x:c r="I262" s="68" t="str">
        <x:f>IF(COLUMN()-2&lt;=$E$3,INDEX($B$10:$B$59,RANDBETWEEN(1,$E$3)),"")</x:f>
      </x:c>
      <x:c r="J262" s="68" t="str">
        <x:f>IF(COLUMN()-2&lt;=$E$3,INDEX($B$10:$B$59,RANDBETWEEN(1,$E$3)),"")</x:f>
      </x:c>
      <x:c r="K262" s="68" t="str">
        <x:f>IF(COLUMN()-2&lt;=$E$3,INDEX($B$10:$B$59,RANDBETWEEN(1,$E$3)),"")</x:f>
      </x:c>
      <x:c r="L262" s="68" t="str">
        <x:f>IF(COLUMN()-2&lt;=$E$3,INDEX($B$10:$B$59,RANDBETWEEN(1,$E$3)),"")</x:f>
      </x:c>
      <x:c r="M262" s="68" t="str">
        <x:f>IF(COLUMN()-2&lt;=$E$3,INDEX($B$10:$B$59,RANDBETWEEN(1,$E$3)),"")</x:f>
      </x:c>
      <x:c r="N262" s="68" t="str">
        <x:f>IF(COLUMN()-2&lt;=$E$3,INDEX($B$10:$B$59,RANDBETWEEN(1,$E$3)),"")</x:f>
      </x:c>
      <x:c r="O262" s="68" t="str">
        <x:f>IF(COLUMN()-2&lt;=$E$3,INDEX($B$10:$B$59,RANDBETWEEN(1,$E$3)),"")</x:f>
      </x:c>
      <x:c r="P262" s="68" t="str">
        <x:f>IF(COLUMN()-2&lt;=$E$3,INDEX($B$10:$B$59,RANDBETWEEN(1,$E$3)),"")</x:f>
      </x:c>
      <x:c r="Q262" s="68" t="str">
        <x:f>IF(COLUMN()-2&lt;=$E$3,INDEX($B$10:$B$59,RANDBETWEEN(1,$E$3)),"")</x:f>
      </x:c>
      <x:c r="R262" s="68" t="str">
        <x:f>IF(COLUMN()-2&lt;=$E$3,INDEX($B$10:$B$59,RANDBETWEEN(1,$E$3)),"")</x:f>
      </x:c>
      <x:c r="S262" s="68" t="str">
        <x:f>IF(COLUMN()-2&lt;=$E$3,INDEX($B$10:$B$59,RANDBETWEEN(1,$E$3)),"")</x:f>
      </x:c>
      <x:c r="T262" s="68" t="str">
        <x:f>IF(COLUMN()-2&lt;=$E$3,INDEX($B$10:$B$59,RANDBETWEEN(1,$E$3)),"")</x:f>
      </x:c>
      <x:c r="U262" s="68" t="str">
        <x:f>IF(COLUMN()-2&lt;=$E$3,INDEX($B$10:$B$59,RANDBETWEEN(1,$E$3)),"")</x:f>
      </x:c>
      <x:c r="V262" s="68" t="str">
        <x:f>IF(COLUMN()-2&lt;=$E$3,INDEX($B$10:$B$59,RANDBETWEEN(1,$E$3)),"")</x:f>
      </x:c>
      <x:c r="W262" s="68" t="str">
        <x:f>IF(COLUMN()-2&lt;=$E$3,INDEX($B$10:$B$59,RANDBETWEEN(1,$E$3)),"")</x:f>
      </x:c>
      <x:c r="X262" s="68" t="str">
        <x:f>IF(COLUMN()-2&lt;=$E$3,INDEX($B$10:$B$59,RANDBETWEEN(1,$E$3)),"")</x:f>
      </x:c>
      <x:c r="Y262" s="68" t="str">
        <x:f>IF(COLUMN()-2&lt;=$E$3,INDEX($B$10:$B$59,RANDBETWEEN(1,$E$3)),"")</x:f>
      </x:c>
      <x:c r="Z262" s="68" t="str">
        <x:f>IF(COLUMN()-2&lt;=$E$3,INDEX($B$10:$B$59,RANDBETWEEN(1,$E$3)),"")</x:f>
      </x:c>
      <x:c r="AA262" s="68" t="str">
        <x:f>IF(COLUMN()-2&lt;=$E$3,INDEX($B$10:$B$59,RANDBETWEEN(1,$E$3)),"")</x:f>
      </x:c>
      <x:c r="AB262" s="68" t="str">
        <x:f>IF(COLUMN()-2&lt;=$E$3,INDEX($B$10:$B$59,RANDBETWEEN(1,$E$3)),"")</x:f>
      </x:c>
      <x:c r="AC262" s="68" t="str">
        <x:f>IF(COLUMN()-2&lt;=$E$3,INDEX($B$10:$B$59,RANDBETWEEN(1,$E$3)),"")</x:f>
      </x:c>
      <x:c r="AD262" s="68" t="str">
        <x:f>IF(COLUMN()-2&lt;=$E$3,INDEX($B$10:$B$59,RANDBETWEEN(1,$E$3)),"")</x:f>
      </x:c>
      <x:c r="AE262" s="68" t="str">
        <x:f>IF(COLUMN()-2&lt;=$E$3,INDEX($B$10:$B$59,RANDBETWEEN(1,$E$3)),"")</x:f>
      </x:c>
      <x:c r="AF262" s="68" t="str">
        <x:f>IF(COLUMN()-2&lt;=$E$3,INDEX($B$10:$B$59,RANDBETWEEN(1,$E$3)),"")</x:f>
      </x:c>
      <x:c r="AG262" s="68" t="str">
        <x:f>IF(COLUMN()-2&lt;=$E$3,INDEX($B$10:$B$59,RANDBETWEEN(1,$E$3)),"")</x:f>
      </x:c>
      <x:c r="AH262" s="68" t="str">
        <x:f>IF(COLUMN()-2&lt;=$E$3,INDEX($B$10:$B$59,RANDBETWEEN(1,$E$3)),"")</x:f>
      </x:c>
      <x:c r="AI262" s="68" t="str">
        <x:f>IF(COLUMN()-2&lt;=$E$3,INDEX($B$10:$B$59,RANDBETWEEN(1,$E$3)),"")</x:f>
      </x:c>
      <x:c r="AJ262" s="68" t="str">
        <x:f>IF(COLUMN()-2&lt;=$E$3,INDEX($B$10:$B$59,RANDBETWEEN(1,$E$3)),"")</x:f>
      </x:c>
      <x:c r="AK262" s="68" t="str">
        <x:f>IF(COLUMN()-2&lt;=$E$3,INDEX($B$10:$B$59,RANDBETWEEN(1,$E$3)),"")</x:f>
      </x:c>
      <x:c r="AL262" s="68" t="str">
        <x:f>IF(COLUMN()-2&lt;=$E$3,INDEX($B$10:$B$59,RANDBETWEEN(1,$E$3)),"")</x:f>
      </x:c>
      <x:c r="AM262" s="68" t="str">
        <x:f>IF(COLUMN()-2&lt;=$E$3,INDEX($B$10:$B$59,RANDBETWEEN(1,$E$3)),"")</x:f>
      </x:c>
      <x:c r="AN262" s="68" t="str">
        <x:f>IF(COLUMN()-2&lt;=$E$3,INDEX($B$10:$B$59,RANDBETWEEN(1,$E$3)),"")</x:f>
      </x:c>
      <x:c r="AO262" s="68" t="str">
        <x:f>IF(COLUMN()-2&lt;=$E$3,INDEX($B$10:$B$59,RANDBETWEEN(1,$E$3)),"")</x:f>
      </x:c>
      <x:c r="AP262" s="68" t="str">
        <x:f>IF(COLUMN()-2&lt;=$E$3,INDEX($B$10:$B$59,RANDBETWEEN(1,$E$3)),"")</x:f>
      </x:c>
      <x:c r="AQ262" s="68" t="str">
        <x:f>IF(COLUMN()-2&lt;=$E$3,INDEX($B$10:$B$59,RANDBETWEEN(1,$E$3)),"")</x:f>
      </x:c>
      <x:c r="AR262" s="68" t="str">
        <x:f>IF(COLUMN()-2&lt;=$E$3,INDEX($B$10:$B$59,RANDBETWEEN(1,$E$3)),"")</x:f>
      </x:c>
      <x:c r="AS262" s="68" t="str">
        <x:f>IF(COLUMN()-2&lt;=$E$3,INDEX($B$10:$B$59,RANDBETWEEN(1,$E$3)),"")</x:f>
      </x:c>
      <x:c r="AT262" s="68" t="str">
        <x:f>IF(COLUMN()-2&lt;=$E$3,INDEX($B$10:$B$59,RANDBETWEEN(1,$E$3)),"")</x:f>
      </x:c>
      <x:c r="AU262" s="68" t="str">
        <x:f>IF(COLUMN()-2&lt;=$E$3,INDEX($B$10:$B$59,RANDBETWEEN(1,$E$3)),"")</x:f>
      </x:c>
      <x:c r="AV262" s="68" t="str">
        <x:f>IF(COLUMN()-2&lt;=$E$3,INDEX($B$10:$B$59,RANDBETWEEN(1,$E$3)),"")</x:f>
      </x:c>
      <x:c r="AW262" s="68" t="str">
        <x:f>IF(COLUMN()-2&lt;=$E$3,INDEX($B$10:$B$59,RANDBETWEEN(1,$E$3)),"")</x:f>
      </x:c>
      <x:c r="AX262" s="68" t="str">
        <x:f>IF(COLUMN()-2&lt;=$E$3,INDEX($B$10:$B$59,RANDBETWEEN(1,$E$3)),"")</x:f>
      </x:c>
      <x:c r="AY262" s="68" t="str">
        <x:f>IF(COLUMN()-2&lt;=$E$3,INDEX($B$10:$B$59,RANDBETWEEN(1,$E$3)),"")</x:f>
      </x:c>
      <x:c r="AZ262" s="68" t="str">
        <x:f>IF(COLUMN()-2&lt;=$E$3,INDEX($B$10:$B$59,RANDBETWEEN(1,$E$3)),"")</x:f>
      </x:c>
      <x:c r="BA262" s="68" t="str">
        <x:f>IF($E$3=0,"",AVERAGE(C262:AZ262))</x:f>
      </x:c>
    </x:row>
    <x:row r="263">
      <x:c r="A263" t="n">
        <x:v>199</x:v>
      </x:c>
      <x:c r="C263" s="68" t="str">
        <x:f>IF(COLUMN()-2&lt;=$E$3,INDEX($B$10:$B$59,RANDBETWEEN(1,$E$3)),"")</x:f>
      </x:c>
      <x:c r="D263" s="68" t="str">
        <x:f>IF(COLUMN()-2&lt;=$E$3,INDEX($B$10:$B$59,RANDBETWEEN(1,$E$3)),"")</x:f>
      </x:c>
      <x:c r="E263" s="68" t="str">
        <x:f>IF(COLUMN()-2&lt;=$E$3,INDEX($B$10:$B$59,RANDBETWEEN(1,$E$3)),"")</x:f>
      </x:c>
      <x:c r="F263" s="68" t="str">
        <x:f>IF(COLUMN()-2&lt;=$E$3,INDEX($B$10:$B$59,RANDBETWEEN(1,$E$3)),"")</x:f>
      </x:c>
      <x:c r="G263" s="68" t="str">
        <x:f>IF(COLUMN()-2&lt;=$E$3,INDEX($B$10:$B$59,RANDBETWEEN(1,$E$3)),"")</x:f>
      </x:c>
      <x:c r="H263" s="68" t="str">
        <x:f>IF(COLUMN()-2&lt;=$E$3,INDEX($B$10:$B$59,RANDBETWEEN(1,$E$3)),"")</x:f>
      </x:c>
      <x:c r="I263" s="68" t="str">
        <x:f>IF(COLUMN()-2&lt;=$E$3,INDEX($B$10:$B$59,RANDBETWEEN(1,$E$3)),"")</x:f>
      </x:c>
      <x:c r="J263" s="68" t="str">
        <x:f>IF(COLUMN()-2&lt;=$E$3,INDEX($B$10:$B$59,RANDBETWEEN(1,$E$3)),"")</x:f>
      </x:c>
      <x:c r="K263" s="68" t="str">
        <x:f>IF(COLUMN()-2&lt;=$E$3,INDEX($B$10:$B$59,RANDBETWEEN(1,$E$3)),"")</x:f>
      </x:c>
      <x:c r="L263" s="68" t="str">
        <x:f>IF(COLUMN()-2&lt;=$E$3,INDEX($B$10:$B$59,RANDBETWEEN(1,$E$3)),"")</x:f>
      </x:c>
      <x:c r="M263" s="68" t="str">
        <x:f>IF(COLUMN()-2&lt;=$E$3,INDEX($B$10:$B$59,RANDBETWEEN(1,$E$3)),"")</x:f>
      </x:c>
      <x:c r="N263" s="68" t="str">
        <x:f>IF(COLUMN()-2&lt;=$E$3,INDEX($B$10:$B$59,RANDBETWEEN(1,$E$3)),"")</x:f>
      </x:c>
      <x:c r="O263" s="68" t="str">
        <x:f>IF(COLUMN()-2&lt;=$E$3,INDEX($B$10:$B$59,RANDBETWEEN(1,$E$3)),"")</x:f>
      </x:c>
      <x:c r="P263" s="68" t="str">
        <x:f>IF(COLUMN()-2&lt;=$E$3,INDEX($B$10:$B$59,RANDBETWEEN(1,$E$3)),"")</x:f>
      </x:c>
      <x:c r="Q263" s="68" t="str">
        <x:f>IF(COLUMN()-2&lt;=$E$3,INDEX($B$10:$B$59,RANDBETWEEN(1,$E$3)),"")</x:f>
      </x:c>
      <x:c r="R263" s="68" t="str">
        <x:f>IF(COLUMN()-2&lt;=$E$3,INDEX($B$10:$B$59,RANDBETWEEN(1,$E$3)),"")</x:f>
      </x:c>
      <x:c r="S263" s="68" t="str">
        <x:f>IF(COLUMN()-2&lt;=$E$3,INDEX($B$10:$B$59,RANDBETWEEN(1,$E$3)),"")</x:f>
      </x:c>
      <x:c r="T263" s="68" t="str">
        <x:f>IF(COLUMN()-2&lt;=$E$3,INDEX($B$10:$B$59,RANDBETWEEN(1,$E$3)),"")</x:f>
      </x:c>
      <x:c r="U263" s="68" t="str">
        <x:f>IF(COLUMN()-2&lt;=$E$3,INDEX($B$10:$B$59,RANDBETWEEN(1,$E$3)),"")</x:f>
      </x:c>
      <x:c r="V263" s="68" t="str">
        <x:f>IF(COLUMN()-2&lt;=$E$3,INDEX($B$10:$B$59,RANDBETWEEN(1,$E$3)),"")</x:f>
      </x:c>
      <x:c r="W263" s="68" t="str">
        <x:f>IF(COLUMN()-2&lt;=$E$3,INDEX($B$10:$B$59,RANDBETWEEN(1,$E$3)),"")</x:f>
      </x:c>
      <x:c r="X263" s="68" t="str">
        <x:f>IF(COLUMN()-2&lt;=$E$3,INDEX($B$10:$B$59,RANDBETWEEN(1,$E$3)),"")</x:f>
      </x:c>
      <x:c r="Y263" s="68" t="str">
        <x:f>IF(COLUMN()-2&lt;=$E$3,INDEX($B$10:$B$59,RANDBETWEEN(1,$E$3)),"")</x:f>
      </x:c>
      <x:c r="Z263" s="68" t="str">
        <x:f>IF(COLUMN()-2&lt;=$E$3,INDEX($B$10:$B$59,RANDBETWEEN(1,$E$3)),"")</x:f>
      </x:c>
      <x:c r="AA263" s="68" t="str">
        <x:f>IF(COLUMN()-2&lt;=$E$3,INDEX($B$10:$B$59,RANDBETWEEN(1,$E$3)),"")</x:f>
      </x:c>
      <x:c r="AB263" s="68" t="str">
        <x:f>IF(COLUMN()-2&lt;=$E$3,INDEX($B$10:$B$59,RANDBETWEEN(1,$E$3)),"")</x:f>
      </x:c>
      <x:c r="AC263" s="68" t="str">
        <x:f>IF(COLUMN()-2&lt;=$E$3,INDEX($B$10:$B$59,RANDBETWEEN(1,$E$3)),"")</x:f>
      </x:c>
      <x:c r="AD263" s="68" t="str">
        <x:f>IF(COLUMN()-2&lt;=$E$3,INDEX($B$10:$B$59,RANDBETWEEN(1,$E$3)),"")</x:f>
      </x:c>
      <x:c r="AE263" s="68" t="str">
        <x:f>IF(COLUMN()-2&lt;=$E$3,INDEX($B$10:$B$59,RANDBETWEEN(1,$E$3)),"")</x:f>
      </x:c>
      <x:c r="AF263" s="68" t="str">
        <x:f>IF(COLUMN()-2&lt;=$E$3,INDEX($B$10:$B$59,RANDBETWEEN(1,$E$3)),"")</x:f>
      </x:c>
      <x:c r="AG263" s="68" t="str">
        <x:f>IF(COLUMN()-2&lt;=$E$3,INDEX($B$10:$B$59,RANDBETWEEN(1,$E$3)),"")</x:f>
      </x:c>
      <x:c r="AH263" s="68" t="str">
        <x:f>IF(COLUMN()-2&lt;=$E$3,INDEX($B$10:$B$59,RANDBETWEEN(1,$E$3)),"")</x:f>
      </x:c>
      <x:c r="AI263" s="68" t="str">
        <x:f>IF(COLUMN()-2&lt;=$E$3,INDEX($B$10:$B$59,RANDBETWEEN(1,$E$3)),"")</x:f>
      </x:c>
      <x:c r="AJ263" s="68" t="str">
        <x:f>IF(COLUMN()-2&lt;=$E$3,INDEX($B$10:$B$59,RANDBETWEEN(1,$E$3)),"")</x:f>
      </x:c>
      <x:c r="AK263" s="68" t="str">
        <x:f>IF(COLUMN()-2&lt;=$E$3,INDEX($B$10:$B$59,RANDBETWEEN(1,$E$3)),"")</x:f>
      </x:c>
      <x:c r="AL263" s="68" t="str">
        <x:f>IF(COLUMN()-2&lt;=$E$3,INDEX($B$10:$B$59,RANDBETWEEN(1,$E$3)),"")</x:f>
      </x:c>
      <x:c r="AM263" s="68" t="str">
        <x:f>IF(COLUMN()-2&lt;=$E$3,INDEX($B$10:$B$59,RANDBETWEEN(1,$E$3)),"")</x:f>
      </x:c>
      <x:c r="AN263" s="68" t="str">
        <x:f>IF(COLUMN()-2&lt;=$E$3,INDEX($B$10:$B$59,RANDBETWEEN(1,$E$3)),"")</x:f>
      </x:c>
      <x:c r="AO263" s="68" t="str">
        <x:f>IF(COLUMN()-2&lt;=$E$3,INDEX($B$10:$B$59,RANDBETWEEN(1,$E$3)),"")</x:f>
      </x:c>
      <x:c r="AP263" s="68" t="str">
        <x:f>IF(COLUMN()-2&lt;=$E$3,INDEX($B$10:$B$59,RANDBETWEEN(1,$E$3)),"")</x:f>
      </x:c>
      <x:c r="AQ263" s="68" t="str">
        <x:f>IF(COLUMN()-2&lt;=$E$3,INDEX($B$10:$B$59,RANDBETWEEN(1,$E$3)),"")</x:f>
      </x:c>
      <x:c r="AR263" s="68" t="str">
        <x:f>IF(COLUMN()-2&lt;=$E$3,INDEX($B$10:$B$59,RANDBETWEEN(1,$E$3)),"")</x:f>
      </x:c>
      <x:c r="AS263" s="68" t="str">
        <x:f>IF(COLUMN()-2&lt;=$E$3,INDEX($B$10:$B$59,RANDBETWEEN(1,$E$3)),"")</x:f>
      </x:c>
      <x:c r="AT263" s="68" t="str">
        <x:f>IF(COLUMN()-2&lt;=$E$3,INDEX($B$10:$B$59,RANDBETWEEN(1,$E$3)),"")</x:f>
      </x:c>
      <x:c r="AU263" s="68" t="str">
        <x:f>IF(COLUMN()-2&lt;=$E$3,INDEX($B$10:$B$59,RANDBETWEEN(1,$E$3)),"")</x:f>
      </x:c>
      <x:c r="AV263" s="68" t="str">
        <x:f>IF(COLUMN()-2&lt;=$E$3,INDEX($B$10:$B$59,RANDBETWEEN(1,$E$3)),"")</x:f>
      </x:c>
      <x:c r="AW263" s="68" t="str">
        <x:f>IF(COLUMN()-2&lt;=$E$3,INDEX($B$10:$B$59,RANDBETWEEN(1,$E$3)),"")</x:f>
      </x:c>
      <x:c r="AX263" s="68" t="str">
        <x:f>IF(COLUMN()-2&lt;=$E$3,INDEX($B$10:$B$59,RANDBETWEEN(1,$E$3)),"")</x:f>
      </x:c>
      <x:c r="AY263" s="68" t="str">
        <x:f>IF(COLUMN()-2&lt;=$E$3,INDEX($B$10:$B$59,RANDBETWEEN(1,$E$3)),"")</x:f>
      </x:c>
      <x:c r="AZ263" s="68" t="str">
        <x:f>IF(COLUMN()-2&lt;=$E$3,INDEX($B$10:$B$59,RANDBETWEEN(1,$E$3)),"")</x:f>
      </x:c>
      <x:c r="BA263" s="68" t="str">
        <x:f>IF($E$3=0,"",AVERAGE(C263:AZ263))</x:f>
      </x:c>
    </x:row>
    <x:row r="264">
      <x:c r="A264" t="n">
        <x:v>200</x:v>
      </x:c>
      <x:c r="C264" s="68" t="str">
        <x:f>IF(COLUMN()-2&lt;=$E$3,INDEX($B$10:$B$59,RANDBETWEEN(1,$E$3)),"")</x:f>
      </x:c>
      <x:c r="D264" s="68" t="str">
        <x:f>IF(COLUMN()-2&lt;=$E$3,INDEX($B$10:$B$59,RANDBETWEEN(1,$E$3)),"")</x:f>
      </x:c>
      <x:c r="E264" s="68" t="str">
        <x:f>IF(COLUMN()-2&lt;=$E$3,INDEX($B$10:$B$59,RANDBETWEEN(1,$E$3)),"")</x:f>
      </x:c>
      <x:c r="F264" s="68" t="str">
        <x:f>IF(COLUMN()-2&lt;=$E$3,INDEX($B$10:$B$59,RANDBETWEEN(1,$E$3)),"")</x:f>
      </x:c>
      <x:c r="G264" s="68" t="str">
        <x:f>IF(COLUMN()-2&lt;=$E$3,INDEX($B$10:$B$59,RANDBETWEEN(1,$E$3)),"")</x:f>
      </x:c>
      <x:c r="H264" s="68" t="str">
        <x:f>IF(COLUMN()-2&lt;=$E$3,INDEX($B$10:$B$59,RANDBETWEEN(1,$E$3)),"")</x:f>
      </x:c>
      <x:c r="I264" s="68" t="str">
        <x:f>IF(COLUMN()-2&lt;=$E$3,INDEX($B$10:$B$59,RANDBETWEEN(1,$E$3)),"")</x:f>
      </x:c>
      <x:c r="J264" s="68" t="str">
        <x:f>IF(COLUMN()-2&lt;=$E$3,INDEX($B$10:$B$59,RANDBETWEEN(1,$E$3)),"")</x:f>
      </x:c>
      <x:c r="K264" s="68" t="str">
        <x:f>IF(COLUMN()-2&lt;=$E$3,INDEX($B$10:$B$59,RANDBETWEEN(1,$E$3)),"")</x:f>
      </x:c>
      <x:c r="L264" s="68" t="str">
        <x:f>IF(COLUMN()-2&lt;=$E$3,INDEX($B$10:$B$59,RANDBETWEEN(1,$E$3)),"")</x:f>
      </x:c>
      <x:c r="M264" s="68" t="str">
        <x:f>IF(COLUMN()-2&lt;=$E$3,INDEX($B$10:$B$59,RANDBETWEEN(1,$E$3)),"")</x:f>
      </x:c>
      <x:c r="N264" s="68" t="str">
        <x:f>IF(COLUMN()-2&lt;=$E$3,INDEX($B$10:$B$59,RANDBETWEEN(1,$E$3)),"")</x:f>
      </x:c>
      <x:c r="O264" s="68" t="str">
        <x:f>IF(COLUMN()-2&lt;=$E$3,INDEX($B$10:$B$59,RANDBETWEEN(1,$E$3)),"")</x:f>
      </x:c>
      <x:c r="P264" s="68" t="str">
        <x:f>IF(COLUMN()-2&lt;=$E$3,INDEX($B$10:$B$59,RANDBETWEEN(1,$E$3)),"")</x:f>
      </x:c>
      <x:c r="Q264" s="68" t="str">
        <x:f>IF(COLUMN()-2&lt;=$E$3,INDEX($B$10:$B$59,RANDBETWEEN(1,$E$3)),"")</x:f>
      </x:c>
      <x:c r="R264" s="68" t="str">
        <x:f>IF(COLUMN()-2&lt;=$E$3,INDEX($B$10:$B$59,RANDBETWEEN(1,$E$3)),"")</x:f>
      </x:c>
      <x:c r="S264" s="68" t="str">
        <x:f>IF(COLUMN()-2&lt;=$E$3,INDEX($B$10:$B$59,RANDBETWEEN(1,$E$3)),"")</x:f>
      </x:c>
      <x:c r="T264" s="68" t="str">
        <x:f>IF(COLUMN()-2&lt;=$E$3,INDEX($B$10:$B$59,RANDBETWEEN(1,$E$3)),"")</x:f>
      </x:c>
      <x:c r="U264" s="68" t="str">
        <x:f>IF(COLUMN()-2&lt;=$E$3,INDEX($B$10:$B$59,RANDBETWEEN(1,$E$3)),"")</x:f>
      </x:c>
      <x:c r="V264" s="68" t="str">
        <x:f>IF(COLUMN()-2&lt;=$E$3,INDEX($B$10:$B$59,RANDBETWEEN(1,$E$3)),"")</x:f>
      </x:c>
      <x:c r="W264" s="68" t="str">
        <x:f>IF(COLUMN()-2&lt;=$E$3,INDEX($B$10:$B$59,RANDBETWEEN(1,$E$3)),"")</x:f>
      </x:c>
      <x:c r="X264" s="68" t="str">
        <x:f>IF(COLUMN()-2&lt;=$E$3,INDEX($B$10:$B$59,RANDBETWEEN(1,$E$3)),"")</x:f>
      </x:c>
      <x:c r="Y264" s="68" t="str">
        <x:f>IF(COLUMN()-2&lt;=$E$3,INDEX($B$10:$B$59,RANDBETWEEN(1,$E$3)),"")</x:f>
      </x:c>
      <x:c r="Z264" s="68" t="str">
        <x:f>IF(COLUMN()-2&lt;=$E$3,INDEX($B$10:$B$59,RANDBETWEEN(1,$E$3)),"")</x:f>
      </x:c>
      <x:c r="AA264" s="68" t="str">
        <x:f>IF(COLUMN()-2&lt;=$E$3,INDEX($B$10:$B$59,RANDBETWEEN(1,$E$3)),"")</x:f>
      </x:c>
      <x:c r="AB264" s="68" t="str">
        <x:f>IF(COLUMN()-2&lt;=$E$3,INDEX($B$10:$B$59,RANDBETWEEN(1,$E$3)),"")</x:f>
      </x:c>
      <x:c r="AC264" s="68" t="str">
        <x:f>IF(COLUMN()-2&lt;=$E$3,INDEX($B$10:$B$59,RANDBETWEEN(1,$E$3)),"")</x:f>
      </x:c>
      <x:c r="AD264" s="68" t="str">
        <x:f>IF(COLUMN()-2&lt;=$E$3,INDEX($B$10:$B$59,RANDBETWEEN(1,$E$3)),"")</x:f>
      </x:c>
      <x:c r="AE264" s="68" t="str">
        <x:f>IF(COLUMN()-2&lt;=$E$3,INDEX($B$10:$B$59,RANDBETWEEN(1,$E$3)),"")</x:f>
      </x:c>
      <x:c r="AF264" s="68" t="str">
        <x:f>IF(COLUMN()-2&lt;=$E$3,INDEX($B$10:$B$59,RANDBETWEEN(1,$E$3)),"")</x:f>
      </x:c>
      <x:c r="AG264" s="68" t="str">
        <x:f>IF(COLUMN()-2&lt;=$E$3,INDEX($B$10:$B$59,RANDBETWEEN(1,$E$3)),"")</x:f>
      </x:c>
      <x:c r="AH264" s="68" t="str">
        <x:f>IF(COLUMN()-2&lt;=$E$3,INDEX($B$10:$B$59,RANDBETWEEN(1,$E$3)),"")</x:f>
      </x:c>
      <x:c r="AI264" s="68" t="str">
        <x:f>IF(COLUMN()-2&lt;=$E$3,INDEX($B$10:$B$59,RANDBETWEEN(1,$E$3)),"")</x:f>
      </x:c>
      <x:c r="AJ264" s="68" t="str">
        <x:f>IF(COLUMN()-2&lt;=$E$3,INDEX($B$10:$B$59,RANDBETWEEN(1,$E$3)),"")</x:f>
      </x:c>
      <x:c r="AK264" s="68" t="str">
        <x:f>IF(COLUMN()-2&lt;=$E$3,INDEX($B$10:$B$59,RANDBETWEEN(1,$E$3)),"")</x:f>
      </x:c>
      <x:c r="AL264" s="68" t="str">
        <x:f>IF(COLUMN()-2&lt;=$E$3,INDEX($B$10:$B$59,RANDBETWEEN(1,$E$3)),"")</x:f>
      </x:c>
      <x:c r="AM264" s="68" t="str">
        <x:f>IF(COLUMN()-2&lt;=$E$3,INDEX($B$10:$B$59,RANDBETWEEN(1,$E$3)),"")</x:f>
      </x:c>
      <x:c r="AN264" s="68" t="str">
        <x:f>IF(COLUMN()-2&lt;=$E$3,INDEX($B$10:$B$59,RANDBETWEEN(1,$E$3)),"")</x:f>
      </x:c>
      <x:c r="AO264" s="68" t="str">
        <x:f>IF(COLUMN()-2&lt;=$E$3,INDEX($B$10:$B$59,RANDBETWEEN(1,$E$3)),"")</x:f>
      </x:c>
      <x:c r="AP264" s="68" t="str">
        <x:f>IF(COLUMN()-2&lt;=$E$3,INDEX($B$10:$B$59,RANDBETWEEN(1,$E$3)),"")</x:f>
      </x:c>
      <x:c r="AQ264" s="68" t="str">
        <x:f>IF(COLUMN()-2&lt;=$E$3,INDEX($B$10:$B$59,RANDBETWEEN(1,$E$3)),"")</x:f>
      </x:c>
      <x:c r="AR264" s="68" t="str">
        <x:f>IF(COLUMN()-2&lt;=$E$3,INDEX($B$10:$B$59,RANDBETWEEN(1,$E$3)),"")</x:f>
      </x:c>
      <x:c r="AS264" s="68" t="str">
        <x:f>IF(COLUMN()-2&lt;=$E$3,INDEX($B$10:$B$59,RANDBETWEEN(1,$E$3)),"")</x:f>
      </x:c>
      <x:c r="AT264" s="68" t="str">
        <x:f>IF(COLUMN()-2&lt;=$E$3,INDEX($B$10:$B$59,RANDBETWEEN(1,$E$3)),"")</x:f>
      </x:c>
      <x:c r="AU264" s="68" t="str">
        <x:f>IF(COLUMN()-2&lt;=$E$3,INDEX($B$10:$B$59,RANDBETWEEN(1,$E$3)),"")</x:f>
      </x:c>
      <x:c r="AV264" s="68" t="str">
        <x:f>IF(COLUMN()-2&lt;=$E$3,INDEX($B$10:$B$59,RANDBETWEEN(1,$E$3)),"")</x:f>
      </x:c>
      <x:c r="AW264" s="68" t="str">
        <x:f>IF(COLUMN()-2&lt;=$E$3,INDEX($B$10:$B$59,RANDBETWEEN(1,$E$3)),"")</x:f>
      </x:c>
      <x:c r="AX264" s="68" t="str">
        <x:f>IF(COLUMN()-2&lt;=$E$3,INDEX($B$10:$B$59,RANDBETWEEN(1,$E$3)),"")</x:f>
      </x:c>
      <x:c r="AY264" s="68" t="str">
        <x:f>IF(COLUMN()-2&lt;=$E$3,INDEX($B$10:$B$59,RANDBETWEEN(1,$E$3)),"")</x:f>
      </x:c>
      <x:c r="AZ264" s="68" t="str">
        <x:f>IF(COLUMN()-2&lt;=$E$3,INDEX($B$10:$B$59,RANDBETWEEN(1,$E$3)),"")</x:f>
      </x:c>
      <x:c r="BA264" s="68" t="str">
        <x:f>IF($E$3=0,"",AVERAGE(C264:AZ264))</x:f>
      </x:c>
    </x:row>
  </x:sheetData>
  <x:mergeCells>
    <x:mergeCell ref="A1:J1"/>
    <x:mergeCell ref="A2:J2"/>
    <x:mergeCell ref="D60:J6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8" hidden="0" customWidth="1"/>
    <x:col min="4" max="4" width="27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Tutorial 9 · Lecturer-Confirmed Priority Questions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Confirmed priority: Questions 1, 2, 3, 4, 7, 8, 10, 14 and 15. Use this as a route map, then do the actual tutorial questions.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78" t="str">
        <x:v>Q</x:v>
      </x:c>
      <x:c r="B4" s="78" t="str">
        <x:v>Core skill</x:v>
      </x:c>
      <x:c r="C4" s="78" t="str">
        <x:v>What you must decide/do</x:v>
      </x:c>
      <x:c r="D4" s="78" t="str">
        <x:v>Best workbook tab</x:v>
      </x:c>
      <x:c r="E4" s="78" t="str">
        <x:v>Key Excel route</x:v>
      </x:c>
      <x:c r="F4" s="76"/>
      <x:c r="G4" s="76"/>
      <x:c r="H4" s="76"/>
      <x:c r="I4" s="76"/>
      <x:c r="J4" s="76"/>
    </x:row>
    <x:row r="5">
      <x:c r="A5" s="79" t="n">
        <x:v>1</x:v>
      </x:c>
      <x:c r="B5" s="80" t="str">
        <x:v>Type I error</x:v>
      </x:c>
      <x:c r="C5" s="80" t="str">
        <x:v>Explain why H0 can be rejected when H0 is actually true.</x:v>
      </x:c>
      <x:c r="D5" s="80" t="str">
        <x:v>Concept / paper</x:v>
      </x:c>
      <x:c r="E5" s="80" t="str">
        <x:v>Type I probability = α</x:v>
      </x:c>
      <x:c r="F5" s="76"/>
      <x:c r="G5" s="76"/>
      <x:c r="H5" s="76"/>
      <x:c r="I5" s="76"/>
      <x:c r="J5" s="76"/>
    </x:row>
    <x:row r="6">
      <x:c r="A6" s="79" t="n">
        <x:v>2</x:v>
      </x:c>
      <x:c r="B6" s="80" t="str">
        <x:v>α versus β</x:v>
      </x:c>
      <x:c r="C6" s="80" t="str">
        <x:v>For fixed n, explain what happens to β when α is reduced.</x:v>
      </x:c>
      <x:c r="D6" s="80" t="str">
        <x:v>Concept / paper</x:v>
      </x:c>
      <x:c r="E6" s="80" t="str">
        <x:v>Smaller α → larger β (all else fixed)</x:v>
      </x:c>
      <x:c r="F6" s="76"/>
      <x:c r="G6" s="76"/>
      <x:c r="H6" s="76"/>
      <x:c r="I6" s="76"/>
      <x:c r="J6" s="76"/>
    </x:row>
    <x:row r="7">
      <x:c r="A7" s="79" t="n">
        <x:v>3</x:v>
      </x:c>
      <x:c r="B7" s="80" t="str">
        <x:v>β and distance from μ0</x:v>
      </x:c>
      <x:c r="C7" s="80" t="str">
        <x:v>Explain why a true mean closer to the null is harder to detect.</x:v>
      </x:c>
      <x:c r="D7" s="80" t="str">
        <x:v>Concept / paper</x:v>
      </x:c>
      <x:c r="E7" s="80" t="str">
        <x:v>Closer alternative → larger β</x:v>
      </x:c>
      <x:c r="F7" s="76"/>
      <x:c r="G7" s="76"/>
      <x:c r="H7" s="76"/>
      <x:c r="I7" s="76"/>
      <x:c r="J7" s="76"/>
    </x:row>
    <x:row r="8">
      <x:c r="A8" s="79" t="n">
        <x:v>4</x:v>
      </x:c>
      <x:c r="B8" s="80" t="str">
        <x:v>Two-tail Z critical rule</x:v>
      </x:c>
      <x:c r="C8" s="80" t="str">
        <x:v>Build the α=.10 two-tail rejection region.</x:v>
      </x:c>
      <x:c r="D8" s="80" t="str">
        <x:v>CH9_HYPOTHESIS</x:v>
      </x:c>
      <x:c r="E8" s="80" t="str">
        <x:v>critical Z = ±NORM.S.INV(1-α/2)</x:v>
      </x:c>
      <x:c r="F8" s="76"/>
      <x:c r="G8" s="76"/>
      <x:c r="H8" s="76"/>
      <x:c r="I8" s="76"/>
      <x:c r="J8" s="76"/>
    </x:row>
    <x:row r="9">
      <x:c r="A9" s="79" t="n">
        <x:v>7</x:v>
      </x:c>
      <x:c r="B9" s="80" t="str">
        <x:v>Two-tail Z p-value</x:v>
      </x:c>
      <x:c r="C9" s="80" t="str">
        <x:v>Given Z=2.00, calculate p and decide at α=.05.</x:v>
      </x:c>
      <x:c r="D9" s="80" t="str">
        <x:v>CH9_HYPOTHESIS</x:v>
      </x:c>
      <x:c r="E9" s="80" t="str">
        <x:v>2*(1-NORM.S.DIST(ABS(z),TRUE))</x:v>
      </x:c>
      <x:c r="F9" s="76"/>
      <x:c r="G9" s="76"/>
      <x:c r="H9" s="76"/>
      <x:c r="I9" s="76"/>
      <x:c r="J9" s="76"/>
    </x:row>
    <x:row r="10">
      <x:c r="A10" s="79" t="n">
        <x:v>8</x:v>
      </x:c>
      <x:c r="B10" s="80" t="str">
        <x:v>Two-tail Z p-value</x:v>
      </x:c>
      <x:c r="C10" s="80" t="str">
        <x:v>Given Z=-1.38, calculate p and decide at α=.01.</x:v>
      </x:c>
      <x:c r="D10" s="80" t="str">
        <x:v>CH9_HYPOTHESIS</x:v>
      </x:c>
      <x:c r="E10" s="80" t="str">
        <x:v>2*(1-NORM.S.DIST(ABS(z),TRUE))</x:v>
      </x:c>
      <x:c r="F10" s="76"/>
      <x:c r="G10" s="76"/>
      <x:c r="H10" s="76"/>
      <x:c r="I10" s="76"/>
      <x:c r="J10" s="76"/>
    </x:row>
    <x:row r="11">
      <x:c r="A11" s="79" t="n">
        <x:v>10</x:v>
      </x:c>
      <x:c r="B11" s="80" t="str">
        <x:v>Known-σ mean test + p + 99% CI</x:v>
      </x:c>
      <x:c r="C11" s="80" t="str">
        <x:v>Paint-can two-tail Z test; connect test and same-level CI.</x:v>
      </x:c>
      <x:c r="D11" s="80" t="str">
        <x:v>CH9_HYPOTHESIS</x:v>
      </x:c>
      <x:c r="E11" s="80" t="str">
        <x:v>Zcalc, p-value, z-CI</x:v>
      </x:c>
      <x:c r="F11" s="76"/>
      <x:c r="G11" s="76"/>
      <x:c r="H11" s="76"/>
      <x:c r="I11" s="76"/>
      <x:c r="J11" s="76"/>
    </x:row>
    <x:row r="12">
      <x:c r="A12" s="79" t="n">
        <x:v>14</x:v>
      </x:c>
      <x:c r="B12" s="80" t="str">
        <x:v>Raw-data t test</x:v>
      </x:c>
      <x:c r="C12" s="80" t="str">
        <x:v>Calculate X̄ and s from 50 raw bottle fills, then t, p and decision.</x:v>
      </x:c>
      <x:c r="D12" s="80" t="str">
        <x:v>T9_Q14_RAW / CH9_HYPOTHESIS</x:v>
      </x:c>
      <x:c r="E12" s="80" t="str">
        <x:v>AVERAGE, STDEV.S, T.DIST.2T</x:v>
      </x:c>
      <x:c r="F12" s="76"/>
      <x:c r="G12" s="76"/>
      <x:c r="H12" s="76"/>
      <x:c r="I12" s="76"/>
      <x:c r="J12" s="76"/>
    </x:row>
    <x:row r="13">
      <x:c r="A13" s="79" t="n">
        <x:v>15</x:v>
      </x:c>
      <x:c r="B13" s="80" t="str">
        <x:v>Population-proportion CI</x:v>
      </x:c>
      <x:c r="C13" s="80" t="str">
        <x:v>n=200, x=50; construct 95% CI for π.</x:v>
      </x:c>
      <x:c r="D13" s="80" t="str">
        <x:v>CH8_CI_SAMPLE_SIZE</x:v>
      </x:c>
      <x:c r="E13" s="80" t="str">
        <x:v>p=x/n; p ± z*SQRT(p(1-p)/n)</x:v>
      </x:c>
      <x:c r="F13" s="76"/>
      <x:c r="G13" s="76"/>
      <x:c r="H13" s="76"/>
      <x:c r="I13" s="76"/>
      <x:c r="J13" s="76"/>
    </x:row>
    <x:row r="14">
      <x:c r="A14" s="76"/>
      <x:c r="B14" s="76"/>
      <x:c r="C14" s="76"/>
      <x:c r="D14" s="76"/>
      <x:c r="E14" s="76"/>
      <x:c r="F14" s="76"/>
      <x:c r="G14" s="76"/>
      <x:c r="H14" s="76"/>
      <x:c r="I14" s="76"/>
      <x:c r="J14" s="76"/>
    </x:row>
    <x:row r="15">
      <x:c r="A15" s="115" t="str">
        <x:v>REAL-A1S2 RULE: use the supplied/permitted Excel environment. This automated file is for rehearsal and speed-building unless the assessment instructions explicitly allow you to open it.</x:v>
      </x:c>
      <x:c r="B15" s="115"/>
      <x:c r="C15" s="115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</x:row>
    <x:row r="18">
      <x:c r="A18" s="76"/>
      <x:c r="B18" s="76"/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124" t="str">
        <x:v>SCOPE INTERPRETATION: the lecturer-confirmed Tutorial 9 priority set is Q1, Q2, Q3, Q4, Q7, Q8, Q10, Q14 and Q15. Q15 is a Chapter 8 proportion confidence interval. Do not infer from the existence of later Tutorial 9 questions that post–Slide 51 Chapter 9 procedures are part of A1S2.</x:v>
      </x:c>
      <x:c r="B19" s="124"/>
      <x:c r="C19" s="124"/>
      <x:c r="D19" s="124"/>
      <x:c r="E19" s="124"/>
      <x:c r="F19" s="124"/>
      <x:c r="G19" s="124"/>
      <x:c r="H19" s="124"/>
      <x:c r="I19" s="124"/>
      <x:c r="J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  <x:c r="I20" s="124"/>
      <x:c r="J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  <x:c r="I21" s="124"/>
      <x:c r="J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  <x:c r="I22" s="124"/>
      <x:c r="J22" s="124"/>
    </x:row>
    <x:row r="23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/>
    </x:row>
    <x:row r="24">
      <x:c r="A24" s="76"/>
      <x:c r="B24" s="76"/>
      <x:c r="C24" s="76"/>
      <x:c r="D24" s="76"/>
      <x:c r="E24" s="76"/>
      <x:c r="F24" s="76"/>
      <x:c r="G24" s="76"/>
      <x:c r="H24" s="76"/>
      <x:c r="I24" s="76"/>
      <x:c r="J24" s="76"/>
    </x:row>
    <x:row r="25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</x:row>
    <x:row r="26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</x:row>
    <x:row r="27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6"/>
      <x:c r="B28" s="76"/>
      <x:c r="C28" s="76"/>
      <x:c r="D28" s="76"/>
      <x:c r="E28" s="76"/>
      <x:c r="F28" s="76"/>
      <x:c r="G28" s="76"/>
      <x:c r="H28" s="76"/>
      <x:c r="I28" s="76"/>
      <x:c r="J28" s="76"/>
    </x:row>
    <x:row r="29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</x:row>
    <x:row r="30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</x:row>
    <x:row r="3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</x:row>
    <x:row r="32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</x:row>
    <x:row r="33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</x:row>
    <x:row r="34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</x:row>
    <x:row r="35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</x:row>
    <x:row r="36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A15:J17"/>
    <x:mergeCell ref="A19:J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" hidden="0" customWidth="1"/>
    <x:col min="4" max="4" width="30" hidden="0" customWidth="1"/>
    <x:col min="5" max="5" width="20" hidden="0" customWidth="1"/>
    <x:col min="6" max="6" width="4" hidden="0" customWidth="1"/>
    <x:col min="7" max="7" width="28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28" customHeight="1">
      <x:c r="A1" s="74" t="str">
        <x:v>Tutorial 9 Q14 · Raw-Data Student-t Route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8" customHeight="1">
      <x:c r="A2" s="75" t="str">
        <x:v>Source question: test H0: μ=2 versus H1: μ≠2 at α=.05 using the 50 consecutive bottle-fill observations.</x:v>
      </x:c>
      <x:c r="B2" s="75"/>
      <x:c r="C2" s="75"/>
      <x:c r="D2" s="75"/>
      <x:c r="E2" s="75"/>
      <x:c r="F2" s="75"/>
      <x:c r="G2" s="75"/>
      <x:c r="H2" s="75"/>
      <x:c r="I2" s="75"/>
      <x:c r="J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78" t="str">
        <x:v>Obs</x:v>
      </x:c>
      <x:c r="B4" s="78" t="str">
        <x:v>Fill (L)</x:v>
      </x:c>
      <x:c r="C4" s="76"/>
      <x:c r="D4" s="78" t="str">
        <x:v>CALCULATION</x:v>
      </x:c>
      <x:c r="E4" s="78" t="str">
        <x:v>RESULT</x:v>
      </x:c>
      <x:c r="F4" s="76"/>
      <x:c r="G4" s="76"/>
      <x:c r="H4" s="76"/>
      <x:c r="I4" s="76"/>
      <x:c r="J4" s="76"/>
    </x:row>
    <x:row r="5">
      <x:c r="A5" s="76" t="n">
        <x:v>1</x:v>
      </x:c>
      <x:c r="B5" s="108" t="n">
        <x:v>2.109</x:v>
      </x:c>
      <x:c r="C5" s="76"/>
      <x:c r="D5" s="79" t="str">
        <x:v>n</x:v>
      </x:c>
      <x:c r="E5" s="100" t="n">
        <x:f>COUNT(B5:B54)</x:f>
        <x:v>50</x:v>
      </x:c>
      <x:c r="F5" s="76"/>
      <x:c r="G5" s="76"/>
      <x:c r="H5" s="76"/>
      <x:c r="I5" s="76"/>
      <x:c r="J5" s="76"/>
    </x:row>
    <x:row r="6">
      <x:c r="A6" s="76" t="n">
        <x:v>2</x:v>
      </x:c>
      <x:c r="B6" s="108" t="n">
        <x:v>2.086</x:v>
      </x:c>
      <x:c r="C6" s="76"/>
      <x:c r="D6" s="79" t="str">
        <x:v>X̄</x:v>
      </x:c>
      <x:c r="E6" s="109" t="n">
        <x:f>AVERAGE(B5:B54)</x:f>
        <x:v>2.0007199999999994</x:v>
      </x:c>
      <x:c r="F6" s="76"/>
      <x:c r="G6" s="76"/>
      <x:c r="H6" s="76"/>
      <x:c r="I6" s="76"/>
      <x:c r="J6" s="76"/>
    </x:row>
    <x:row r="7">
      <x:c r="A7" s="76" t="n">
        <x:v>3</x:v>
      </x:c>
      <x:c r="B7" s="108" t="n">
        <x:v>2.066</x:v>
      </x:c>
      <x:c r="C7" s="76"/>
      <x:c r="D7" s="79" t="str">
        <x:v>s</x:v>
      </x:c>
      <x:c r="E7" s="109" t="n">
        <x:f>STDEV.S(B5:B54)</x:f>
        <x:v>0.044563662327057434</x:v>
      </x:c>
      <x:c r="F7" s="76"/>
      <x:c r="G7" s="76"/>
      <x:c r="H7" s="76"/>
      <x:c r="I7" s="76"/>
      <x:c r="J7" s="76"/>
    </x:row>
    <x:row r="8">
      <x:c r="A8" s="76" t="n">
        <x:v>4</x:v>
      </x:c>
      <x:c r="B8" s="108" t="n">
        <x:v>2.075</x:v>
      </x:c>
      <x:c r="C8" s="76"/>
      <x:c r="D8" s="79" t="str">
        <x:v>μ0</x:v>
      </x:c>
      <x:c r="E8" s="109" t="n">
        <x:f>2</x:f>
        <x:v>2</x:v>
      </x:c>
      <x:c r="F8" s="76"/>
      <x:c r="G8" s="76"/>
      <x:c r="H8" s="76"/>
      <x:c r="I8" s="76"/>
      <x:c r="J8" s="76"/>
    </x:row>
    <x:row r="9">
      <x:c r="A9" s="76" t="n">
        <x:v>5</x:v>
      </x:c>
      <x:c r="B9" s="108" t="n">
        <x:v>2.065</x:v>
      </x:c>
      <x:c r="C9" s="76"/>
      <x:c r="D9" s="79" t="str">
        <x:v>α</x:v>
      </x:c>
      <x:c r="E9" s="91" t="n">
        <x:f>0.05</x:f>
        <x:v>0.05</x:v>
      </x:c>
      <x:c r="F9" s="76"/>
      <x:c r="G9" s="76"/>
      <x:c r="H9" s="76"/>
      <x:c r="I9" s="76"/>
      <x:c r="J9" s="76"/>
    </x:row>
    <x:row r="10">
      <x:c r="A10" s="76" t="n">
        <x:v>6</x:v>
      </x:c>
      <x:c r="B10" s="108" t="n">
        <x:v>2.057</x:v>
      </x:c>
      <x:c r="C10" s="76"/>
      <x:c r="D10" s="79" t="str">
        <x:v>df</x:v>
      </x:c>
      <x:c r="E10" s="100" t="n">
        <x:f>E5-1</x:f>
        <x:v>49</x:v>
      </x:c>
      <x:c r="F10" s="76"/>
      <x:c r="G10" s="76"/>
      <x:c r="H10" s="76"/>
      <x:c r="I10" s="76"/>
      <x:c r="J10" s="76"/>
    </x:row>
    <x:row r="11">
      <x:c r="A11" s="76" t="n">
        <x:v>7</x:v>
      </x:c>
      <x:c r="B11" s="108" t="n">
        <x:v>2.052</x:v>
      </x:c>
      <x:c r="C11" s="76"/>
      <x:c r="D11" s="79" t="str">
        <x:v>SE</x:v>
      </x:c>
      <x:c r="E11" s="109" t="n">
        <x:f>E7/SQRT(E5)</x:f>
        <x:v>0.006302253565193958</x:v>
      </x:c>
      <x:c r="F11" s="76"/>
      <x:c r="G11" s="76"/>
      <x:c r="H11" s="76"/>
      <x:c r="I11" s="76"/>
      <x:c r="J11" s="76"/>
    </x:row>
    <x:row r="12">
      <x:c r="A12" s="76" t="n">
        <x:v>8</x:v>
      </x:c>
      <x:c r="B12" s="108" t="n">
        <x:v>2.044</x:v>
      </x:c>
      <x:c r="C12" s="76"/>
      <x:c r="D12" s="79" t="str">
        <x:v>Tcalc</x:v>
      </x:c>
      <x:c r="E12" s="91" t="n">
        <x:f>(E6-E8)/E11</x:f>
        <x:v>0.11424484790262943</x:v>
      </x:c>
      <x:c r="F12" s="76"/>
      <x:c r="G12" s="76"/>
      <x:c r="H12" s="76"/>
      <x:c r="I12" s="76"/>
      <x:c r="J12" s="76"/>
    </x:row>
    <x:row r="13">
      <x:c r="A13" s="76" t="n">
        <x:v>9</x:v>
      </x:c>
      <x:c r="B13" s="108" t="n">
        <x:v>2.036</x:v>
      </x:c>
      <x:c r="C13" s="76"/>
      <x:c r="D13" s="79" t="str">
        <x:v>Two-tail p</x:v>
      </x:c>
      <x:c r="E13" s="91" t="str">
        <x:f>IFERROR(T.DIST.2T(ABS(E12),E10),"")</x:f>
      </x:c>
      <x:c r="F13" s="76"/>
      <x:c r="G13" s="76"/>
      <x:c r="H13" s="76"/>
      <x:c r="I13" s="76"/>
      <x:c r="J13" s="76"/>
    </x:row>
    <x:row r="14">
      <x:c r="A14" s="76" t="n">
        <x:v>10</x:v>
      </x:c>
      <x:c r="B14" s="108" t="n">
        <x:v>2.038</x:v>
      </x:c>
      <x:c r="C14" s="76"/>
      <x:c r="D14" s="79" t="str">
        <x:v>t*</x:v>
      </x:c>
      <x:c r="E14" s="91" t="n">
        <x:f>T.INV(1-E9/2,E10)</x:f>
        <x:v>2.00957519934976</x:v>
      </x:c>
      <x:c r="F14" s="76"/>
      <x:c r="G14" s="76"/>
      <x:c r="H14" s="76"/>
      <x:c r="I14" s="76"/>
      <x:c r="J14" s="76"/>
    </x:row>
    <x:row r="15">
      <x:c r="A15" s="76" t="n">
        <x:v>11</x:v>
      </x:c>
      <x:c r="B15" s="108" t="n">
        <x:v>2.031</x:v>
      </x:c>
      <x:c r="C15" s="76"/>
      <x:c r="D15" s="79" t="str">
        <x:v>Decision</x:v>
      </x:c>
      <x:c r="E15" s="97" t="str">
        <x:f>IF(E13="","",IF(E13&lt;=E9,"Reject H0","Do not reject H0"))</x:f>
      </x:c>
      <x:c r="F15" s="76"/>
      <x:c r="G15" s="76"/>
      <x:c r="H15" s="76"/>
      <x:c r="I15" s="76"/>
      <x:c r="J15" s="76"/>
    </x:row>
    <x:row r="16">
      <x:c r="A16" s="76" t="n">
        <x:v>12</x:v>
      </x:c>
      <x:c r="B16" s="108" t="n">
        <x:v>2.029</x:v>
      </x:c>
      <x:c r="C16" s="76"/>
      <x:c r="D16" s="76"/>
      <x:c r="E16" s="76"/>
      <x:c r="F16" s="76"/>
      <x:c r="G16" s="76"/>
      <x:c r="H16" s="76"/>
      <x:c r="I16" s="76"/>
      <x:c r="J16" s="76"/>
    </x:row>
    <x:row r="17">
      <x:c r="A17" s="76" t="n">
        <x:v>13</x:v>
      </x:c>
      <x:c r="B17" s="108" t="n">
        <x:v>2.025</x:v>
      </x:c>
      <x:c r="C17" s="76"/>
      <x:c r="D17" s="75" t="str">
        <x:v>Interpretation control: because this is a two-tail test, compare the two-tail p-value with α or compare |Tcalc| with t*. Use 'Do not reject H0' if the evidence is insufficient; do not write 'accept H0'.</x:v>
      </x:c>
      <x:c r="E17" s="75"/>
      <x:c r="F17" s="75"/>
      <x:c r="G17" s="75"/>
      <x:c r="H17" s="75"/>
      <x:c r="I17" s="75"/>
      <x:c r="J17" s="75"/>
    </x:row>
    <x:row r="18">
      <x:c r="A18" s="76" t="n">
        <x:v>14</x:v>
      </x:c>
      <x:c r="B18" s="108" t="n">
        <x:v>2.029</x:v>
      </x:c>
      <x:c r="C18" s="76"/>
      <x:c r="D18" s="75"/>
      <x:c r="E18" s="75"/>
      <x:c r="F18" s="75"/>
      <x:c r="G18" s="75"/>
      <x:c r="H18" s="75"/>
      <x:c r="I18" s="75"/>
      <x:c r="J18" s="75"/>
    </x:row>
    <x:row r="19">
      <x:c r="A19" s="76" t="n">
        <x:v>15</x:v>
      </x:c>
      <x:c r="B19" s="108" t="n">
        <x:v>2.023</x:v>
      </x:c>
      <x:c r="C19" s="76"/>
      <x:c r="D19" s="75"/>
      <x:c r="E19" s="75"/>
      <x:c r="F19" s="75"/>
      <x:c r="G19" s="75"/>
      <x:c r="H19" s="75"/>
      <x:c r="I19" s="75"/>
      <x:c r="J19" s="75"/>
    </x:row>
    <x:row r="20">
      <x:c r="A20" s="76" t="n">
        <x:v>16</x:v>
      </x:c>
      <x:c r="B20" s="108" t="n">
        <x:v>2.02</x:v>
      </x:c>
      <x:c r="C20" s="76"/>
      <x:c r="D20" s="76"/>
      <x:c r="E20" s="76"/>
      <x:c r="F20" s="76"/>
      <x:c r="G20" s="76"/>
      <x:c r="H20" s="76"/>
      <x:c r="I20" s="76"/>
      <x:c r="J20" s="76"/>
    </x:row>
    <x:row r="21">
      <x:c r="A21" s="76" t="n">
        <x:v>17</x:v>
      </x:c>
      <x:c r="B21" s="108" t="n">
        <x:v>2.015</x:v>
      </x:c>
      <x:c r="C21" s="76"/>
      <x:c r="D21" s="76"/>
      <x:c r="E21" s="76"/>
      <x:c r="F21" s="76"/>
      <x:c r="G21" s="76"/>
      <x:c r="H21" s="76"/>
      <x:c r="I21" s="76"/>
      <x:c r="J21" s="76"/>
    </x:row>
    <x:row r="22">
      <x:c r="A22" s="76" t="n">
        <x:v>18</x:v>
      </x:c>
      <x:c r="B22" s="108" t="n">
        <x:v>2.014</x:v>
      </x:c>
      <x:c r="C22" s="76"/>
      <x:c r="D22" s="76"/>
      <x:c r="E22" s="76"/>
      <x:c r="F22" s="76"/>
      <x:c r="G22" s="76"/>
      <x:c r="H22" s="76"/>
      <x:c r="I22" s="76"/>
      <x:c r="J22" s="76"/>
    </x:row>
    <x:row r="23">
      <x:c r="A23" s="76" t="n">
        <x:v>19</x:v>
      </x:c>
      <x:c r="B23" s="108" t="n">
        <x:v>2.013</x:v>
      </x:c>
      <x:c r="C23" s="76"/>
      <x:c r="D23" s="76"/>
      <x:c r="E23" s="76"/>
      <x:c r="F23" s="76"/>
      <x:c r="G23" s="76"/>
      <x:c r="H23" s="76"/>
      <x:c r="I23" s="76"/>
      <x:c r="J23" s="76"/>
    </x:row>
    <x:row r="24">
      <x:c r="A24" s="76" t="n">
        <x:v>20</x:v>
      </x:c>
      <x:c r="B24" s="108" t="n">
        <x:v>2.014</x:v>
      </x:c>
      <x:c r="C24" s="76"/>
      <x:c r="D24" s="76"/>
      <x:c r="E24" s="76"/>
      <x:c r="F24" s="76"/>
      <x:c r="G24" s="76"/>
      <x:c r="H24" s="76"/>
      <x:c r="I24" s="76"/>
      <x:c r="J24" s="76"/>
    </x:row>
    <x:row r="25">
      <x:c r="A25" s="76" t="n">
        <x:v>21</x:v>
      </x:c>
      <x:c r="B25" s="108" t="n">
        <x:v>2.012</x:v>
      </x:c>
      <x:c r="C25" s="76"/>
      <x:c r="D25" s="76"/>
      <x:c r="E25" s="76"/>
      <x:c r="F25" s="76"/>
      <x:c r="G25" s="76"/>
      <x:c r="H25" s="76"/>
      <x:c r="I25" s="76"/>
      <x:c r="J25" s="76"/>
    </x:row>
    <x:row r="26">
      <x:c r="A26" s="76" t="n">
        <x:v>22</x:v>
      </x:c>
      <x:c r="B26" s="108" t="n">
        <x:v>2.012</x:v>
      </x:c>
      <x:c r="C26" s="76"/>
      <x:c r="D26" s="76"/>
      <x:c r="E26" s="76"/>
      <x:c r="F26" s="76"/>
      <x:c r="G26" s="76"/>
      <x:c r="H26" s="76"/>
      <x:c r="I26" s="76"/>
      <x:c r="J26" s="76"/>
    </x:row>
    <x:row r="27">
      <x:c r="A27" s="76" t="n">
        <x:v>23</x:v>
      </x:c>
      <x:c r="B27" s="108" t="n">
        <x:v>2.012</x:v>
      </x:c>
      <x:c r="C27" s="76"/>
      <x:c r="D27" s="76"/>
      <x:c r="E27" s="76"/>
      <x:c r="F27" s="76"/>
      <x:c r="G27" s="76"/>
      <x:c r="H27" s="76"/>
      <x:c r="I27" s="76"/>
      <x:c r="J27" s="76"/>
    </x:row>
    <x:row r="28">
      <x:c r="A28" s="76" t="n">
        <x:v>24</x:v>
      </x:c>
      <x:c r="B28" s="108" t="n">
        <x:v>2.01</x:v>
      </x:c>
      <x:c r="C28" s="76"/>
      <x:c r="D28" s="76"/>
      <x:c r="E28" s="76"/>
      <x:c r="F28" s="76"/>
      <x:c r="G28" s="76"/>
      <x:c r="H28" s="76"/>
      <x:c r="I28" s="76"/>
      <x:c r="J28" s="76"/>
    </x:row>
    <x:row r="29">
      <x:c r="A29" s="76" t="n">
        <x:v>25</x:v>
      </x:c>
      <x:c r="B29" s="108" t="n">
        <x:v>2.005</x:v>
      </x:c>
      <x:c r="C29" s="76"/>
      <x:c r="D29" s="76"/>
      <x:c r="E29" s="76"/>
      <x:c r="F29" s="76"/>
      <x:c r="G29" s="76"/>
      <x:c r="H29" s="76"/>
      <x:c r="I29" s="76"/>
      <x:c r="J29" s="76"/>
    </x:row>
    <x:row r="30">
      <x:c r="A30" s="76" t="n">
        <x:v>26</x:v>
      </x:c>
      <x:c r="B30" s="108" t="n">
        <x:v>2.003</x:v>
      </x:c>
      <x:c r="C30" s="76"/>
      <x:c r="D30" s="76"/>
      <x:c r="E30" s="76"/>
      <x:c r="F30" s="76"/>
      <x:c r="G30" s="76"/>
      <x:c r="H30" s="76"/>
      <x:c r="I30" s="76"/>
      <x:c r="J30" s="76"/>
    </x:row>
    <x:row r="31">
      <x:c r="A31" s="76" t="n">
        <x:v>27</x:v>
      </x:c>
      <x:c r="B31" s="108" t="n">
        <x:v>1.999</x:v>
      </x:c>
      <x:c r="C31" s="76"/>
      <x:c r="D31" s="76"/>
      <x:c r="E31" s="76"/>
      <x:c r="F31" s="76"/>
      <x:c r="G31" s="76"/>
      <x:c r="H31" s="76"/>
      <x:c r="I31" s="76"/>
      <x:c r="J31" s="76"/>
    </x:row>
    <x:row r="32">
      <x:c r="A32" s="76" t="n">
        <x:v>28</x:v>
      </x:c>
      <x:c r="B32" s="108" t="n">
        <x:v>1.996</x:v>
      </x:c>
      <x:c r="C32" s="76"/>
      <x:c r="D32" s="76"/>
      <x:c r="E32" s="76"/>
      <x:c r="F32" s="76"/>
      <x:c r="G32" s="76"/>
      <x:c r="H32" s="76"/>
      <x:c r="I32" s="76"/>
      <x:c r="J32" s="76"/>
    </x:row>
    <x:row r="33">
      <x:c r="A33" s="76" t="n">
        <x:v>29</x:v>
      </x:c>
      <x:c r="B33" s="108" t="n">
        <x:v>1.997</x:v>
      </x:c>
      <x:c r="C33" s="76"/>
      <x:c r="D33" s="76"/>
      <x:c r="E33" s="76"/>
      <x:c r="F33" s="76"/>
      <x:c r="G33" s="76"/>
      <x:c r="H33" s="76"/>
      <x:c r="I33" s="76"/>
      <x:c r="J33" s="76"/>
    </x:row>
    <x:row r="34">
      <x:c r="A34" s="76" t="n">
        <x:v>30</x:v>
      </x:c>
      <x:c r="B34" s="108" t="n">
        <x:v>1.992</x:v>
      </x:c>
      <x:c r="C34" s="76"/>
      <x:c r="D34" s="76"/>
      <x:c r="E34" s="76"/>
      <x:c r="F34" s="76"/>
      <x:c r="G34" s="76"/>
      <x:c r="H34" s="76"/>
      <x:c r="I34" s="76"/>
      <x:c r="J34" s="76"/>
    </x:row>
    <x:row r="35">
      <x:c r="A35" s="76" t="n">
        <x:v>31</x:v>
      </x:c>
      <x:c r="B35" s="108" t="n">
        <x:v>1.994</x:v>
      </x:c>
      <x:c r="C35" s="76"/>
      <x:c r="D35" s="76"/>
      <x:c r="E35" s="76"/>
      <x:c r="F35" s="76"/>
      <x:c r="G35" s="76"/>
      <x:c r="H35" s="76"/>
      <x:c r="I35" s="76"/>
      <x:c r="J35" s="76"/>
    </x:row>
    <x:row r="36">
      <x:c r="A36" s="76" t="n">
        <x:v>32</x:v>
      </x:c>
      <x:c r="B36" s="108" t="n">
        <x:v>1.986</x:v>
      </x:c>
      <x:c r="C36" s="76"/>
      <x:c r="D36" s="76"/>
      <x:c r="E36" s="76"/>
      <x:c r="F36" s="76"/>
      <x:c r="G36" s="76"/>
      <x:c r="H36" s="76"/>
      <x:c r="I36" s="76"/>
      <x:c r="J36" s="76"/>
    </x:row>
    <x:row r="37">
      <x:c r="A37" s="76" t="n">
        <x:v>33</x:v>
      </x:c>
      <x:c r="B37" s="108" t="n">
        <x:v>1.984</x:v>
      </x:c>
      <x:c r="C37" s="76"/>
      <x:c r="D37" s="76"/>
      <x:c r="E37" s="76"/>
      <x:c r="F37" s="76"/>
      <x:c r="G37" s="76"/>
      <x:c r="H37" s="76"/>
      <x:c r="I37" s="76"/>
      <x:c r="J37" s="76"/>
    </x:row>
    <x:row r="38">
      <x:c r="A38" s="76" t="n">
        <x:v>34</x:v>
      </x:c>
      <x:c r="B38" s="108" t="n">
        <x:v>1.981</x:v>
      </x:c>
      <x:c r="C38" s="76"/>
      <x:c r="D38" s="76"/>
      <x:c r="E38" s="76"/>
      <x:c r="F38" s="76"/>
      <x:c r="G38" s="76"/>
      <x:c r="H38" s="76"/>
      <x:c r="I38" s="76"/>
      <x:c r="J38" s="76"/>
    </x:row>
    <x:row r="39">
      <x:c r="A39" s="76" t="n">
        <x:v>35</x:v>
      </x:c>
      <x:c r="B39" s="108" t="n">
        <x:v>1.973</x:v>
      </x:c>
      <x:c r="C39" s="76"/>
      <x:c r="D39" s="76"/>
      <x:c r="E39" s="76"/>
      <x:c r="F39" s="76"/>
      <x:c r="G39" s="76"/>
      <x:c r="H39" s="76"/>
      <x:c r="I39" s="76"/>
      <x:c r="J39" s="76"/>
    </x:row>
    <x:row r="40">
      <x:c r="A40" s="76" t="n">
        <x:v>36</x:v>
      </x:c>
      <x:c r="B40" s="108" t="n">
        <x:v>1.975</x:v>
      </x:c>
      <x:c r="C40" s="76"/>
      <x:c r="D40" s="76"/>
      <x:c r="E40" s="76"/>
      <x:c r="F40" s="76"/>
      <x:c r="G40" s="76"/>
      <x:c r="H40" s="76"/>
      <x:c r="I40" s="76"/>
      <x:c r="J40" s="76"/>
    </x:row>
    <x:row r="41">
      <x:c r="A41" s="76" t="n">
        <x:v>37</x:v>
      </x:c>
      <x:c r="B41" s="108" t="n">
        <x:v>1.971</x:v>
      </x:c>
      <x:c r="C41" s="76"/>
      <x:c r="D41" s="76"/>
      <x:c r="E41" s="76"/>
      <x:c r="F41" s="76"/>
      <x:c r="G41" s="76"/>
      <x:c r="H41" s="76"/>
      <x:c r="I41" s="76"/>
      <x:c r="J41" s="76"/>
    </x:row>
    <x:row r="42">
      <x:c r="A42" s="76" t="n">
        <x:v>38</x:v>
      </x:c>
      <x:c r="B42" s="108" t="n">
        <x:v>1.969</x:v>
      </x:c>
      <x:c r="C42" s="76"/>
      <x:c r="D42" s="76"/>
      <x:c r="E42" s="76"/>
      <x:c r="F42" s="76"/>
      <x:c r="G42" s="76"/>
      <x:c r="H42" s="76"/>
      <x:c r="I42" s="76"/>
      <x:c r="J42" s="76"/>
    </x:row>
    <x:row r="43">
      <x:c r="A43" s="76" t="n">
        <x:v>39</x:v>
      </x:c>
      <x:c r="B43" s="108" t="n">
        <x:v>1.966</x:v>
      </x:c>
      <x:c r="C43" s="76"/>
      <x:c r="D43" s="76"/>
      <x:c r="E43" s="76"/>
      <x:c r="F43" s="76"/>
      <x:c r="G43" s="76"/>
      <x:c r="H43" s="76"/>
      <x:c r="I43" s="76"/>
      <x:c r="J43" s="76"/>
    </x:row>
    <x:row r="44">
      <x:c r="A44" s="76" t="n">
        <x:v>40</x:v>
      </x:c>
      <x:c r="B44" s="108" t="n">
        <x:v>1.967</x:v>
      </x:c>
      <x:c r="C44" s="76"/>
      <x:c r="D44" s="76"/>
      <x:c r="E44" s="76"/>
      <x:c r="F44" s="76"/>
      <x:c r="G44" s="76"/>
      <x:c r="H44" s="76"/>
      <x:c r="I44" s="76"/>
      <x:c r="J44" s="76"/>
    </x:row>
    <x:row r="45">
      <x:c r="A45" s="76" t="n">
        <x:v>41</x:v>
      </x:c>
      <x:c r="B45" s="108" t="n">
        <x:v>1.963</x:v>
      </x:c>
      <x:c r="C45" s="76"/>
      <x:c r="D45" s="76"/>
      <x:c r="E45" s="76"/>
      <x:c r="F45" s="76"/>
      <x:c r="G45" s="76"/>
      <x:c r="H45" s="76"/>
      <x:c r="I45" s="76"/>
      <x:c r="J45" s="76"/>
    </x:row>
    <x:row r="46">
      <x:c r="A46" s="76" t="n">
        <x:v>42</x:v>
      </x:c>
      <x:c r="B46" s="108" t="n">
        <x:v>1.957</x:v>
      </x:c>
      <x:c r="C46" s="76"/>
      <x:c r="D46" s="76"/>
      <x:c r="E46" s="76"/>
      <x:c r="F46" s="76"/>
      <x:c r="G46" s="76"/>
      <x:c r="H46" s="76"/>
      <x:c r="I46" s="76"/>
      <x:c r="J46" s="76"/>
    </x:row>
    <x:row r="47">
      <x:c r="A47" s="76" t="n">
        <x:v>43</x:v>
      </x:c>
      <x:c r="B47" s="108" t="n">
        <x:v>1.951</x:v>
      </x:c>
      <x:c r="C47" s="76"/>
      <x:c r="D47" s="76"/>
      <x:c r="E47" s="76"/>
      <x:c r="F47" s="76"/>
      <x:c r="G47" s="76"/>
      <x:c r="H47" s="76"/>
      <x:c r="I47" s="76"/>
      <x:c r="J47" s="76"/>
    </x:row>
    <x:row r="48">
      <x:c r="A48" s="76" t="n">
        <x:v>44</x:v>
      </x:c>
      <x:c r="B48" s="108" t="n">
        <x:v>1.951</x:v>
      </x:c>
      <x:c r="C48" s="76"/>
      <x:c r="D48" s="76"/>
      <x:c r="E48" s="76"/>
      <x:c r="F48" s="76"/>
      <x:c r="G48" s="76"/>
      <x:c r="H48" s="76"/>
      <x:c r="I48" s="76"/>
      <x:c r="J48" s="76"/>
    </x:row>
    <x:row r="49">
      <x:c r="A49" s="76" t="n">
        <x:v>45</x:v>
      </x:c>
      <x:c r="B49" s="108" t="n">
        <x:v>1.947</x:v>
      </x:c>
      <x:c r="C49" s="76"/>
      <x:c r="D49" s="76"/>
      <x:c r="E49" s="76"/>
      <x:c r="F49" s="76"/>
      <x:c r="G49" s="76"/>
      <x:c r="H49" s="76"/>
      <x:c r="I49" s="76"/>
      <x:c r="J49" s="76"/>
    </x:row>
    <x:row r="50">
      <x:c r="A50" s="76" t="n">
        <x:v>46</x:v>
      </x:c>
      <x:c r="B50" s="108" t="n">
        <x:v>1.941</x:v>
      </x:c>
      <x:c r="C50" s="76"/>
      <x:c r="D50" s="76"/>
      <x:c r="E50" s="76"/>
      <x:c r="F50" s="76"/>
      <x:c r="G50" s="76"/>
      <x:c r="H50" s="76"/>
      <x:c r="I50" s="76"/>
      <x:c r="J50" s="76"/>
    </x:row>
    <x:row r="51">
      <x:c r="A51" s="76" t="n">
        <x:v>47</x:v>
      </x:c>
      <x:c r="B51" s="108" t="n">
        <x:v>1.941</x:v>
      </x:c>
      <x:c r="C51" s="76"/>
      <x:c r="D51" s="76"/>
      <x:c r="E51" s="76"/>
      <x:c r="F51" s="76"/>
      <x:c r="G51" s="76"/>
      <x:c r="H51" s="76"/>
      <x:c r="I51" s="76"/>
      <x:c r="J51" s="76"/>
    </x:row>
    <x:row r="52">
      <x:c r="A52" s="76" t="n">
        <x:v>48</x:v>
      </x:c>
      <x:c r="B52" s="108" t="n">
        <x:v>1.938</x:v>
      </x:c>
      <x:c r="C52" s="76"/>
      <x:c r="D52" s="76"/>
      <x:c r="E52" s="76"/>
      <x:c r="F52" s="76"/>
      <x:c r="G52" s="76"/>
      <x:c r="H52" s="76"/>
      <x:c r="I52" s="76"/>
      <x:c r="J52" s="76"/>
    </x:row>
    <x:row r="53">
      <x:c r="A53" s="76" t="n">
        <x:v>49</x:v>
      </x:c>
      <x:c r="B53" s="108" t="n">
        <x:v>1.908</x:v>
      </x:c>
      <x:c r="C53" s="76"/>
      <x:c r="D53" s="76"/>
      <x:c r="E53" s="76"/>
      <x:c r="F53" s="76"/>
      <x:c r="G53" s="76"/>
      <x:c r="H53" s="76"/>
      <x:c r="I53" s="76"/>
      <x:c r="J53" s="76"/>
    </x:row>
    <x:row r="54">
      <x:c r="A54" s="76" t="n">
        <x:v>50</x:v>
      </x:c>
      <x:c r="B54" s="108" t="n">
        <x:v>1.894</x:v>
      </x:c>
      <x:c r="C54" s="76"/>
      <x:c r="D54" s="76"/>
      <x:c r="E54" s="76"/>
      <x:c r="F54" s="76"/>
      <x:c r="G54" s="76"/>
      <x:c r="H54" s="76"/>
      <x:c r="I54" s="76"/>
      <x:c r="J54" s="76"/>
    </x:row>
    <x:row r="55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</x:row>
    <x:row r="56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</x:row>
    <x:row r="57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</x:row>
    <x:row r="58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</x:row>
    <x:row r="59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</x:row>
    <x:row r="60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</x:row>
    <x:row r="6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</x:row>
    <x:row r="62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</x:row>
    <x:row r="63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</x:row>
    <x:row r="64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</x:row>
    <x:row r="65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</x:row>
    <x:row r="66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</x:row>
    <x:row r="67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</x:row>
    <x:row r="68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</x:row>
    <x:row r="69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</x:row>
    <x:row r="70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</x:row>
    <x:row r="7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</x:row>
    <x:row r="72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</x:row>
    <x:row r="73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</x:row>
    <x:row r="74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</x:row>
    <x:row r="75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</x:row>
    <x:row r="76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</x:row>
    <x:row r="77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</x:row>
    <x:row r="78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</x:row>
    <x:row r="79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</x:row>
    <x:row r="80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</x:row>
  </x:sheetData>
  <x:mergeCells>
    <x:mergeCell ref="A1:J1"/>
    <x:mergeCell ref="A2:J2"/>
    <x:mergeCell ref="D17:J19"/>
  </x:mergeCells>
  <x:pageMargins left="0.7" right="0.7" top="0.75" bottom="0.75" header="0.3" footer="0.3"/>
</x:worksheet>
</file>