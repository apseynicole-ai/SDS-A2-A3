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cole/Desktop/Stats And Data Science 188/SDS188_A1S2_2026_EXAM_SYSTEM_FINAL_BUNDLE/"/>
    </mc:Choice>
  </mc:AlternateContent>
  <xr:revisionPtr revIDLastSave="0" documentId="13_ncr:1_{BF40856E-1F39-3240-809F-C1BE6F95E3F4}" xr6:coauthVersionLast="47" xr6:coauthVersionMax="47" xr10:uidLastSave="{00000000-0000-0000-0000-000000000000}"/>
  <bookViews>
    <workbookView minimized="1" xWindow="3680" yWindow="660" windowWidth="29400" windowHeight="17060" activeTab="8" xr2:uid="{00000000-000D-0000-FFFF-FFFF00000000}"/>
  </bookViews>
  <sheets>
    <sheet name="START_HERE" sheetId="1" r:id="rId1"/>
    <sheet name="EXAM_TRACKER" sheetId="2" r:id="rId2"/>
    <sheet name="CH6_DISTRIBUTIONS" sheetId="3" r:id="rId3"/>
    <sheet name="CH7_SAMPLING" sheetId="4" r:id="rId4"/>
    <sheet name="CH8_CI_SAMPLE_SIZE" sheetId="5" r:id="rId5"/>
    <sheet name="CH9_HYPOTHESIS" sheetId="6" r:id="rId6"/>
    <sheet name="BOOTSTRAP_AUTO" sheetId="7" r:id="rId7"/>
    <sheet name="T9_PRIORITY" sheetId="8" r:id="rId8"/>
    <sheet name="T9_Q14_RAW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" l="1"/>
  <c r="E9" i="9"/>
  <c r="E14" i="9" s="1"/>
  <c r="E8" i="9"/>
  <c r="E7" i="9"/>
  <c r="E11" i="9" s="1"/>
  <c r="E6" i="9"/>
  <c r="E5" i="9"/>
  <c r="AN264" i="7"/>
  <c r="AC175" i="7"/>
  <c r="X175" i="7"/>
  <c r="U166" i="7"/>
  <c r="G166" i="7"/>
  <c r="H154" i="7"/>
  <c r="AZ153" i="7"/>
  <c r="AX153" i="7"/>
  <c r="AZ152" i="7"/>
  <c r="I147" i="7"/>
  <c r="N146" i="7"/>
  <c r="Z144" i="7"/>
  <c r="AG143" i="7"/>
  <c r="AN138" i="7"/>
  <c r="H138" i="7"/>
  <c r="F138" i="7"/>
  <c r="AQ137" i="7"/>
  <c r="AY133" i="7"/>
  <c r="AW133" i="7"/>
  <c r="Z132" i="7"/>
  <c r="Y132" i="7"/>
  <c r="AS128" i="7"/>
  <c r="AL128" i="7"/>
  <c r="AD128" i="7"/>
  <c r="L128" i="7"/>
  <c r="AW125" i="7"/>
  <c r="AI125" i="7"/>
  <c r="AW124" i="7"/>
  <c r="AJ124" i="7"/>
  <c r="AJ122" i="7"/>
  <c r="U122" i="7"/>
  <c r="T122" i="7"/>
  <c r="S122" i="7"/>
  <c r="W120" i="7"/>
  <c r="S120" i="7"/>
  <c r="AJ119" i="7"/>
  <c r="AG119" i="7"/>
  <c r="C118" i="7"/>
  <c r="BA117" i="7"/>
  <c r="AV117" i="7"/>
  <c r="AL117" i="7"/>
  <c r="P116" i="7"/>
  <c r="F116" i="7"/>
  <c r="AI115" i="7"/>
  <c r="Y115" i="7"/>
  <c r="AZ113" i="7"/>
  <c r="AP113" i="7"/>
  <c r="AO113" i="7"/>
  <c r="AM113" i="7"/>
  <c r="J112" i="7"/>
  <c r="I112" i="7"/>
  <c r="AM111" i="7"/>
  <c r="AE111" i="7"/>
  <c r="V110" i="7"/>
  <c r="O110" i="7"/>
  <c r="N110" i="7"/>
  <c r="L110" i="7"/>
  <c r="L109" i="7"/>
  <c r="K109" i="7"/>
  <c r="AP108" i="7"/>
  <c r="AH108" i="7"/>
  <c r="AJ107" i="7"/>
  <c r="AI107" i="7"/>
  <c r="AH107" i="7"/>
  <c r="AG107" i="7"/>
  <c r="AK106" i="7"/>
  <c r="AG106" i="7"/>
  <c r="P106" i="7"/>
  <c r="O106" i="7"/>
  <c r="T105" i="7"/>
  <c r="S105" i="7"/>
  <c r="Q105" i="7"/>
  <c r="J105" i="7"/>
  <c r="R104" i="7"/>
  <c r="Q104" i="7"/>
  <c r="AY103" i="7"/>
  <c r="AX103" i="7"/>
  <c r="I103" i="7"/>
  <c r="C103" i="7"/>
  <c r="BA102" i="7"/>
  <c r="AZ102" i="7"/>
  <c r="M102" i="7"/>
  <c r="L102" i="7"/>
  <c r="AW101" i="7"/>
  <c r="AQ101" i="7"/>
  <c r="H101" i="7"/>
  <c r="F101" i="7"/>
  <c r="E101" i="7"/>
  <c r="D101" i="7"/>
  <c r="T100" i="7"/>
  <c r="O100" i="7"/>
  <c r="C100" i="7"/>
  <c r="BA99" i="7"/>
  <c r="R99" i="7"/>
  <c r="Q99" i="7"/>
  <c r="O99" i="7"/>
  <c r="K99" i="7"/>
  <c r="AA98" i="7"/>
  <c r="Z98" i="7"/>
  <c r="N98" i="7"/>
  <c r="M98" i="7"/>
  <c r="AB97" i="7"/>
  <c r="X97" i="7"/>
  <c r="W97" i="7"/>
  <c r="V97" i="7"/>
  <c r="AL96" i="7"/>
  <c r="AK96" i="7"/>
  <c r="X96" i="7"/>
  <c r="S96" i="7"/>
  <c r="AJ95" i="7"/>
  <c r="AI95" i="7"/>
  <c r="AH95" i="7"/>
  <c r="AF95" i="7"/>
  <c r="AV94" i="7"/>
  <c r="AQ94" i="7"/>
  <c r="AE94" i="7"/>
  <c r="AD94" i="7"/>
  <c r="AU93" i="7"/>
  <c r="AT93" i="7"/>
  <c r="AQ93" i="7"/>
  <c r="AM93" i="7"/>
  <c r="D93" i="7"/>
  <c r="C93" i="7"/>
  <c r="AP92" i="7"/>
  <c r="AO92" i="7"/>
  <c r="E92" i="7"/>
  <c r="AZ91" i="7"/>
  <c r="AY91" i="7"/>
  <c r="AX91" i="7"/>
  <c r="O91" i="7"/>
  <c r="N91" i="7"/>
  <c r="AZ90" i="7"/>
  <c r="AU90" i="7"/>
  <c r="M90" i="7"/>
  <c r="L90" i="7"/>
  <c r="K90" i="7"/>
  <c r="J90" i="7"/>
  <c r="AD89" i="7"/>
  <c r="AC89" i="7"/>
  <c r="AA89" i="7"/>
  <c r="W89" i="7"/>
  <c r="AV88" i="7"/>
  <c r="AR88" i="7"/>
  <c r="AQ88" i="7"/>
  <c r="AP88" i="7"/>
  <c r="M88" i="7"/>
  <c r="L88" i="7"/>
  <c r="K88" i="7"/>
  <c r="J88" i="7"/>
  <c r="AO87" i="7"/>
  <c r="AG87" i="7"/>
  <c r="AF87" i="7"/>
  <c r="AE87" i="7"/>
  <c r="L87" i="7"/>
  <c r="K87" i="7"/>
  <c r="E87" i="7"/>
  <c r="AZ86" i="7"/>
  <c r="AG86" i="7"/>
  <c r="AF86" i="7"/>
  <c r="AD86" i="7"/>
  <c r="Z86" i="7"/>
  <c r="F86" i="7"/>
  <c r="BA85" i="7"/>
  <c r="AY85" i="7"/>
  <c r="AU85" i="7"/>
  <c r="AE85" i="7"/>
  <c r="AA85" i="7"/>
  <c r="Y85" i="7"/>
  <c r="Q85" i="7"/>
  <c r="AZ84" i="7"/>
  <c r="AV84" i="7"/>
  <c r="AU84" i="7"/>
  <c r="AT84" i="7"/>
  <c r="Z84" i="7"/>
  <c r="R84" i="7"/>
  <c r="Q84" i="7"/>
  <c r="P84" i="7"/>
  <c r="AV83" i="7"/>
  <c r="AU83" i="7"/>
  <c r="AS83" i="7"/>
  <c r="AK83" i="7"/>
  <c r="R83" i="7"/>
  <c r="Q83" i="7"/>
  <c r="P83" i="7"/>
  <c r="O83" i="7"/>
  <c r="AT82" i="7"/>
  <c r="AL82" i="7"/>
  <c r="AK82" i="7"/>
  <c r="AJ82" i="7"/>
  <c r="R82" i="7"/>
  <c r="Q82" i="7"/>
  <c r="N82" i="7"/>
  <c r="H82" i="7"/>
  <c r="AP81" i="7"/>
  <c r="AO81" i="7"/>
  <c r="AN81" i="7"/>
  <c r="AM81" i="7"/>
  <c r="Y81" i="7"/>
  <c r="S81" i="7"/>
  <c r="R81" i="7"/>
  <c r="Q81" i="7"/>
  <c r="BA80" i="7"/>
  <c r="AZ80" i="7"/>
  <c r="AX80" i="7"/>
  <c r="AT80" i="7"/>
  <c r="AE80" i="7"/>
  <c r="AD80" i="7"/>
  <c r="AC80" i="7"/>
  <c r="AB80" i="7"/>
  <c r="L80" i="7"/>
  <c r="H80" i="7"/>
  <c r="G80" i="7"/>
  <c r="F80" i="7"/>
  <c r="AP79" i="7"/>
  <c r="AO79" i="7"/>
  <c r="AM79" i="7"/>
  <c r="AH79" i="7"/>
  <c r="V79" i="7"/>
  <c r="U79" i="7"/>
  <c r="T79" i="7"/>
  <c r="S79" i="7"/>
  <c r="E79" i="7"/>
  <c r="AZ78" i="7"/>
  <c r="AY78" i="7"/>
  <c r="AX78" i="7"/>
  <c r="AL78" i="7"/>
  <c r="AJ78" i="7"/>
  <c r="AH78" i="7"/>
  <c r="AD78" i="7"/>
  <c r="R78" i="7"/>
  <c r="P78" i="7"/>
  <c r="O78" i="7"/>
  <c r="N78" i="7"/>
  <c r="AZ77" i="7"/>
  <c r="AU77" i="7"/>
  <c r="AT77" i="7"/>
  <c r="AS77" i="7"/>
  <c r="AG77" i="7"/>
  <c r="AF77" i="7"/>
  <c r="AD77" i="7"/>
  <c r="Y77" i="7"/>
  <c r="M77" i="7"/>
  <c r="L77" i="7"/>
  <c r="K77" i="7"/>
  <c r="J77" i="7"/>
  <c r="AU76" i="7"/>
  <c r="AQ76" i="7"/>
  <c r="AP76" i="7"/>
  <c r="AO76" i="7"/>
  <c r="AB76" i="7"/>
  <c r="AA76" i="7"/>
  <c r="Y76" i="7"/>
  <c r="U76" i="7"/>
  <c r="H76" i="7"/>
  <c r="G76" i="7"/>
  <c r="F76" i="7"/>
  <c r="E76" i="7"/>
  <c r="AQ75" i="7"/>
  <c r="AL75" i="7"/>
  <c r="AK75" i="7"/>
  <c r="AJ75" i="7"/>
  <c r="X75" i="7"/>
  <c r="W75" i="7"/>
  <c r="U75" i="7"/>
  <c r="P75" i="7"/>
  <c r="D75" i="7"/>
  <c r="C75" i="7"/>
  <c r="BA74" i="7"/>
  <c r="AZ74" i="7"/>
  <c r="AL74" i="7"/>
  <c r="AH74" i="7"/>
  <c r="AG74" i="7"/>
  <c r="AF74" i="7"/>
  <c r="S74" i="7"/>
  <c r="R74" i="7"/>
  <c r="P74" i="7"/>
  <c r="L74" i="7"/>
  <c r="AX73" i="7"/>
  <c r="AW73" i="7"/>
  <c r="AV73" i="7"/>
  <c r="AU73" i="7"/>
  <c r="AH73" i="7"/>
  <c r="AC73" i="7"/>
  <c r="AB73" i="7"/>
  <c r="AA73" i="7"/>
  <c r="O73" i="7"/>
  <c r="N73" i="7"/>
  <c r="K73" i="7"/>
  <c r="G73" i="7"/>
  <c r="AT72" i="7"/>
  <c r="AS72" i="7"/>
  <c r="AR72" i="7"/>
  <c r="AP72" i="7"/>
  <c r="AC72" i="7"/>
  <c r="Y72" i="7"/>
  <c r="X72" i="7"/>
  <c r="V72" i="7"/>
  <c r="J72" i="7"/>
  <c r="I72" i="7"/>
  <c r="G72" i="7"/>
  <c r="BA71" i="7"/>
  <c r="AO71" i="7"/>
  <c r="AN71" i="7"/>
  <c r="AM71" i="7"/>
  <c r="AL71" i="7"/>
  <c r="Y71" i="7"/>
  <c r="T71" i="7"/>
  <c r="S71" i="7"/>
  <c r="R71" i="7"/>
  <c r="F71" i="7"/>
  <c r="E71" i="7"/>
  <c r="BA70" i="7"/>
  <c r="AW70" i="7"/>
  <c r="AK70" i="7"/>
  <c r="AJ70" i="7"/>
  <c r="AH70" i="7"/>
  <c r="AG70" i="7"/>
  <c r="T70" i="7"/>
  <c r="P70" i="7"/>
  <c r="N70" i="7"/>
  <c r="M70" i="7"/>
  <c r="AZ69" i="7"/>
  <c r="AY69" i="7"/>
  <c r="AW69" i="7"/>
  <c r="AR69" i="7"/>
  <c r="AF69" i="7"/>
  <c r="AE69" i="7"/>
  <c r="AD69" i="7"/>
  <c r="AC69" i="7"/>
  <c r="O69" i="7"/>
  <c r="K69" i="7"/>
  <c r="J69" i="7"/>
  <c r="I69" i="7"/>
  <c r="AV68" i="7"/>
  <c r="AT68" i="7"/>
  <c r="AR68" i="7"/>
  <c r="AN68" i="7"/>
  <c r="AB68" i="7"/>
  <c r="Z68" i="7"/>
  <c r="Y68" i="7"/>
  <c r="X68" i="7"/>
  <c r="L68" i="7"/>
  <c r="H68" i="7"/>
  <c r="G68" i="7"/>
  <c r="F68" i="7"/>
  <c r="AT67" i="7"/>
  <c r="AS67" i="7"/>
  <c r="AQ67" i="7"/>
  <c r="AM67" i="7"/>
  <c r="AB67" i="7"/>
  <c r="AA67" i="7"/>
  <c r="Z67" i="7"/>
  <c r="Y67" i="7"/>
  <c r="M67" i="7"/>
  <c r="I67" i="7"/>
  <c r="H67" i="7"/>
  <c r="G67" i="7"/>
  <c r="AU66" i="7"/>
  <c r="AT66" i="7"/>
  <c r="AR66" i="7"/>
  <c r="AN66" i="7"/>
  <c r="AC66" i="7"/>
  <c r="AB66" i="7"/>
  <c r="AA66" i="7"/>
  <c r="Z66" i="7"/>
  <c r="N66" i="7"/>
  <c r="J66" i="7"/>
  <c r="I66" i="7"/>
  <c r="H66" i="7"/>
  <c r="AV65" i="7"/>
  <c r="AU65" i="7"/>
  <c r="AS65" i="7"/>
  <c r="AO65" i="7"/>
  <c r="AD65" i="7"/>
  <c r="AC65" i="7"/>
  <c r="AB65" i="7"/>
  <c r="AA65" i="7"/>
  <c r="O65" i="7"/>
  <c r="K65" i="7"/>
  <c r="J65" i="7"/>
  <c r="I65" i="7"/>
  <c r="E3" i="7"/>
  <c r="H195" i="7" s="1"/>
  <c r="E42" i="6"/>
  <c r="E43" i="6" s="1"/>
  <c r="E40" i="6"/>
  <c r="E39" i="6"/>
  <c r="E41" i="6" s="1"/>
  <c r="E33" i="6"/>
  <c r="E34" i="6" s="1"/>
  <c r="E35" i="6" s="1"/>
  <c r="E32" i="6"/>
  <c r="E31" i="6"/>
  <c r="E30" i="6"/>
  <c r="E29" i="6"/>
  <c r="E28" i="6"/>
  <c r="E24" i="6"/>
  <c r="E23" i="6"/>
  <c r="E21" i="6"/>
  <c r="E22" i="6" s="1"/>
  <c r="E19" i="6"/>
  <c r="E20" i="6" s="1"/>
  <c r="E18" i="6"/>
  <c r="E10" i="6"/>
  <c r="E12" i="6" s="1"/>
  <c r="E9" i="6"/>
  <c r="E11" i="6" s="1"/>
  <c r="E5" i="6"/>
  <c r="E14" i="6" s="1"/>
  <c r="E45" i="5"/>
  <c r="E43" i="5"/>
  <c r="E44" i="5" s="1"/>
  <c r="E46" i="5" s="1"/>
  <c r="E42" i="5"/>
  <c r="E32" i="5"/>
  <c r="E35" i="5" s="1"/>
  <c r="E26" i="5"/>
  <c r="E25" i="5"/>
  <c r="E24" i="5"/>
  <c r="E17" i="5"/>
  <c r="E15" i="5"/>
  <c r="E14" i="5"/>
  <c r="E16" i="5" s="1"/>
  <c r="E18" i="5" s="1"/>
  <c r="E7" i="5"/>
  <c r="E6" i="5"/>
  <c r="E5" i="5"/>
  <c r="E41" i="4"/>
  <c r="E37" i="4"/>
  <c r="E35" i="4"/>
  <c r="E36" i="4" s="1"/>
  <c r="E34" i="4"/>
  <c r="E25" i="4"/>
  <c r="E24" i="4"/>
  <c r="E23" i="4"/>
  <c r="E17" i="4"/>
  <c r="E16" i="4"/>
  <c r="E18" i="4" s="1"/>
  <c r="E15" i="4"/>
  <c r="E19" i="4" s="1"/>
  <c r="E14" i="4"/>
  <c r="E10" i="4"/>
  <c r="E9" i="4"/>
  <c r="E8" i="4"/>
  <c r="E6" i="4"/>
  <c r="E7" i="4" s="1"/>
  <c r="E5" i="4"/>
  <c r="E26" i="3"/>
  <c r="E25" i="3"/>
  <c r="E24" i="3"/>
  <c r="E23" i="3"/>
  <c r="E22" i="3"/>
  <c r="E18" i="3"/>
  <c r="E17" i="3"/>
  <c r="E16" i="3"/>
  <c r="E15" i="3"/>
  <c r="E11" i="3"/>
  <c r="E10" i="3"/>
  <c r="E9" i="3"/>
  <c r="E8" i="3"/>
  <c r="E7" i="3"/>
  <c r="E5" i="3"/>
  <c r="E6" i="3" s="1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M7" i="2"/>
  <c r="J7" i="2"/>
  <c r="M6" i="2"/>
  <c r="J6" i="2"/>
  <c r="M5" i="2"/>
  <c r="J5" i="2"/>
  <c r="E28" i="5" l="1"/>
  <c r="E12" i="9"/>
  <c r="E13" i="9" s="1"/>
  <c r="E15" i="9" s="1"/>
  <c r="E8" i="5"/>
  <c r="E9" i="5" s="1"/>
  <c r="E48" i="5"/>
  <c r="E47" i="5"/>
  <c r="E19" i="5"/>
  <c r="E20" i="5"/>
  <c r="E43" i="4"/>
  <c r="E37" i="5"/>
  <c r="E36" i="5"/>
  <c r="G65" i="7"/>
  <c r="U65" i="7"/>
  <c r="AM65" i="7"/>
  <c r="F66" i="7"/>
  <c r="T66" i="7"/>
  <c r="AL66" i="7"/>
  <c r="E67" i="7"/>
  <c r="S67" i="7"/>
  <c r="AK67" i="7"/>
  <c r="D68" i="7"/>
  <c r="R68" i="7"/>
  <c r="AL68" i="7"/>
  <c r="G69" i="7"/>
  <c r="V69" i="7"/>
  <c r="AP69" i="7"/>
  <c r="K70" i="7"/>
  <c r="AA70" i="7"/>
  <c r="AU70" i="7"/>
  <c r="P71" i="7"/>
  <c r="AE71" i="7"/>
  <c r="AY71" i="7"/>
  <c r="T72" i="7"/>
  <c r="AJ72" i="7"/>
  <c r="E73" i="7"/>
  <c r="Y73" i="7"/>
  <c r="AN73" i="7"/>
  <c r="I74" i="7"/>
  <c r="AC74" i="7"/>
  <c r="AS74" i="7"/>
  <c r="N75" i="7"/>
  <c r="AH75" i="7"/>
  <c r="AW75" i="7"/>
  <c r="R76" i="7"/>
  <c r="AL76" i="7"/>
  <c r="C77" i="7"/>
  <c r="W77" i="7"/>
  <c r="AQ77" i="7"/>
  <c r="H78" i="7"/>
  <c r="AB78" i="7"/>
  <c r="AV78" i="7"/>
  <c r="L79" i="7"/>
  <c r="AF79" i="7"/>
  <c r="BA79" i="7"/>
  <c r="T80" i="7"/>
  <c r="AP80" i="7"/>
  <c r="O81" i="7"/>
  <c r="AE81" i="7"/>
  <c r="F82" i="7"/>
  <c r="AD82" i="7"/>
  <c r="E83" i="7"/>
  <c r="AI83" i="7"/>
  <c r="N84" i="7"/>
  <c r="AJ84" i="7"/>
  <c r="O85" i="7"/>
  <c r="AS85" i="7"/>
  <c r="P86" i="7"/>
  <c r="AT86" i="7"/>
  <c r="Y87" i="7"/>
  <c r="AY87" i="7"/>
  <c r="AE88" i="7"/>
  <c r="L89" i="7"/>
  <c r="AU89" i="7"/>
  <c r="AS90" i="7"/>
  <c r="AJ91" i="7"/>
  <c r="AH92" i="7"/>
  <c r="Z93" i="7"/>
  <c r="AB94" i="7"/>
  <c r="O95" i="7"/>
  <c r="Q96" i="7"/>
  <c r="H97" i="7"/>
  <c r="F98" i="7"/>
  <c r="AV98" i="7"/>
  <c r="AY99" i="7"/>
  <c r="AK100" i="7"/>
  <c r="AO101" i="7"/>
  <c r="AL102" i="7"/>
  <c r="AO103" i="7"/>
  <c r="AT104" i="7"/>
  <c r="M106" i="7"/>
  <c r="H107" i="7"/>
  <c r="AF108" i="7"/>
  <c r="AQ109" i="7"/>
  <c r="AB111" i="7"/>
  <c r="G113" i="7"/>
  <c r="T115" i="7"/>
  <c r="E117" i="7"/>
  <c r="U119" i="7"/>
  <c r="X121" i="7"/>
  <c r="AD124" i="7"/>
  <c r="J127" i="7"/>
  <c r="AP131" i="7"/>
  <c r="H136" i="7"/>
  <c r="AB143" i="7"/>
  <c r="H150" i="7"/>
  <c r="T163" i="7"/>
  <c r="AM194" i="7"/>
  <c r="E27" i="5"/>
  <c r="AX76" i="7"/>
  <c r="E6" i="6"/>
  <c r="E7" i="6" s="1"/>
  <c r="E8" i="6" s="1"/>
  <c r="H65" i="7"/>
  <c r="Y65" i="7"/>
  <c r="AN65" i="7"/>
  <c r="G66" i="7"/>
  <c r="X66" i="7"/>
  <c r="AM66" i="7"/>
  <c r="F67" i="7"/>
  <c r="W67" i="7"/>
  <c r="AL67" i="7"/>
  <c r="E68" i="7"/>
  <c r="V68" i="7"/>
  <c r="AM68" i="7"/>
  <c r="H69" i="7"/>
  <c r="AA69" i="7"/>
  <c r="AQ69" i="7"/>
  <c r="L70" i="7"/>
  <c r="AE70" i="7"/>
  <c r="AV70" i="7"/>
  <c r="Q71" i="7"/>
  <c r="AJ71" i="7"/>
  <c r="AZ71" i="7"/>
  <c r="U72" i="7"/>
  <c r="AN72" i="7"/>
  <c r="F73" i="7"/>
  <c r="Z73" i="7"/>
  <c r="AS73" i="7"/>
  <c r="J74" i="7"/>
  <c r="AD74" i="7"/>
  <c r="AW74" i="7"/>
  <c r="O75" i="7"/>
  <c r="AI75" i="7"/>
  <c r="C76" i="7"/>
  <c r="T76" i="7"/>
  <c r="AN76" i="7"/>
  <c r="G77" i="7"/>
  <c r="X77" i="7"/>
  <c r="AR77" i="7"/>
  <c r="L78" i="7"/>
  <c r="AC78" i="7"/>
  <c r="AW78" i="7"/>
  <c r="Q79" i="7"/>
  <c r="AG79" i="7"/>
  <c r="C80" i="7"/>
  <c r="Z80" i="7"/>
  <c r="AQ80" i="7"/>
  <c r="P81" i="7"/>
  <c r="AK81" i="7"/>
  <c r="G82" i="7"/>
  <c r="AH82" i="7"/>
  <c r="I83" i="7"/>
  <c r="AJ83" i="7"/>
  <c r="O84" i="7"/>
  <c r="AR84" i="7"/>
  <c r="P85" i="7"/>
  <c r="AT85" i="7"/>
  <c r="X86" i="7"/>
  <c r="AX86" i="7"/>
  <c r="AC87" i="7"/>
  <c r="D88" i="7"/>
  <c r="AN88" i="7"/>
  <c r="U89" i="7"/>
  <c r="C90" i="7"/>
  <c r="AT90" i="7"/>
  <c r="AL91" i="7"/>
  <c r="AM92" i="7"/>
  <c r="AA93" i="7"/>
  <c r="AC94" i="7"/>
  <c r="S95" i="7"/>
  <c r="R96" i="7"/>
  <c r="I97" i="7"/>
  <c r="K98" i="7"/>
  <c r="AW98" i="7"/>
  <c r="AZ99" i="7"/>
  <c r="AP100" i="7"/>
  <c r="AP101" i="7"/>
  <c r="AM102" i="7"/>
  <c r="AV103" i="7"/>
  <c r="AU104" i="7"/>
  <c r="N106" i="7"/>
  <c r="O107" i="7"/>
  <c r="AG108" i="7"/>
  <c r="AS109" i="7"/>
  <c r="AC111" i="7"/>
  <c r="H113" i="7"/>
  <c r="X115" i="7"/>
  <c r="O117" i="7"/>
  <c r="AE119" i="7"/>
  <c r="AB121" i="7"/>
  <c r="AH124" i="7"/>
  <c r="Y127" i="7"/>
  <c r="L132" i="7"/>
  <c r="L136" i="7"/>
  <c r="AC143" i="7"/>
  <c r="AV150" i="7"/>
  <c r="Q165" i="7"/>
  <c r="E42" i="4"/>
  <c r="BA264" i="7"/>
  <c r="AQ264" i="7"/>
  <c r="AG264" i="7"/>
  <c r="W264" i="7"/>
  <c r="M264" i="7"/>
  <c r="C264" i="7"/>
  <c r="AR263" i="7"/>
  <c r="AH263" i="7"/>
  <c r="X263" i="7"/>
  <c r="N263" i="7"/>
  <c r="D263" i="7"/>
  <c r="AS262" i="7"/>
  <c r="AI262" i="7"/>
  <c r="Y262" i="7"/>
  <c r="O262" i="7"/>
  <c r="E262" i="7"/>
  <c r="AT261" i="7"/>
  <c r="AJ261" i="7"/>
  <c r="Z261" i="7"/>
  <c r="P261" i="7"/>
  <c r="F261" i="7"/>
  <c r="AU260" i="7"/>
  <c r="AK260" i="7"/>
  <c r="AA260" i="7"/>
  <c r="Q260" i="7"/>
  <c r="G260" i="7"/>
  <c r="AV259" i="7"/>
  <c r="AL259" i="7"/>
  <c r="AB259" i="7"/>
  <c r="R259" i="7"/>
  <c r="H259" i="7"/>
  <c r="AW258" i="7"/>
  <c r="AM258" i="7"/>
  <c r="AC258" i="7"/>
  <c r="S258" i="7"/>
  <c r="I258" i="7"/>
  <c r="AX257" i="7"/>
  <c r="AN257" i="7"/>
  <c r="AD257" i="7"/>
  <c r="T257" i="7"/>
  <c r="J257" i="7"/>
  <c r="AY256" i="7"/>
  <c r="AO256" i="7"/>
  <c r="AE256" i="7"/>
  <c r="U256" i="7"/>
  <c r="K256" i="7"/>
  <c r="AZ255" i="7"/>
  <c r="AP255" i="7"/>
  <c r="AF255" i="7"/>
  <c r="V255" i="7"/>
  <c r="L255" i="7"/>
  <c r="BA254" i="7"/>
  <c r="AQ254" i="7"/>
  <c r="AG254" i="7"/>
  <c r="W254" i="7"/>
  <c r="M254" i="7"/>
  <c r="C254" i="7"/>
  <c r="AR253" i="7"/>
  <c r="AH253" i="7"/>
  <c r="X253" i="7"/>
  <c r="N253" i="7"/>
  <c r="D253" i="7"/>
  <c r="AS252" i="7"/>
  <c r="AI252" i="7"/>
  <c r="Y252" i="7"/>
  <c r="O252" i="7"/>
  <c r="E252" i="7"/>
  <c r="AT251" i="7"/>
  <c r="AJ251" i="7"/>
  <c r="Z251" i="7"/>
  <c r="P251" i="7"/>
  <c r="F251" i="7"/>
  <c r="AU250" i="7"/>
  <c r="AK250" i="7"/>
  <c r="AA250" i="7"/>
  <c r="Q250" i="7"/>
  <c r="G250" i="7"/>
  <c r="AV249" i="7"/>
  <c r="AL249" i="7"/>
  <c r="AB249" i="7"/>
  <c r="R249" i="7"/>
  <c r="H249" i="7"/>
  <c r="AW248" i="7"/>
  <c r="AM248" i="7"/>
  <c r="AZ264" i="7"/>
  <c r="AP264" i="7"/>
  <c r="AF264" i="7"/>
  <c r="V264" i="7"/>
  <c r="L264" i="7"/>
  <c r="BA263" i="7"/>
  <c r="AQ263" i="7"/>
  <c r="AG263" i="7"/>
  <c r="W263" i="7"/>
  <c r="M263" i="7"/>
  <c r="C263" i="7"/>
  <c r="AR262" i="7"/>
  <c r="AH262" i="7"/>
  <c r="X262" i="7"/>
  <c r="N262" i="7"/>
  <c r="D262" i="7"/>
  <c r="AS261" i="7"/>
  <c r="AI261" i="7"/>
  <c r="Y261" i="7"/>
  <c r="O261" i="7"/>
  <c r="E261" i="7"/>
  <c r="AT260" i="7"/>
  <c r="AJ260" i="7"/>
  <c r="Z260" i="7"/>
  <c r="P260" i="7"/>
  <c r="F260" i="7"/>
  <c r="AU259" i="7"/>
  <c r="AK259" i="7"/>
  <c r="AA259" i="7"/>
  <c r="Q259" i="7"/>
  <c r="G259" i="7"/>
  <c r="AV258" i="7"/>
  <c r="AL258" i="7"/>
  <c r="AB258" i="7"/>
  <c r="R258" i="7"/>
  <c r="H258" i="7"/>
  <c r="AW257" i="7"/>
  <c r="AM257" i="7"/>
  <c r="AC257" i="7"/>
  <c r="S257" i="7"/>
  <c r="I257" i="7"/>
  <c r="AX256" i="7"/>
  <c r="AN256" i="7"/>
  <c r="AD256" i="7"/>
  <c r="T256" i="7"/>
  <c r="J256" i="7"/>
  <c r="AY255" i="7"/>
  <c r="AO255" i="7"/>
  <c r="AE255" i="7"/>
  <c r="U255" i="7"/>
  <c r="AW264" i="7"/>
  <c r="AK264" i="7"/>
  <c r="Y264" i="7"/>
  <c r="K264" i="7"/>
  <c r="AX263" i="7"/>
  <c r="AL263" i="7"/>
  <c r="Z263" i="7"/>
  <c r="L263" i="7"/>
  <c r="AY262" i="7"/>
  <c r="AM262" i="7"/>
  <c r="AA262" i="7"/>
  <c r="M262" i="7"/>
  <c r="AZ261" i="7"/>
  <c r="AN261" i="7"/>
  <c r="AB261" i="7"/>
  <c r="N261" i="7"/>
  <c r="BA260" i="7"/>
  <c r="AO260" i="7"/>
  <c r="AC260" i="7"/>
  <c r="O260" i="7"/>
  <c r="C260" i="7"/>
  <c r="AP259" i="7"/>
  <c r="AD259" i="7"/>
  <c r="P259" i="7"/>
  <c r="D259" i="7"/>
  <c r="AQ258" i="7"/>
  <c r="AE258" i="7"/>
  <c r="Q258" i="7"/>
  <c r="E258" i="7"/>
  <c r="AR257" i="7"/>
  <c r="AF257" i="7"/>
  <c r="R257" i="7"/>
  <c r="F257" i="7"/>
  <c r="AS256" i="7"/>
  <c r="AG256" i="7"/>
  <c r="S256" i="7"/>
  <c r="G256" i="7"/>
  <c r="AT255" i="7"/>
  <c r="AH255" i="7"/>
  <c r="T255" i="7"/>
  <c r="I255" i="7"/>
  <c r="AW254" i="7"/>
  <c r="AL254" i="7"/>
  <c r="AA254" i="7"/>
  <c r="P254" i="7"/>
  <c r="E254" i="7"/>
  <c r="AS253" i="7"/>
  <c r="AG253" i="7"/>
  <c r="V253" i="7"/>
  <c r="K253" i="7"/>
  <c r="AY252" i="7"/>
  <c r="AN252" i="7"/>
  <c r="AC252" i="7"/>
  <c r="R252" i="7"/>
  <c r="G252" i="7"/>
  <c r="AU251" i="7"/>
  <c r="AI251" i="7"/>
  <c r="X251" i="7"/>
  <c r="M251" i="7"/>
  <c r="BA250" i="7"/>
  <c r="AP250" i="7"/>
  <c r="AE250" i="7"/>
  <c r="T250" i="7"/>
  <c r="I250" i="7"/>
  <c r="AW249" i="7"/>
  <c r="AK249" i="7"/>
  <c r="Z249" i="7"/>
  <c r="O249" i="7"/>
  <c r="D249" i="7"/>
  <c r="AR248" i="7"/>
  <c r="AG248" i="7"/>
  <c r="W248" i="7"/>
  <c r="M248" i="7"/>
  <c r="C248" i="7"/>
  <c r="AR247" i="7"/>
  <c r="AH247" i="7"/>
  <c r="X247" i="7"/>
  <c r="N247" i="7"/>
  <c r="D247" i="7"/>
  <c r="AS246" i="7"/>
  <c r="AI246" i="7"/>
  <c r="Y246" i="7"/>
  <c r="O246" i="7"/>
  <c r="E246" i="7"/>
  <c r="AU264" i="7"/>
  <c r="AI264" i="7"/>
  <c r="U264" i="7"/>
  <c r="I264" i="7"/>
  <c r="AV263" i="7"/>
  <c r="AJ263" i="7"/>
  <c r="V263" i="7"/>
  <c r="J263" i="7"/>
  <c r="AW262" i="7"/>
  <c r="AK262" i="7"/>
  <c r="W262" i="7"/>
  <c r="K262" i="7"/>
  <c r="AX261" i="7"/>
  <c r="AL261" i="7"/>
  <c r="X261" i="7"/>
  <c r="L261" i="7"/>
  <c r="AY260" i="7"/>
  <c r="AM260" i="7"/>
  <c r="Y260" i="7"/>
  <c r="M260" i="7"/>
  <c r="AZ259" i="7"/>
  <c r="AN259" i="7"/>
  <c r="Z259" i="7"/>
  <c r="N259" i="7"/>
  <c r="BA258" i="7"/>
  <c r="AO258" i="7"/>
  <c r="AA258" i="7"/>
  <c r="O258" i="7"/>
  <c r="C258" i="7"/>
  <c r="AP257" i="7"/>
  <c r="AB257" i="7"/>
  <c r="P257" i="7"/>
  <c r="D257" i="7"/>
  <c r="AQ256" i="7"/>
  <c r="AC256" i="7"/>
  <c r="Q256" i="7"/>
  <c r="E256" i="7"/>
  <c r="AR255" i="7"/>
  <c r="AD255" i="7"/>
  <c r="R255" i="7"/>
  <c r="G255" i="7"/>
  <c r="AU254" i="7"/>
  <c r="AJ254" i="7"/>
  <c r="Y254" i="7"/>
  <c r="N254" i="7"/>
  <c r="BA253" i="7"/>
  <c r="AP253" i="7"/>
  <c r="AE253" i="7"/>
  <c r="T253" i="7"/>
  <c r="I253" i="7"/>
  <c r="AW252" i="7"/>
  <c r="AL252" i="7"/>
  <c r="AA252" i="7"/>
  <c r="P252" i="7"/>
  <c r="D252" i="7"/>
  <c r="AR251" i="7"/>
  <c r="AG251" i="7"/>
  <c r="V251" i="7"/>
  <c r="K251" i="7"/>
  <c r="AY250" i="7"/>
  <c r="AN250" i="7"/>
  <c r="AC250" i="7"/>
  <c r="R250" i="7"/>
  <c r="F250" i="7"/>
  <c r="AT249" i="7"/>
  <c r="AI249" i="7"/>
  <c r="X249" i="7"/>
  <c r="M249" i="7"/>
  <c r="BA248" i="7"/>
  <c r="AP248" i="7"/>
  <c r="AE248" i="7"/>
  <c r="AY264" i="7"/>
  <c r="AS264" i="7"/>
  <c r="AC264" i="7"/>
  <c r="O264" i="7"/>
  <c r="AW263" i="7"/>
  <c r="AF263" i="7"/>
  <c r="R263" i="7"/>
  <c r="BA262" i="7"/>
  <c r="AL262" i="7"/>
  <c r="U262" i="7"/>
  <c r="G262" i="7"/>
  <c r="AP261" i="7"/>
  <c r="AA261" i="7"/>
  <c r="J261" i="7"/>
  <c r="AS260" i="7"/>
  <c r="AE260" i="7"/>
  <c r="N260" i="7"/>
  <c r="AX259" i="7"/>
  <c r="AH259" i="7"/>
  <c r="T259" i="7"/>
  <c r="C259" i="7"/>
  <c r="AK258" i="7"/>
  <c r="W258" i="7"/>
  <c r="G258" i="7"/>
  <c r="AQ257" i="7"/>
  <c r="Z257" i="7"/>
  <c r="L257" i="7"/>
  <c r="AU256" i="7"/>
  <c r="AF256" i="7"/>
  <c r="O256" i="7"/>
  <c r="AX255" i="7"/>
  <c r="AJ255" i="7"/>
  <c r="S255" i="7"/>
  <c r="E255" i="7"/>
  <c r="AP254" i="7"/>
  <c r="AC254" i="7"/>
  <c r="O254" i="7"/>
  <c r="AY253" i="7"/>
  <c r="AL253" i="7"/>
  <c r="Y253" i="7"/>
  <c r="J253" i="7"/>
  <c r="AU252" i="7"/>
  <c r="AG252" i="7"/>
  <c r="T252" i="7"/>
  <c r="F252" i="7"/>
  <c r="AP251" i="7"/>
  <c r="AC251" i="7"/>
  <c r="O251" i="7"/>
  <c r="AZ250" i="7"/>
  <c r="AL250" i="7"/>
  <c r="X250" i="7"/>
  <c r="K250" i="7"/>
  <c r="AU249" i="7"/>
  <c r="AG249" i="7"/>
  <c r="T249" i="7"/>
  <c r="F249" i="7"/>
  <c r="AQ248" i="7"/>
  <c r="AC248" i="7"/>
  <c r="R248" i="7"/>
  <c r="G248" i="7"/>
  <c r="AU247" i="7"/>
  <c r="AJ247" i="7"/>
  <c r="Y247" i="7"/>
  <c r="M247" i="7"/>
  <c r="BA246" i="7"/>
  <c r="AP246" i="7"/>
  <c r="AE246" i="7"/>
  <c r="T246" i="7"/>
  <c r="I246" i="7"/>
  <c r="AW245" i="7"/>
  <c r="AM245" i="7"/>
  <c r="AC245" i="7"/>
  <c r="S245" i="7"/>
  <c r="I245" i="7"/>
  <c r="AX244" i="7"/>
  <c r="AN244" i="7"/>
  <c r="AD244" i="7"/>
  <c r="T244" i="7"/>
  <c r="J244" i="7"/>
  <c r="AY243" i="7"/>
  <c r="AO243" i="7"/>
  <c r="AE243" i="7"/>
  <c r="U243" i="7"/>
  <c r="K243" i="7"/>
  <c r="AZ242" i="7"/>
  <c r="AP242" i="7"/>
  <c r="AF242" i="7"/>
  <c r="V242" i="7"/>
  <c r="L242" i="7"/>
  <c r="BA241" i="7"/>
  <c r="AQ241" i="7"/>
  <c r="AG241" i="7"/>
  <c r="W241" i="7"/>
  <c r="M241" i="7"/>
  <c r="C241" i="7"/>
  <c r="AR240" i="7"/>
  <c r="AH240" i="7"/>
  <c r="X240" i="7"/>
  <c r="N240" i="7"/>
  <c r="D240" i="7"/>
  <c r="AS239" i="7"/>
  <c r="AI239" i="7"/>
  <c r="Y239" i="7"/>
  <c r="O239" i="7"/>
  <c r="E239" i="7"/>
  <c r="AT238" i="7"/>
  <c r="AJ238" i="7"/>
  <c r="Z238" i="7"/>
  <c r="P238" i="7"/>
  <c r="F238" i="7"/>
  <c r="AU237" i="7"/>
  <c r="AK237" i="7"/>
  <c r="AA237" i="7"/>
  <c r="Q237" i="7"/>
  <c r="G237" i="7"/>
  <c r="AV236" i="7"/>
  <c r="AL236" i="7"/>
  <c r="AB236" i="7"/>
  <c r="R236" i="7"/>
  <c r="H236" i="7"/>
  <c r="AW235" i="7"/>
  <c r="AM235" i="7"/>
  <c r="AC235" i="7"/>
  <c r="S235" i="7"/>
  <c r="I235" i="7"/>
  <c r="AX234" i="7"/>
  <c r="AN234" i="7"/>
  <c r="AD234" i="7"/>
  <c r="T234" i="7"/>
  <c r="J234" i="7"/>
  <c r="AY233" i="7"/>
  <c r="AO233" i="7"/>
  <c r="AE233" i="7"/>
  <c r="U233" i="7"/>
  <c r="K233" i="7"/>
  <c r="AZ232" i="7"/>
  <c r="AP232" i="7"/>
  <c r="AF232" i="7"/>
  <c r="V232" i="7"/>
  <c r="L232" i="7"/>
  <c r="BA231" i="7"/>
  <c r="AQ231" i="7"/>
  <c r="AG231" i="7"/>
  <c r="W231" i="7"/>
  <c r="M231" i="7"/>
  <c r="C231" i="7"/>
  <c r="AR230" i="7"/>
  <c r="AR264" i="7"/>
  <c r="AB264" i="7"/>
  <c r="N264" i="7"/>
  <c r="AU263" i="7"/>
  <c r="AE263" i="7"/>
  <c r="Q263" i="7"/>
  <c r="AZ262" i="7"/>
  <c r="AJ262" i="7"/>
  <c r="T262" i="7"/>
  <c r="F262" i="7"/>
  <c r="AO261" i="7"/>
  <c r="W261" i="7"/>
  <c r="I261" i="7"/>
  <c r="AR260" i="7"/>
  <c r="AD260" i="7"/>
  <c r="L260" i="7"/>
  <c r="AW259" i="7"/>
  <c r="AG259" i="7"/>
  <c r="S259" i="7"/>
  <c r="AZ258" i="7"/>
  <c r="AJ258" i="7"/>
  <c r="V258" i="7"/>
  <c r="F258" i="7"/>
  <c r="AO257" i="7"/>
  <c r="Y257" i="7"/>
  <c r="K257" i="7"/>
  <c r="AT256" i="7"/>
  <c r="AB256" i="7"/>
  <c r="N256" i="7"/>
  <c r="AW255" i="7"/>
  <c r="AI255" i="7"/>
  <c r="Q255" i="7"/>
  <c r="D255" i="7"/>
  <c r="AO254" i="7"/>
  <c r="AB254" i="7"/>
  <c r="L254" i="7"/>
  <c r="AX253" i="7"/>
  <c r="AK253" i="7"/>
  <c r="W253" i="7"/>
  <c r="H253" i="7"/>
  <c r="AT252" i="7"/>
  <c r="AF252" i="7"/>
  <c r="S252" i="7"/>
  <c r="C252" i="7"/>
  <c r="AO251" i="7"/>
  <c r="AB251" i="7"/>
  <c r="N251" i="7"/>
  <c r="AX250" i="7"/>
  <c r="AJ250" i="7"/>
  <c r="W250" i="7"/>
  <c r="J250" i="7"/>
  <c r="AS249" i="7"/>
  <c r="AF249" i="7"/>
  <c r="S249" i="7"/>
  <c r="E249" i="7"/>
  <c r="AO248" i="7"/>
  <c r="AB248" i="7"/>
  <c r="Q248" i="7"/>
  <c r="F248" i="7"/>
  <c r="AT247" i="7"/>
  <c r="AI247" i="7"/>
  <c r="W247" i="7"/>
  <c r="L247" i="7"/>
  <c r="AZ246" i="7"/>
  <c r="AO246" i="7"/>
  <c r="AD246" i="7"/>
  <c r="S246" i="7"/>
  <c r="H246" i="7"/>
  <c r="AV245" i="7"/>
  <c r="AL245" i="7"/>
  <c r="AB245" i="7"/>
  <c r="R245" i="7"/>
  <c r="H245" i="7"/>
  <c r="AW244" i="7"/>
  <c r="AM244" i="7"/>
  <c r="AC244" i="7"/>
  <c r="S244" i="7"/>
  <c r="I244" i="7"/>
  <c r="AX243" i="7"/>
  <c r="AN243" i="7"/>
  <c r="AD243" i="7"/>
  <c r="T243" i="7"/>
  <c r="J243" i="7"/>
  <c r="AY242" i="7"/>
  <c r="AO242" i="7"/>
  <c r="AE242" i="7"/>
  <c r="U242" i="7"/>
  <c r="K242" i="7"/>
  <c r="AZ241" i="7"/>
  <c r="AP241" i="7"/>
  <c r="AF241" i="7"/>
  <c r="V241" i="7"/>
  <c r="L241" i="7"/>
  <c r="BA240" i="7"/>
  <c r="AQ240" i="7"/>
  <c r="AG240" i="7"/>
  <c r="W240" i="7"/>
  <c r="M240" i="7"/>
  <c r="C240" i="7"/>
  <c r="AR239" i="7"/>
  <c r="AH239" i="7"/>
  <c r="X239" i="7"/>
  <c r="N239" i="7"/>
  <c r="D239" i="7"/>
  <c r="AS238" i="7"/>
  <c r="AI238" i="7"/>
  <c r="Y238" i="7"/>
  <c r="O238" i="7"/>
  <c r="E238" i="7"/>
  <c r="AT237" i="7"/>
  <c r="AJ237" i="7"/>
  <c r="Z237" i="7"/>
  <c r="P237" i="7"/>
  <c r="F237" i="7"/>
  <c r="AU236" i="7"/>
  <c r="AK236" i="7"/>
  <c r="AA236" i="7"/>
  <c r="Q236" i="7"/>
  <c r="G236" i="7"/>
  <c r="AV235" i="7"/>
  <c r="AL235" i="7"/>
  <c r="AB235" i="7"/>
  <c r="R235" i="7"/>
  <c r="H235" i="7"/>
  <c r="AW234" i="7"/>
  <c r="AM234" i="7"/>
  <c r="AC234" i="7"/>
  <c r="S234" i="7"/>
  <c r="I234" i="7"/>
  <c r="AX233" i="7"/>
  <c r="AN233" i="7"/>
  <c r="AD233" i="7"/>
  <c r="T233" i="7"/>
  <c r="J233" i="7"/>
  <c r="AY232" i="7"/>
  <c r="AO232" i="7"/>
  <c r="AE232" i="7"/>
  <c r="U232" i="7"/>
  <c r="K232" i="7"/>
  <c r="AZ231" i="7"/>
  <c r="AP231" i="7"/>
  <c r="AF231" i="7"/>
  <c r="V231" i="7"/>
  <c r="L231" i="7"/>
  <c r="BA230" i="7"/>
  <c r="AQ230" i="7"/>
  <c r="AG230" i="7"/>
  <c r="W230" i="7"/>
  <c r="M230" i="7"/>
  <c r="C230" i="7"/>
  <c r="AR229" i="7"/>
  <c r="AH229" i="7"/>
  <c r="X229" i="7"/>
  <c r="N229" i="7"/>
  <c r="D229" i="7"/>
  <c r="AS228" i="7"/>
  <c r="AI228" i="7"/>
  <c r="Y228" i="7"/>
  <c r="O228" i="7"/>
  <c r="E228" i="7"/>
  <c r="AT227" i="7"/>
  <c r="AJ227" i="7"/>
  <c r="Z227" i="7"/>
  <c r="P227" i="7"/>
  <c r="F227" i="7"/>
  <c r="AO264" i="7"/>
  <c r="AA264" i="7"/>
  <c r="J264" i="7"/>
  <c r="AT263" i="7"/>
  <c r="AD263" i="7"/>
  <c r="P263" i="7"/>
  <c r="AX262" i="7"/>
  <c r="AG262" i="7"/>
  <c r="S262" i="7"/>
  <c r="C262" i="7"/>
  <c r="AM261" i="7"/>
  <c r="V261" i="7"/>
  <c r="H261" i="7"/>
  <c r="AQ260" i="7"/>
  <c r="AB260" i="7"/>
  <c r="K260" i="7"/>
  <c r="AT259" i="7"/>
  <c r="AF259" i="7"/>
  <c r="O259" i="7"/>
  <c r="AY258" i="7"/>
  <c r="AI258" i="7"/>
  <c r="U258" i="7"/>
  <c r="D258" i="7"/>
  <c r="AL257" i="7"/>
  <c r="X257" i="7"/>
  <c r="H257" i="7"/>
  <c r="AR256" i="7"/>
  <c r="AA256" i="7"/>
  <c r="M256" i="7"/>
  <c r="AV255" i="7"/>
  <c r="AG255" i="7"/>
  <c r="P255" i="7"/>
  <c r="C255" i="7"/>
  <c r="AN254" i="7"/>
  <c r="Z254" i="7"/>
  <c r="K254" i="7"/>
  <c r="AW253" i="7"/>
  <c r="AJ253" i="7"/>
  <c r="U253" i="7"/>
  <c r="G253" i="7"/>
  <c r="AR252" i="7"/>
  <c r="AE252" i="7"/>
  <c r="Q252" i="7"/>
  <c r="BA251" i="7"/>
  <c r="AN251" i="7"/>
  <c r="AA251" i="7"/>
  <c r="L251" i="7"/>
  <c r="AW250" i="7"/>
  <c r="AI250" i="7"/>
  <c r="V250" i="7"/>
  <c r="H250" i="7"/>
  <c r="AR249" i="7"/>
  <c r="AE249" i="7"/>
  <c r="Q249" i="7"/>
  <c r="C249" i="7"/>
  <c r="AN248" i="7"/>
  <c r="AA248" i="7"/>
  <c r="P248" i="7"/>
  <c r="E248" i="7"/>
  <c r="AS247" i="7"/>
  <c r="AG247" i="7"/>
  <c r="V247" i="7"/>
  <c r="K247" i="7"/>
  <c r="AY246" i="7"/>
  <c r="AN246" i="7"/>
  <c r="AC246" i="7"/>
  <c r="R246" i="7"/>
  <c r="G246" i="7"/>
  <c r="AU245" i="7"/>
  <c r="AK245" i="7"/>
  <c r="AA245" i="7"/>
  <c r="Q245" i="7"/>
  <c r="G245" i="7"/>
  <c r="AV244" i="7"/>
  <c r="AL244" i="7"/>
  <c r="AB244" i="7"/>
  <c r="R244" i="7"/>
  <c r="H244" i="7"/>
  <c r="AW243" i="7"/>
  <c r="AM243" i="7"/>
  <c r="AC243" i="7"/>
  <c r="S243" i="7"/>
  <c r="I243" i="7"/>
  <c r="AX242" i="7"/>
  <c r="AN242" i="7"/>
  <c r="AV264" i="7"/>
  <c r="AE264" i="7"/>
  <c r="Q264" i="7"/>
  <c r="AZ263" i="7"/>
  <c r="AK263" i="7"/>
  <c r="T263" i="7"/>
  <c r="F263" i="7"/>
  <c r="AO262" i="7"/>
  <c r="Z262" i="7"/>
  <c r="I262" i="7"/>
  <c r="AR261" i="7"/>
  <c r="AD261" i="7"/>
  <c r="M261" i="7"/>
  <c r="AW260" i="7"/>
  <c r="AG260" i="7"/>
  <c r="S260" i="7"/>
  <c r="BA259" i="7"/>
  <c r="AJ259" i="7"/>
  <c r="V259" i="7"/>
  <c r="F259" i="7"/>
  <c r="AP258" i="7"/>
  <c r="Y258" i="7"/>
  <c r="K258" i="7"/>
  <c r="AT257" i="7"/>
  <c r="AE257" i="7"/>
  <c r="N257" i="7"/>
  <c r="AW256" i="7"/>
  <c r="AI256" i="7"/>
  <c r="R256" i="7"/>
  <c r="C256" i="7"/>
  <c r="AL255" i="7"/>
  <c r="X255" i="7"/>
  <c r="H255" i="7"/>
  <c r="AS254" i="7"/>
  <c r="AE254" i="7"/>
  <c r="R254" i="7"/>
  <c r="D254" i="7"/>
  <c r="AN253" i="7"/>
  <c r="AA253" i="7"/>
  <c r="M253" i="7"/>
  <c r="AX252" i="7"/>
  <c r="AJ252" i="7"/>
  <c r="V252" i="7"/>
  <c r="I252" i="7"/>
  <c r="AS251" i="7"/>
  <c r="AE251" i="7"/>
  <c r="R251" i="7"/>
  <c r="D251" i="7"/>
  <c r="AO250" i="7"/>
  <c r="Z250" i="7"/>
  <c r="M250" i="7"/>
  <c r="AY249" i="7"/>
  <c r="AJ249" i="7"/>
  <c r="V249" i="7"/>
  <c r="I249" i="7"/>
  <c r="AT248" i="7"/>
  <c r="AF248" i="7"/>
  <c r="T248" i="7"/>
  <c r="I248" i="7"/>
  <c r="AW247" i="7"/>
  <c r="AL247" i="7"/>
  <c r="AA247" i="7"/>
  <c r="P247" i="7"/>
  <c r="E247" i="7"/>
  <c r="AR246" i="7"/>
  <c r="AG246" i="7"/>
  <c r="V246" i="7"/>
  <c r="K246" i="7"/>
  <c r="AY245" i="7"/>
  <c r="AM264" i="7"/>
  <c r="P264" i="7"/>
  <c r="AN263" i="7"/>
  <c r="K263" i="7"/>
  <c r="AN262" i="7"/>
  <c r="L262" i="7"/>
  <c r="AH261" i="7"/>
  <c r="K261" i="7"/>
  <c r="AI260" i="7"/>
  <c r="I260" i="7"/>
  <c r="AI259" i="7"/>
  <c r="J259" i="7"/>
  <c r="AG258" i="7"/>
  <c r="J258" i="7"/>
  <c r="AH257" i="7"/>
  <c r="E257" i="7"/>
  <c r="AH256" i="7"/>
  <c r="F256" i="7"/>
  <c r="AB255" i="7"/>
  <c r="F255" i="7"/>
  <c r="AH254" i="7"/>
  <c r="I254" i="7"/>
  <c r="AM253" i="7"/>
  <c r="P253" i="7"/>
  <c r="AP252" i="7"/>
  <c r="U252" i="7"/>
  <c r="AW251" i="7"/>
  <c r="W251" i="7"/>
  <c r="C251" i="7"/>
  <c r="AD250" i="7"/>
  <c r="D250" i="7"/>
  <c r="AH249" i="7"/>
  <c r="K249" i="7"/>
  <c r="AK248" i="7"/>
  <c r="S248" i="7"/>
  <c r="AY247" i="7"/>
  <c r="AE247" i="7"/>
  <c r="O247" i="7"/>
  <c r="AU246" i="7"/>
  <c r="AA246" i="7"/>
  <c r="J246" i="7"/>
  <c r="AQ245" i="7"/>
  <c r="AD245" i="7"/>
  <c r="N245" i="7"/>
  <c r="AZ244" i="7"/>
  <c r="AJ244" i="7"/>
  <c r="W244" i="7"/>
  <c r="G244" i="7"/>
  <c r="AS243" i="7"/>
  <c r="AF243" i="7"/>
  <c r="P243" i="7"/>
  <c r="C243" i="7"/>
  <c r="AL242" i="7"/>
  <c r="Z242" i="7"/>
  <c r="N242" i="7"/>
  <c r="AY241" i="7"/>
  <c r="AM241" i="7"/>
  <c r="AA241" i="7"/>
  <c r="O241" i="7"/>
  <c r="AZ240" i="7"/>
  <c r="AN240" i="7"/>
  <c r="AB240" i="7"/>
  <c r="P240" i="7"/>
  <c r="BA239" i="7"/>
  <c r="AO239" i="7"/>
  <c r="AC239" i="7"/>
  <c r="Q239" i="7"/>
  <c r="C239" i="7"/>
  <c r="AP238" i="7"/>
  <c r="AD238" i="7"/>
  <c r="R238" i="7"/>
  <c r="D238" i="7"/>
  <c r="AQ237" i="7"/>
  <c r="AE237" i="7"/>
  <c r="S237" i="7"/>
  <c r="E237" i="7"/>
  <c r="AR236" i="7"/>
  <c r="AF236" i="7"/>
  <c r="T236" i="7"/>
  <c r="F236" i="7"/>
  <c r="AS235" i="7"/>
  <c r="AG235" i="7"/>
  <c r="U235" i="7"/>
  <c r="G235" i="7"/>
  <c r="AT234" i="7"/>
  <c r="AH234" i="7"/>
  <c r="V234" i="7"/>
  <c r="H234" i="7"/>
  <c r="AU233" i="7"/>
  <c r="AI233" i="7"/>
  <c r="W233" i="7"/>
  <c r="I233" i="7"/>
  <c r="AV232" i="7"/>
  <c r="AJ232" i="7"/>
  <c r="X232" i="7"/>
  <c r="J232" i="7"/>
  <c r="AW231" i="7"/>
  <c r="AK231" i="7"/>
  <c r="Y231" i="7"/>
  <c r="K231" i="7"/>
  <c r="AX230" i="7"/>
  <c r="AL230" i="7"/>
  <c r="AA230" i="7"/>
  <c r="P230" i="7"/>
  <c r="E230" i="7"/>
  <c r="AS229" i="7"/>
  <c r="AG229" i="7"/>
  <c r="V229" i="7"/>
  <c r="K229" i="7"/>
  <c r="AY228" i="7"/>
  <c r="AN228" i="7"/>
  <c r="AC228" i="7"/>
  <c r="R228" i="7"/>
  <c r="G228" i="7"/>
  <c r="AU227" i="7"/>
  <c r="AI227" i="7"/>
  <c r="X227" i="7"/>
  <c r="M227" i="7"/>
  <c r="BA226" i="7"/>
  <c r="AQ226" i="7"/>
  <c r="AG226" i="7"/>
  <c r="W226" i="7"/>
  <c r="M226" i="7"/>
  <c r="C226" i="7"/>
  <c r="AR225" i="7"/>
  <c r="AH225" i="7"/>
  <c r="X225" i="7"/>
  <c r="N225" i="7"/>
  <c r="D225" i="7"/>
  <c r="AS224" i="7"/>
  <c r="AI224" i="7"/>
  <c r="Y224" i="7"/>
  <c r="O224" i="7"/>
  <c r="E224" i="7"/>
  <c r="AT223" i="7"/>
  <c r="AJ223" i="7"/>
  <c r="Z223" i="7"/>
  <c r="P223" i="7"/>
  <c r="F223" i="7"/>
  <c r="AU222" i="7"/>
  <c r="AK222" i="7"/>
  <c r="AA222" i="7"/>
  <c r="Q222" i="7"/>
  <c r="G222" i="7"/>
  <c r="AV221" i="7"/>
  <c r="AL221" i="7"/>
  <c r="AB221" i="7"/>
  <c r="R221" i="7"/>
  <c r="H221" i="7"/>
  <c r="AW220" i="7"/>
  <c r="AM220" i="7"/>
  <c r="AC220" i="7"/>
  <c r="S220" i="7"/>
  <c r="I220" i="7"/>
  <c r="AX219" i="7"/>
  <c r="AN219" i="7"/>
  <c r="AD219" i="7"/>
  <c r="AL264" i="7"/>
  <c r="H264" i="7"/>
  <c r="AM263" i="7"/>
  <c r="I263" i="7"/>
  <c r="AF262" i="7"/>
  <c r="J262" i="7"/>
  <c r="AG261" i="7"/>
  <c r="G261" i="7"/>
  <c r="AH260" i="7"/>
  <c r="H260" i="7"/>
  <c r="AE259" i="7"/>
  <c r="I259" i="7"/>
  <c r="AF258" i="7"/>
  <c r="BA257" i="7"/>
  <c r="AG257" i="7"/>
  <c r="C257" i="7"/>
  <c r="Z256" i="7"/>
  <c r="D256" i="7"/>
  <c r="AA255" i="7"/>
  <c r="AZ254" i="7"/>
  <c r="AF254" i="7"/>
  <c r="H254" i="7"/>
  <c r="AI253" i="7"/>
  <c r="O253" i="7"/>
  <c r="AO252" i="7"/>
  <c r="N252" i="7"/>
  <c r="AV251" i="7"/>
  <c r="U251" i="7"/>
  <c r="AV250" i="7"/>
  <c r="AB250" i="7"/>
  <c r="C250" i="7"/>
  <c r="AD249" i="7"/>
  <c r="J249" i="7"/>
  <c r="AJ248" i="7"/>
  <c r="O248" i="7"/>
  <c r="AX247" i="7"/>
  <c r="AD247" i="7"/>
  <c r="J247" i="7"/>
  <c r="AT246" i="7"/>
  <c r="Z246" i="7"/>
  <c r="F246" i="7"/>
  <c r="AP245" i="7"/>
  <c r="Z245" i="7"/>
  <c r="M245" i="7"/>
  <c r="AY244" i="7"/>
  <c r="AI244" i="7"/>
  <c r="V244" i="7"/>
  <c r="F244" i="7"/>
  <c r="AR243" i="7"/>
  <c r="AB243" i="7"/>
  <c r="O243" i="7"/>
  <c r="BA242" i="7"/>
  <c r="AK242" i="7"/>
  <c r="Y242" i="7"/>
  <c r="M242" i="7"/>
  <c r="AX241" i="7"/>
  <c r="AL241" i="7"/>
  <c r="Z241" i="7"/>
  <c r="N241" i="7"/>
  <c r="AY240" i="7"/>
  <c r="AM240" i="7"/>
  <c r="AA240" i="7"/>
  <c r="O240" i="7"/>
  <c r="AZ239" i="7"/>
  <c r="AN239" i="7"/>
  <c r="AB239" i="7"/>
  <c r="P239" i="7"/>
  <c r="BA238" i="7"/>
  <c r="AO238" i="7"/>
  <c r="AC238" i="7"/>
  <c r="Q238" i="7"/>
  <c r="C238" i="7"/>
  <c r="AP237" i="7"/>
  <c r="AD237" i="7"/>
  <c r="R237" i="7"/>
  <c r="D237" i="7"/>
  <c r="AQ236" i="7"/>
  <c r="AE236" i="7"/>
  <c r="S236" i="7"/>
  <c r="E236" i="7"/>
  <c r="AR235" i="7"/>
  <c r="AF235" i="7"/>
  <c r="T235" i="7"/>
  <c r="F235" i="7"/>
  <c r="AS234" i="7"/>
  <c r="AG234" i="7"/>
  <c r="U234" i="7"/>
  <c r="G234" i="7"/>
  <c r="AT233" i="7"/>
  <c r="AH233" i="7"/>
  <c r="V233" i="7"/>
  <c r="H233" i="7"/>
  <c r="AU232" i="7"/>
  <c r="AI232" i="7"/>
  <c r="W232" i="7"/>
  <c r="I232" i="7"/>
  <c r="AV231" i="7"/>
  <c r="AJ231" i="7"/>
  <c r="X231" i="7"/>
  <c r="J231" i="7"/>
  <c r="AW230" i="7"/>
  <c r="AK230" i="7"/>
  <c r="Z230" i="7"/>
  <c r="O230" i="7"/>
  <c r="D230" i="7"/>
  <c r="AQ229" i="7"/>
  <c r="AF229" i="7"/>
  <c r="U229" i="7"/>
  <c r="J229" i="7"/>
  <c r="AX228" i="7"/>
  <c r="AM228" i="7"/>
  <c r="AB228" i="7"/>
  <c r="Q228" i="7"/>
  <c r="F228" i="7"/>
  <c r="AS227" i="7"/>
  <c r="AH227" i="7"/>
  <c r="W227" i="7"/>
  <c r="L227" i="7"/>
  <c r="AZ226" i="7"/>
  <c r="AP226" i="7"/>
  <c r="AF226" i="7"/>
  <c r="V226" i="7"/>
  <c r="L226" i="7"/>
  <c r="BA225" i="7"/>
  <c r="AQ225" i="7"/>
  <c r="AG225" i="7"/>
  <c r="W225" i="7"/>
  <c r="M225" i="7"/>
  <c r="C225" i="7"/>
  <c r="AR224" i="7"/>
  <c r="AH224" i="7"/>
  <c r="X224" i="7"/>
  <c r="N224" i="7"/>
  <c r="D224" i="7"/>
  <c r="AS223" i="7"/>
  <c r="AI223" i="7"/>
  <c r="Y223" i="7"/>
  <c r="O223" i="7"/>
  <c r="E223" i="7"/>
  <c r="AT222" i="7"/>
  <c r="AJ222" i="7"/>
  <c r="Z222" i="7"/>
  <c r="P222" i="7"/>
  <c r="F222" i="7"/>
  <c r="AU221" i="7"/>
  <c r="AK221" i="7"/>
  <c r="AJ264" i="7"/>
  <c r="G264" i="7"/>
  <c r="AI263" i="7"/>
  <c r="H263" i="7"/>
  <c r="AE262" i="7"/>
  <c r="H262" i="7"/>
  <c r="AF261" i="7"/>
  <c r="D261" i="7"/>
  <c r="AF260" i="7"/>
  <c r="E260" i="7"/>
  <c r="AC259" i="7"/>
  <c r="E259" i="7"/>
  <c r="AD258" i="7"/>
  <c r="AZ257" i="7"/>
  <c r="AA257" i="7"/>
  <c r="BA256" i="7"/>
  <c r="Y256" i="7"/>
  <c r="BA255" i="7"/>
  <c r="Z255" i="7"/>
  <c r="AY254" i="7"/>
  <c r="AD254" i="7"/>
  <c r="G254" i="7"/>
  <c r="AF253" i="7"/>
  <c r="L253" i="7"/>
  <c r="AM252" i="7"/>
  <c r="M252" i="7"/>
  <c r="AQ251" i="7"/>
  <c r="T251" i="7"/>
  <c r="AT250" i="7"/>
  <c r="Y250" i="7"/>
  <c r="BA249" i="7"/>
  <c r="AC249" i="7"/>
  <c r="G249" i="7"/>
  <c r="AI248" i="7"/>
  <c r="N248" i="7"/>
  <c r="AV247" i="7"/>
  <c r="AC247" i="7"/>
  <c r="I247" i="7"/>
  <c r="AQ246" i="7"/>
  <c r="X246" i="7"/>
  <c r="D246" i="7"/>
  <c r="AO245" i="7"/>
  <c r="Y245" i="7"/>
  <c r="L245" i="7"/>
  <c r="AU244" i="7"/>
  <c r="AH244" i="7"/>
  <c r="U244" i="7"/>
  <c r="E244" i="7"/>
  <c r="AQ243" i="7"/>
  <c r="AA243" i="7"/>
  <c r="N243" i="7"/>
  <c r="AW242" i="7"/>
  <c r="AJ242" i="7"/>
  <c r="X242" i="7"/>
  <c r="J242" i="7"/>
  <c r="AW241" i="7"/>
  <c r="AK241" i="7"/>
  <c r="Y241" i="7"/>
  <c r="K241" i="7"/>
  <c r="AX240" i="7"/>
  <c r="AL240" i="7"/>
  <c r="Z240" i="7"/>
  <c r="L240" i="7"/>
  <c r="AY239" i="7"/>
  <c r="AM239" i="7"/>
  <c r="AA239" i="7"/>
  <c r="M239" i="7"/>
  <c r="AZ238" i="7"/>
  <c r="AN238" i="7"/>
  <c r="AB238" i="7"/>
  <c r="N238" i="7"/>
  <c r="BA237" i="7"/>
  <c r="AO237" i="7"/>
  <c r="AC237" i="7"/>
  <c r="O237" i="7"/>
  <c r="C237" i="7"/>
  <c r="AP236" i="7"/>
  <c r="AD236" i="7"/>
  <c r="P236" i="7"/>
  <c r="D236" i="7"/>
  <c r="AQ235" i="7"/>
  <c r="AE235" i="7"/>
  <c r="Q235" i="7"/>
  <c r="E235" i="7"/>
  <c r="AR234" i="7"/>
  <c r="AF234" i="7"/>
  <c r="R234" i="7"/>
  <c r="F234" i="7"/>
  <c r="AS233" i="7"/>
  <c r="AG233" i="7"/>
  <c r="S233" i="7"/>
  <c r="G233" i="7"/>
  <c r="AT232" i="7"/>
  <c r="AH232" i="7"/>
  <c r="T232" i="7"/>
  <c r="H232" i="7"/>
  <c r="AU231" i="7"/>
  <c r="AI231" i="7"/>
  <c r="U231" i="7"/>
  <c r="I231" i="7"/>
  <c r="AV230" i="7"/>
  <c r="AJ230" i="7"/>
  <c r="Y230" i="7"/>
  <c r="N230" i="7"/>
  <c r="BA229" i="7"/>
  <c r="AP229" i="7"/>
  <c r="AE229" i="7"/>
  <c r="T229" i="7"/>
  <c r="I229" i="7"/>
  <c r="AW228" i="7"/>
  <c r="AL228" i="7"/>
  <c r="AA228" i="7"/>
  <c r="P228" i="7"/>
  <c r="D228" i="7"/>
  <c r="AR227" i="7"/>
  <c r="AG227" i="7"/>
  <c r="V227" i="7"/>
  <c r="K227" i="7"/>
  <c r="AY226" i="7"/>
  <c r="AO226" i="7"/>
  <c r="AE226" i="7"/>
  <c r="U226" i="7"/>
  <c r="K226" i="7"/>
  <c r="AZ225" i="7"/>
  <c r="AP225" i="7"/>
  <c r="AF225" i="7"/>
  <c r="AT264" i="7"/>
  <c r="S264" i="7"/>
  <c r="AP263" i="7"/>
  <c r="S263" i="7"/>
  <c r="AQ262" i="7"/>
  <c r="Q262" i="7"/>
  <c r="AQ261" i="7"/>
  <c r="R261" i="7"/>
  <c r="AN260" i="7"/>
  <c r="R260" i="7"/>
  <c r="AO259" i="7"/>
  <c r="L259" i="7"/>
  <c r="AN258" i="7"/>
  <c r="M258" i="7"/>
  <c r="AJ257" i="7"/>
  <c r="M257" i="7"/>
  <c r="AK256" i="7"/>
  <c r="I256" i="7"/>
  <c r="AK255" i="7"/>
  <c r="K255" i="7"/>
  <c r="AK254" i="7"/>
  <c r="Q254" i="7"/>
  <c r="AQ253" i="7"/>
  <c r="R253" i="7"/>
  <c r="AV252" i="7"/>
  <c r="X252" i="7"/>
  <c r="AY251" i="7"/>
  <c r="AD251" i="7"/>
  <c r="G251" i="7"/>
  <c r="AG250" i="7"/>
  <c r="L250" i="7"/>
  <c r="AN249" i="7"/>
  <c r="N249" i="7"/>
  <c r="AS248" i="7"/>
  <c r="V248" i="7"/>
  <c r="BA247" i="7"/>
  <c r="AK247" i="7"/>
  <c r="R247" i="7"/>
  <c r="AW246" i="7"/>
  <c r="AF246" i="7"/>
  <c r="M246" i="7"/>
  <c r="AS245" i="7"/>
  <c r="AF245" i="7"/>
  <c r="P245" i="7"/>
  <c r="C245" i="7"/>
  <c r="AO244" i="7"/>
  <c r="Y244" i="7"/>
  <c r="L244" i="7"/>
  <c r="AU243" i="7"/>
  <c r="AH243" i="7"/>
  <c r="R243" i="7"/>
  <c r="E243" i="7"/>
  <c r="AQ242" i="7"/>
  <c r="AB242" i="7"/>
  <c r="P242" i="7"/>
  <c r="D242" i="7"/>
  <c r="AO241" i="7"/>
  <c r="AC241" i="7"/>
  <c r="Q241" i="7"/>
  <c r="E241" i="7"/>
  <c r="AP240" i="7"/>
  <c r="AD240" i="7"/>
  <c r="R240" i="7"/>
  <c r="F240" i="7"/>
  <c r="AQ239" i="7"/>
  <c r="AE239" i="7"/>
  <c r="S239" i="7"/>
  <c r="G239" i="7"/>
  <c r="AR238" i="7"/>
  <c r="AF238" i="7"/>
  <c r="T238" i="7"/>
  <c r="H238" i="7"/>
  <c r="AS237" i="7"/>
  <c r="AG237" i="7"/>
  <c r="U237" i="7"/>
  <c r="I237" i="7"/>
  <c r="AT236" i="7"/>
  <c r="AH236" i="7"/>
  <c r="V236" i="7"/>
  <c r="J236" i="7"/>
  <c r="AU235" i="7"/>
  <c r="AI235" i="7"/>
  <c r="W235" i="7"/>
  <c r="K235" i="7"/>
  <c r="AV234" i="7"/>
  <c r="AD264" i="7"/>
  <c r="AO263" i="7"/>
  <c r="AU262" i="7"/>
  <c r="AY261" i="7"/>
  <c r="Q261" i="7"/>
  <c r="U260" i="7"/>
  <c r="X259" i="7"/>
  <c r="AH258" i="7"/>
  <c r="AS257" i="7"/>
  <c r="AV256" i="7"/>
  <c r="H256" i="7"/>
  <c r="N255" i="7"/>
  <c r="V254" i="7"/>
  <c r="AO253" i="7"/>
  <c r="BA252" i="7"/>
  <c r="K252" i="7"/>
  <c r="Y251" i="7"/>
  <c r="AM250" i="7"/>
  <c r="AX249" i="7"/>
  <c r="L249" i="7"/>
  <c r="Y248" i="7"/>
  <c r="AP247" i="7"/>
  <c r="Q247" i="7"/>
  <c r="AJ246" i="7"/>
  <c r="BA245" i="7"/>
  <c r="AE245" i="7"/>
  <c r="E245" i="7"/>
  <c r="AF244" i="7"/>
  <c r="K244" i="7"/>
  <c r="AJ243" i="7"/>
  <c r="L243" i="7"/>
  <c r="AM242" i="7"/>
  <c r="R242" i="7"/>
  <c r="AU241" i="7"/>
  <c r="AB241" i="7"/>
  <c r="G241" i="7"/>
  <c r="AJ240" i="7"/>
  <c r="Q240" i="7"/>
  <c r="AU239" i="7"/>
  <c r="W239" i="7"/>
  <c r="F239" i="7"/>
  <c r="AH238" i="7"/>
  <c r="L238" i="7"/>
  <c r="AR237" i="7"/>
  <c r="W237" i="7"/>
  <c r="AZ236" i="7"/>
  <c r="AG236" i="7"/>
  <c r="L236" i="7"/>
  <c r="AO235" i="7"/>
  <c r="V235" i="7"/>
  <c r="AZ234" i="7"/>
  <c r="AE234" i="7"/>
  <c r="N234" i="7"/>
  <c r="AV233" i="7"/>
  <c r="AB233" i="7"/>
  <c r="M233" i="7"/>
  <c r="AR232" i="7"/>
  <c r="AA232" i="7"/>
  <c r="G232" i="7"/>
  <c r="AO231" i="7"/>
  <c r="Z231" i="7"/>
  <c r="F231" i="7"/>
  <c r="AN230" i="7"/>
  <c r="V230" i="7"/>
  <c r="H230" i="7"/>
  <c r="AO229" i="7"/>
  <c r="AA229" i="7"/>
  <c r="L229" i="7"/>
  <c r="AT228" i="7"/>
  <c r="AE228" i="7"/>
  <c r="M228" i="7"/>
  <c r="AX227" i="7"/>
  <c r="AF227" i="7"/>
  <c r="R227" i="7"/>
  <c r="C227" i="7"/>
  <c r="AL226" i="7"/>
  <c r="Y226" i="7"/>
  <c r="I226" i="7"/>
  <c r="AU225" i="7"/>
  <c r="AE225" i="7"/>
  <c r="S225" i="7"/>
  <c r="G225" i="7"/>
  <c r="AT224" i="7"/>
  <c r="AF224" i="7"/>
  <c r="T224" i="7"/>
  <c r="H224" i="7"/>
  <c r="AU223" i="7"/>
  <c r="AG223" i="7"/>
  <c r="U223" i="7"/>
  <c r="I223" i="7"/>
  <c r="AV222" i="7"/>
  <c r="AH222" i="7"/>
  <c r="V222" i="7"/>
  <c r="J222" i="7"/>
  <c r="AW221" i="7"/>
  <c r="AI221" i="7"/>
  <c r="X221" i="7"/>
  <c r="M221" i="7"/>
  <c r="BA220" i="7"/>
  <c r="AP220" i="7"/>
  <c r="AE220" i="7"/>
  <c r="T220" i="7"/>
  <c r="H220" i="7"/>
  <c r="AV219" i="7"/>
  <c r="AK219" i="7"/>
  <c r="Z219" i="7"/>
  <c r="P219" i="7"/>
  <c r="F219" i="7"/>
  <c r="AU218" i="7"/>
  <c r="AK218" i="7"/>
  <c r="AA218" i="7"/>
  <c r="Q218" i="7"/>
  <c r="G218" i="7"/>
  <c r="AV217" i="7"/>
  <c r="AL217" i="7"/>
  <c r="AB217" i="7"/>
  <c r="R217" i="7"/>
  <c r="H217" i="7"/>
  <c r="AW216" i="7"/>
  <c r="AM216" i="7"/>
  <c r="AC216" i="7"/>
  <c r="S216" i="7"/>
  <c r="I216" i="7"/>
  <c r="AX215" i="7"/>
  <c r="AN215" i="7"/>
  <c r="AD215" i="7"/>
  <c r="T215" i="7"/>
  <c r="J215" i="7"/>
  <c r="AY214" i="7"/>
  <c r="AO214" i="7"/>
  <c r="AE214" i="7"/>
  <c r="U214" i="7"/>
  <c r="K214" i="7"/>
  <c r="AZ213" i="7"/>
  <c r="AP213" i="7"/>
  <c r="AF213" i="7"/>
  <c r="V213" i="7"/>
  <c r="L213" i="7"/>
  <c r="BA212" i="7"/>
  <c r="AQ212" i="7"/>
  <c r="AG212" i="7"/>
  <c r="Z264" i="7"/>
  <c r="AC263" i="7"/>
  <c r="AT262" i="7"/>
  <c r="AW261" i="7"/>
  <c r="C261" i="7"/>
  <c r="T260" i="7"/>
  <c r="W259" i="7"/>
  <c r="Z258" i="7"/>
  <c r="AK257" i="7"/>
  <c r="AP256" i="7"/>
  <c r="AU255" i="7"/>
  <c r="M255" i="7"/>
  <c r="U254" i="7"/>
  <c r="AD253" i="7"/>
  <c r="AZ252" i="7"/>
  <c r="J252" i="7"/>
  <c r="S251" i="7"/>
  <c r="AH250" i="7"/>
  <c r="AQ249" i="7"/>
  <c r="AZ248" i="7"/>
  <c r="X248" i="7"/>
  <c r="AO247" i="7"/>
  <c r="H247" i="7"/>
  <c r="AH246" i="7"/>
  <c r="AZ245" i="7"/>
  <c r="X245" i="7"/>
  <c r="D245" i="7"/>
  <c r="AE244" i="7"/>
  <c r="D244" i="7"/>
  <c r="AI243" i="7"/>
  <c r="H243" i="7"/>
  <c r="AI242" i="7"/>
  <c r="Q242" i="7"/>
  <c r="AT241" i="7"/>
  <c r="X241" i="7"/>
  <c r="F241" i="7"/>
  <c r="AI240" i="7"/>
  <c r="K240" i="7"/>
  <c r="AT239" i="7"/>
  <c r="V239" i="7"/>
  <c r="AY238" i="7"/>
  <c r="AG238" i="7"/>
  <c r="K238" i="7"/>
  <c r="AN237" i="7"/>
  <c r="V237" i="7"/>
  <c r="AY236" i="7"/>
  <c r="AC236" i="7"/>
  <c r="K236" i="7"/>
  <c r="AN235" i="7"/>
  <c r="P235" i="7"/>
  <c r="AY234" i="7"/>
  <c r="AB234" i="7"/>
  <c r="M234" i="7"/>
  <c r="AR233" i="7"/>
  <c r="AA233" i="7"/>
  <c r="L233" i="7"/>
  <c r="AQ232" i="7"/>
  <c r="Z232" i="7"/>
  <c r="F232" i="7"/>
  <c r="AN231" i="7"/>
  <c r="T231" i="7"/>
  <c r="E231" i="7"/>
  <c r="AM230" i="7"/>
  <c r="U230" i="7"/>
  <c r="G230" i="7"/>
  <c r="AN229" i="7"/>
  <c r="Z229" i="7"/>
  <c r="H229" i="7"/>
  <c r="AR228" i="7"/>
  <c r="AD228" i="7"/>
  <c r="L228" i="7"/>
  <c r="AW227" i="7"/>
  <c r="AE227" i="7"/>
  <c r="Q227" i="7"/>
  <c r="AX226" i="7"/>
  <c r="AK226" i="7"/>
  <c r="X226" i="7"/>
  <c r="H226" i="7"/>
  <c r="AT225" i="7"/>
  <c r="AD225" i="7"/>
  <c r="R225" i="7"/>
  <c r="F225" i="7"/>
  <c r="AQ224" i="7"/>
  <c r="AE224" i="7"/>
  <c r="S224" i="7"/>
  <c r="G224" i="7"/>
  <c r="AR223" i="7"/>
  <c r="AF223" i="7"/>
  <c r="T223" i="7"/>
  <c r="H223" i="7"/>
  <c r="AS222" i="7"/>
  <c r="AG222" i="7"/>
  <c r="U222" i="7"/>
  <c r="I222" i="7"/>
  <c r="AT221" i="7"/>
  <c r="AH221" i="7"/>
  <c r="W221" i="7"/>
  <c r="L221" i="7"/>
  <c r="AZ220" i="7"/>
  <c r="AO220" i="7"/>
  <c r="AD220" i="7"/>
  <c r="R220" i="7"/>
  <c r="G220" i="7"/>
  <c r="AU219" i="7"/>
  <c r="AJ219" i="7"/>
  <c r="Y219" i="7"/>
  <c r="O219" i="7"/>
  <c r="E219" i="7"/>
  <c r="AT218" i="7"/>
  <c r="AJ218" i="7"/>
  <c r="Z218" i="7"/>
  <c r="P218" i="7"/>
  <c r="F218" i="7"/>
  <c r="AU217" i="7"/>
  <c r="AK217" i="7"/>
  <c r="AA217" i="7"/>
  <c r="Q217" i="7"/>
  <c r="G217" i="7"/>
  <c r="AV216" i="7"/>
  <c r="AL216" i="7"/>
  <c r="AB216" i="7"/>
  <c r="R216" i="7"/>
  <c r="H216" i="7"/>
  <c r="AW215" i="7"/>
  <c r="AM215" i="7"/>
  <c r="AC215" i="7"/>
  <c r="S215" i="7"/>
  <c r="I215" i="7"/>
  <c r="AX214" i="7"/>
  <c r="AN214" i="7"/>
  <c r="AD214" i="7"/>
  <c r="T214" i="7"/>
  <c r="J214" i="7"/>
  <c r="AY213" i="7"/>
  <c r="AO213" i="7"/>
  <c r="AE213" i="7"/>
  <c r="U213" i="7"/>
  <c r="K213" i="7"/>
  <c r="AZ212" i="7"/>
  <c r="AP212" i="7"/>
  <c r="AF212" i="7"/>
  <c r="V212" i="7"/>
  <c r="L212" i="7"/>
  <c r="BA211" i="7"/>
  <c r="AQ211" i="7"/>
  <c r="AG211" i="7"/>
  <c r="W211" i="7"/>
  <c r="M211" i="7"/>
  <c r="C211" i="7"/>
  <c r="AR210" i="7"/>
  <c r="AH210" i="7"/>
  <c r="X210" i="7"/>
  <c r="N210" i="7"/>
  <c r="D210" i="7"/>
  <c r="AS209" i="7"/>
  <c r="AI209" i="7"/>
  <c r="Y209" i="7"/>
  <c r="O209" i="7"/>
  <c r="E209" i="7"/>
  <c r="AT208" i="7"/>
  <c r="AJ208" i="7"/>
  <c r="Z208" i="7"/>
  <c r="P208" i="7"/>
  <c r="F208" i="7"/>
  <c r="AU207" i="7"/>
  <c r="AK207" i="7"/>
  <c r="AA207" i="7"/>
  <c r="Q207" i="7"/>
  <c r="G207" i="7"/>
  <c r="AV206" i="7"/>
  <c r="X264" i="7"/>
  <c r="AB263" i="7"/>
  <c r="AP262" i="7"/>
  <c r="AV261" i="7"/>
  <c r="AZ260" i="7"/>
  <c r="J260" i="7"/>
  <c r="U259" i="7"/>
  <c r="X258" i="7"/>
  <c r="AI257" i="7"/>
  <c r="AM256" i="7"/>
  <c r="AS255" i="7"/>
  <c r="J255" i="7"/>
  <c r="T254" i="7"/>
  <c r="AC253" i="7"/>
  <c r="AQ252" i="7"/>
  <c r="H252" i="7"/>
  <c r="Q251" i="7"/>
  <c r="AF250" i="7"/>
  <c r="AP249" i="7"/>
  <c r="AY248" i="7"/>
  <c r="U248" i="7"/>
  <c r="AN247" i="7"/>
  <c r="G247" i="7"/>
  <c r="AB246" i="7"/>
  <c r="AX245" i="7"/>
  <c r="W245" i="7"/>
  <c r="BA244" i="7"/>
  <c r="AA244" i="7"/>
  <c r="C244" i="7"/>
  <c r="AG243" i="7"/>
  <c r="G243" i="7"/>
  <c r="AH242" i="7"/>
  <c r="O242" i="7"/>
  <c r="AS241" i="7"/>
  <c r="U241" i="7"/>
  <c r="D241" i="7"/>
  <c r="AF240" i="7"/>
  <c r="J240" i="7"/>
  <c r="AP239" i="7"/>
  <c r="U239" i="7"/>
  <c r="AX238" i="7"/>
  <c r="AE238" i="7"/>
  <c r="J238" i="7"/>
  <c r="AM237" i="7"/>
  <c r="T237" i="7"/>
  <c r="AX236" i="7"/>
  <c r="Z236" i="7"/>
  <c r="I236" i="7"/>
  <c r="AK235" i="7"/>
  <c r="O235" i="7"/>
  <c r="AU234" i="7"/>
  <c r="AA234" i="7"/>
  <c r="L234" i="7"/>
  <c r="AQ233" i="7"/>
  <c r="Z233" i="7"/>
  <c r="F233" i="7"/>
  <c r="AN232" i="7"/>
  <c r="Y232" i="7"/>
  <c r="E232" i="7"/>
  <c r="AM231" i="7"/>
  <c r="S231" i="7"/>
  <c r="D231" i="7"/>
  <c r="AI230" i="7"/>
  <c r="T230" i="7"/>
  <c r="F230" i="7"/>
  <c r="AM229" i="7"/>
  <c r="Y229" i="7"/>
  <c r="G229" i="7"/>
  <c r="AQ228" i="7"/>
  <c r="Z228" i="7"/>
  <c r="K228" i="7"/>
  <c r="AV227" i="7"/>
  <c r="AD227" i="7"/>
  <c r="O227" i="7"/>
  <c r="AW226" i="7"/>
  <c r="AJ226" i="7"/>
  <c r="T226" i="7"/>
  <c r="G226" i="7"/>
  <c r="AS225" i="7"/>
  <c r="AC225" i="7"/>
  <c r="Q225" i="7"/>
  <c r="E225" i="7"/>
  <c r="AP224" i="7"/>
  <c r="AD224" i="7"/>
  <c r="R224" i="7"/>
  <c r="F224" i="7"/>
  <c r="AQ223" i="7"/>
  <c r="AE223" i="7"/>
  <c r="S223" i="7"/>
  <c r="G223" i="7"/>
  <c r="AR222" i="7"/>
  <c r="AF222" i="7"/>
  <c r="T222" i="7"/>
  <c r="H222" i="7"/>
  <c r="AS221" i="7"/>
  <c r="AG221" i="7"/>
  <c r="V221" i="7"/>
  <c r="K221" i="7"/>
  <c r="AY220" i="7"/>
  <c r="AN220" i="7"/>
  <c r="AB220" i="7"/>
  <c r="Q220" i="7"/>
  <c r="F220" i="7"/>
  <c r="AT219" i="7"/>
  <c r="AI219" i="7"/>
  <c r="X219" i="7"/>
  <c r="N219" i="7"/>
  <c r="D219" i="7"/>
  <c r="AS218" i="7"/>
  <c r="AI218" i="7"/>
  <c r="Y218" i="7"/>
  <c r="O218" i="7"/>
  <c r="E218" i="7"/>
  <c r="AT217" i="7"/>
  <c r="AJ217" i="7"/>
  <c r="Z217" i="7"/>
  <c r="P217" i="7"/>
  <c r="F217" i="7"/>
  <c r="AU216" i="7"/>
  <c r="AK216" i="7"/>
  <c r="AA216" i="7"/>
  <c r="Q216" i="7"/>
  <c r="G216" i="7"/>
  <c r="AV215" i="7"/>
  <c r="AL215" i="7"/>
  <c r="AB215" i="7"/>
  <c r="R215" i="7"/>
  <c r="H215" i="7"/>
  <c r="AW214" i="7"/>
  <c r="AM214" i="7"/>
  <c r="AC214" i="7"/>
  <c r="S214" i="7"/>
  <c r="I214" i="7"/>
  <c r="AX213" i="7"/>
  <c r="AN213" i="7"/>
  <c r="AD213" i="7"/>
  <c r="T213" i="7"/>
  <c r="J213" i="7"/>
  <c r="R264" i="7"/>
  <c r="AX264" i="7"/>
  <c r="D264" i="7"/>
  <c r="G263" i="7"/>
  <c r="R262" i="7"/>
  <c r="U261" i="7"/>
  <c r="X260" i="7"/>
  <c r="AQ259" i="7"/>
  <c r="AT258" i="7"/>
  <c r="AY257" i="7"/>
  <c r="O257" i="7"/>
  <c r="V256" i="7"/>
  <c r="Y255" i="7"/>
  <c r="AM254" i="7"/>
  <c r="AV253" i="7"/>
  <c r="F253" i="7"/>
  <c r="Z252" i="7"/>
  <c r="AK251" i="7"/>
  <c r="AS250" i="7"/>
  <c r="N250" i="7"/>
  <c r="F264" i="7"/>
  <c r="AD262" i="7"/>
  <c r="T261" i="7"/>
  <c r="AS259" i="7"/>
  <c r="T258" i="7"/>
  <c r="G257" i="7"/>
  <c r="AM255" i="7"/>
  <c r="S254" i="7"/>
  <c r="E253" i="7"/>
  <c r="AM251" i="7"/>
  <c r="U250" i="7"/>
  <c r="W249" i="7"/>
  <c r="L248" i="7"/>
  <c r="Z247" i="7"/>
  <c r="AK246" i="7"/>
  <c r="AN245" i="7"/>
  <c r="J245" i="7"/>
  <c r="X244" i="7"/>
  <c r="AP243" i="7"/>
  <c r="F243" i="7"/>
  <c r="AA242" i="7"/>
  <c r="AV241" i="7"/>
  <c r="R241" i="7"/>
  <c r="AO240" i="7"/>
  <c r="H240" i="7"/>
  <c r="AF239" i="7"/>
  <c r="AW238" i="7"/>
  <c r="V238" i="7"/>
  <c r="AV237" i="7"/>
  <c r="L237" i="7"/>
  <c r="AJ236" i="7"/>
  <c r="BA235" i="7"/>
  <c r="Z235" i="7"/>
  <c r="AQ234" i="7"/>
  <c r="W234" i="7"/>
  <c r="AW233" i="7"/>
  <c r="R233" i="7"/>
  <c r="AW232" i="7"/>
  <c r="R232" i="7"/>
  <c r="AT231" i="7"/>
  <c r="R231" i="7"/>
  <c r="AT230" i="7"/>
  <c r="X230" i="7"/>
  <c r="AX229" i="7"/>
  <c r="AC229" i="7"/>
  <c r="E229" i="7"/>
  <c r="AH228" i="7"/>
  <c r="J228" i="7"/>
  <c r="AN227" i="7"/>
  <c r="S227" i="7"/>
  <c r="AT226" i="7"/>
  <c r="AA226" i="7"/>
  <c r="E226" i="7"/>
  <c r="AK225" i="7"/>
  <c r="P225" i="7"/>
  <c r="AX224" i="7"/>
  <c r="AG224" i="7"/>
  <c r="M224" i="7"/>
  <c r="AW223" i="7"/>
  <c r="AC223" i="7"/>
  <c r="L223" i="7"/>
  <c r="AQ222" i="7"/>
  <c r="AB222" i="7"/>
  <c r="K222" i="7"/>
  <c r="AP221" i="7"/>
  <c r="Z221" i="7"/>
  <c r="I221" i="7"/>
  <c r="AS220" i="7"/>
  <c r="AA220" i="7"/>
  <c r="M220" i="7"/>
  <c r="AW219" i="7"/>
  <c r="AF219" i="7"/>
  <c r="R219" i="7"/>
  <c r="BA218" i="7"/>
  <c r="AN218" i="7"/>
  <c r="X218" i="7"/>
  <c r="K218" i="7"/>
  <c r="AW217" i="7"/>
  <c r="AG217" i="7"/>
  <c r="T217" i="7"/>
  <c r="D217" i="7"/>
  <c r="AP216" i="7"/>
  <c r="Z216" i="7"/>
  <c r="M216" i="7"/>
  <c r="AY215" i="7"/>
  <c r="AI215" i="7"/>
  <c r="V215" i="7"/>
  <c r="F215" i="7"/>
  <c r="AR214" i="7"/>
  <c r="AB214" i="7"/>
  <c r="O214" i="7"/>
  <c r="BA213" i="7"/>
  <c r="AK213" i="7"/>
  <c r="X213" i="7"/>
  <c r="H213" i="7"/>
  <c r="AU212" i="7"/>
  <c r="AI212" i="7"/>
  <c r="W212" i="7"/>
  <c r="K212" i="7"/>
  <c r="AY211" i="7"/>
  <c r="AN211" i="7"/>
  <c r="AC211" i="7"/>
  <c r="R211" i="7"/>
  <c r="G211" i="7"/>
  <c r="AU210" i="7"/>
  <c r="AJ210" i="7"/>
  <c r="Y210" i="7"/>
  <c r="M210" i="7"/>
  <c r="BA209" i="7"/>
  <c r="AP209" i="7"/>
  <c r="AE209" i="7"/>
  <c r="T209" i="7"/>
  <c r="I209" i="7"/>
  <c r="AW208" i="7"/>
  <c r="AL208" i="7"/>
  <c r="AA208" i="7"/>
  <c r="O208" i="7"/>
  <c r="D208" i="7"/>
  <c r="AR207" i="7"/>
  <c r="AG207" i="7"/>
  <c r="V207" i="7"/>
  <c r="K207" i="7"/>
  <c r="AY206" i="7"/>
  <c r="AN206" i="7"/>
  <c r="AD206" i="7"/>
  <c r="T206" i="7"/>
  <c r="J206" i="7"/>
  <c r="AY205" i="7"/>
  <c r="AO205" i="7"/>
  <c r="AE205" i="7"/>
  <c r="U205" i="7"/>
  <c r="K205" i="7"/>
  <c r="AZ204" i="7"/>
  <c r="AP204" i="7"/>
  <c r="AF204" i="7"/>
  <c r="V204" i="7"/>
  <c r="L204" i="7"/>
  <c r="BA203" i="7"/>
  <c r="AQ203" i="7"/>
  <c r="AG203" i="7"/>
  <c r="W203" i="7"/>
  <c r="M203" i="7"/>
  <c r="C203" i="7"/>
  <c r="AR202" i="7"/>
  <c r="AH202" i="7"/>
  <c r="X202" i="7"/>
  <c r="N202" i="7"/>
  <c r="D202" i="7"/>
  <c r="AS201" i="7"/>
  <c r="AI201" i="7"/>
  <c r="Y201" i="7"/>
  <c r="O201" i="7"/>
  <c r="E201" i="7"/>
  <c r="AT200" i="7"/>
  <c r="AJ200" i="7"/>
  <c r="Z200" i="7"/>
  <c r="P200" i="7"/>
  <c r="F200" i="7"/>
  <c r="AU199" i="7"/>
  <c r="AK199" i="7"/>
  <c r="AA199" i="7"/>
  <c r="Q199" i="7"/>
  <c r="G199" i="7"/>
  <c r="AV198" i="7"/>
  <c r="AL198" i="7"/>
  <c r="AB198" i="7"/>
  <c r="E264" i="7"/>
  <c r="AC262" i="7"/>
  <c r="S261" i="7"/>
  <c r="AR259" i="7"/>
  <c r="P258" i="7"/>
  <c r="AZ256" i="7"/>
  <c r="AC255" i="7"/>
  <c r="J254" i="7"/>
  <c r="C253" i="7"/>
  <c r="AL251" i="7"/>
  <c r="S250" i="7"/>
  <c r="U249" i="7"/>
  <c r="K248" i="7"/>
  <c r="U247" i="7"/>
  <c r="W246" i="7"/>
  <c r="AJ245" i="7"/>
  <c r="F245" i="7"/>
  <c r="Q244" i="7"/>
  <c r="AL243" i="7"/>
  <c r="D243" i="7"/>
  <c r="W242" i="7"/>
  <c r="AR241" i="7"/>
  <c r="P241" i="7"/>
  <c r="AK240" i="7"/>
  <c r="G240" i="7"/>
  <c r="AD239" i="7"/>
  <c r="AV238" i="7"/>
  <c r="U238" i="7"/>
  <c r="AL237" i="7"/>
  <c r="K237" i="7"/>
  <c r="AI236" i="7"/>
  <c r="AZ235" i="7"/>
  <c r="Y235" i="7"/>
  <c r="AP234" i="7"/>
  <c r="Q234" i="7"/>
  <c r="AP233" i="7"/>
  <c r="Q233" i="7"/>
  <c r="AS232" i="7"/>
  <c r="Q232" i="7"/>
  <c r="AS231" i="7"/>
  <c r="Q231" i="7"/>
  <c r="AS230" i="7"/>
  <c r="S230" i="7"/>
  <c r="AW229" i="7"/>
  <c r="AB229" i="7"/>
  <c r="C229" i="7"/>
  <c r="AG228" i="7"/>
  <c r="I228" i="7"/>
  <c r="AM227" i="7"/>
  <c r="N227" i="7"/>
  <c r="AS226" i="7"/>
  <c r="Z226" i="7"/>
  <c r="D226" i="7"/>
  <c r="AJ225" i="7"/>
  <c r="O225" i="7"/>
  <c r="AW224" i="7"/>
  <c r="AC224" i="7"/>
  <c r="L224" i="7"/>
  <c r="AV223" i="7"/>
  <c r="AB223" i="7"/>
  <c r="K223" i="7"/>
  <c r="AP222" i="7"/>
  <c r="Y222" i="7"/>
  <c r="E222" i="7"/>
  <c r="AO221" i="7"/>
  <c r="Y221" i="7"/>
  <c r="G221" i="7"/>
  <c r="AR220" i="7"/>
  <c r="Z220" i="7"/>
  <c r="L220" i="7"/>
  <c r="AS219" i="7"/>
  <c r="AE219" i="7"/>
  <c r="Q219" i="7"/>
  <c r="AZ218" i="7"/>
  <c r="AM218" i="7"/>
  <c r="W218" i="7"/>
  <c r="J218" i="7"/>
  <c r="AS217" i="7"/>
  <c r="AF217" i="7"/>
  <c r="S217" i="7"/>
  <c r="C217" i="7"/>
  <c r="AO216" i="7"/>
  <c r="Y216" i="7"/>
  <c r="L216" i="7"/>
  <c r="AU215" i="7"/>
  <c r="AH215" i="7"/>
  <c r="U215" i="7"/>
  <c r="E215" i="7"/>
  <c r="AQ214" i="7"/>
  <c r="AA214" i="7"/>
  <c r="N214" i="7"/>
  <c r="AW213" i="7"/>
  <c r="AJ213" i="7"/>
  <c r="W213" i="7"/>
  <c r="G213" i="7"/>
  <c r="AT212" i="7"/>
  <c r="AH212" i="7"/>
  <c r="U212" i="7"/>
  <c r="J212" i="7"/>
  <c r="AX211" i="7"/>
  <c r="AM211" i="7"/>
  <c r="AB211" i="7"/>
  <c r="Q211" i="7"/>
  <c r="F211" i="7"/>
  <c r="AT210" i="7"/>
  <c r="AI210" i="7"/>
  <c r="W210" i="7"/>
  <c r="L210" i="7"/>
  <c r="AZ209" i="7"/>
  <c r="AO209" i="7"/>
  <c r="AD209" i="7"/>
  <c r="S209" i="7"/>
  <c r="H209" i="7"/>
  <c r="AV208" i="7"/>
  <c r="AK208" i="7"/>
  <c r="Y208" i="7"/>
  <c r="N208" i="7"/>
  <c r="C208" i="7"/>
  <c r="AQ207" i="7"/>
  <c r="AF207" i="7"/>
  <c r="U207" i="7"/>
  <c r="J207" i="7"/>
  <c r="AX206" i="7"/>
  <c r="AM206" i="7"/>
  <c r="AC206" i="7"/>
  <c r="S206" i="7"/>
  <c r="I206" i="7"/>
  <c r="AX205" i="7"/>
  <c r="AN205" i="7"/>
  <c r="AD205" i="7"/>
  <c r="T205" i="7"/>
  <c r="J205" i="7"/>
  <c r="AY204" i="7"/>
  <c r="AO204" i="7"/>
  <c r="AE204" i="7"/>
  <c r="U204" i="7"/>
  <c r="K204" i="7"/>
  <c r="AZ203" i="7"/>
  <c r="AP203" i="7"/>
  <c r="AF203" i="7"/>
  <c r="V203" i="7"/>
  <c r="L203" i="7"/>
  <c r="BA202" i="7"/>
  <c r="AQ202" i="7"/>
  <c r="AG202" i="7"/>
  <c r="W202" i="7"/>
  <c r="M202" i="7"/>
  <c r="C202" i="7"/>
  <c r="AR201" i="7"/>
  <c r="AH201" i="7"/>
  <c r="X201" i="7"/>
  <c r="N201" i="7"/>
  <c r="D201" i="7"/>
  <c r="AS200" i="7"/>
  <c r="AI200" i="7"/>
  <c r="Y200" i="7"/>
  <c r="O200" i="7"/>
  <c r="E200" i="7"/>
  <c r="AT199" i="7"/>
  <c r="AJ199" i="7"/>
  <c r="Z199" i="7"/>
  <c r="P199" i="7"/>
  <c r="F199" i="7"/>
  <c r="AU198" i="7"/>
  <c r="AK198" i="7"/>
  <c r="AA198" i="7"/>
  <c r="Q198" i="7"/>
  <c r="G198" i="7"/>
  <c r="AV197" i="7"/>
  <c r="AL197" i="7"/>
  <c r="AB197" i="7"/>
  <c r="R197" i="7"/>
  <c r="H197" i="7"/>
  <c r="AW196" i="7"/>
  <c r="AM196" i="7"/>
  <c r="AC196" i="7"/>
  <c r="S196" i="7"/>
  <c r="I196" i="7"/>
  <c r="AX195" i="7"/>
  <c r="AN195" i="7"/>
  <c r="AD195" i="7"/>
  <c r="T195" i="7"/>
  <c r="J195" i="7"/>
  <c r="AY194" i="7"/>
  <c r="AO194" i="7"/>
  <c r="AE194" i="7"/>
  <c r="U194" i="7"/>
  <c r="K194" i="7"/>
  <c r="AZ193" i="7"/>
  <c r="AP193" i="7"/>
  <c r="AF193" i="7"/>
  <c r="V193" i="7"/>
  <c r="L193" i="7"/>
  <c r="BA192" i="7"/>
  <c r="AQ192" i="7"/>
  <c r="AG192" i="7"/>
  <c r="W192" i="7"/>
  <c r="M192" i="7"/>
  <c r="C192" i="7"/>
  <c r="AR191" i="7"/>
  <c r="AH191" i="7"/>
  <c r="X191" i="7"/>
  <c r="N191" i="7"/>
  <c r="D191" i="7"/>
  <c r="AS190" i="7"/>
  <c r="AI190" i="7"/>
  <c r="Y190" i="7"/>
  <c r="AY263" i="7"/>
  <c r="AB262" i="7"/>
  <c r="AX260" i="7"/>
  <c r="AM259" i="7"/>
  <c r="N258" i="7"/>
  <c r="AL256" i="7"/>
  <c r="W255" i="7"/>
  <c r="F254" i="7"/>
  <c r="AK252" i="7"/>
  <c r="AH251" i="7"/>
  <c r="P250" i="7"/>
  <c r="P249" i="7"/>
  <c r="J248" i="7"/>
  <c r="T247" i="7"/>
  <c r="U246" i="7"/>
  <c r="AI245" i="7"/>
  <c r="AT244" i="7"/>
  <c r="P244" i="7"/>
  <c r="AK243" i="7"/>
  <c r="AV242" i="7"/>
  <c r="T242" i="7"/>
  <c r="AN241" i="7"/>
  <c r="J241" i="7"/>
  <c r="AE240" i="7"/>
  <c r="E240" i="7"/>
  <c r="Z239" i="7"/>
  <c r="AU238" i="7"/>
  <c r="S238" i="7"/>
  <c r="AI237" i="7"/>
  <c r="J237" i="7"/>
  <c r="Y236" i="7"/>
  <c r="AY235" i="7"/>
  <c r="X235" i="7"/>
  <c r="AO234" i="7"/>
  <c r="P234" i="7"/>
  <c r="AM233" i="7"/>
  <c r="P233" i="7"/>
  <c r="AM232" i="7"/>
  <c r="P232" i="7"/>
  <c r="AR231" i="7"/>
  <c r="P231" i="7"/>
  <c r="AP230" i="7"/>
  <c r="R230" i="7"/>
  <c r="AV229" i="7"/>
  <c r="W229" i="7"/>
  <c r="BA228" i="7"/>
  <c r="AF228" i="7"/>
  <c r="H228" i="7"/>
  <c r="AL227" i="7"/>
  <c r="J227" i="7"/>
  <c r="AR226" i="7"/>
  <c r="S226" i="7"/>
  <c r="AY225" i="7"/>
  <c r="AI225" i="7"/>
  <c r="L225" i="7"/>
  <c r="AV224" i="7"/>
  <c r="AB224" i="7"/>
  <c r="K224" i="7"/>
  <c r="AP223" i="7"/>
  <c r="AA223" i="7"/>
  <c r="J223" i="7"/>
  <c r="AO222" i="7"/>
  <c r="X222" i="7"/>
  <c r="D222" i="7"/>
  <c r="AN221" i="7"/>
  <c r="U221" i="7"/>
  <c r="F221" i="7"/>
  <c r="AQ220" i="7"/>
  <c r="Y220" i="7"/>
  <c r="K220" i="7"/>
  <c r="AR219" i="7"/>
  <c r="AC219" i="7"/>
  <c r="M219" i="7"/>
  <c r="AY218" i="7"/>
  <c r="AL218" i="7"/>
  <c r="V218" i="7"/>
  <c r="I218" i="7"/>
  <c r="AR217" i="7"/>
  <c r="AE217" i="7"/>
  <c r="O217" i="7"/>
  <c r="BA216" i="7"/>
  <c r="AN216" i="7"/>
  <c r="X216" i="7"/>
  <c r="K216" i="7"/>
  <c r="AT215" i="7"/>
  <c r="AG215" i="7"/>
  <c r="Q215" i="7"/>
  <c r="D215" i="7"/>
  <c r="AP214" i="7"/>
  <c r="Z214" i="7"/>
  <c r="M214" i="7"/>
  <c r="AV213" i="7"/>
  <c r="AI213" i="7"/>
  <c r="S213" i="7"/>
  <c r="F213" i="7"/>
  <c r="AS212" i="7"/>
  <c r="AE212" i="7"/>
  <c r="T212" i="7"/>
  <c r="I212" i="7"/>
  <c r="AW211" i="7"/>
  <c r="AL211" i="7"/>
  <c r="AA211" i="7"/>
  <c r="P211" i="7"/>
  <c r="E211" i="7"/>
  <c r="AS210" i="7"/>
  <c r="AG210" i="7"/>
  <c r="V210" i="7"/>
  <c r="K210" i="7"/>
  <c r="AY209" i="7"/>
  <c r="AN209" i="7"/>
  <c r="AC209" i="7"/>
  <c r="R209" i="7"/>
  <c r="G209" i="7"/>
  <c r="AU208" i="7"/>
  <c r="AI208" i="7"/>
  <c r="X208" i="7"/>
  <c r="M208" i="7"/>
  <c r="BA207" i="7"/>
  <c r="AP207" i="7"/>
  <c r="AE207" i="7"/>
  <c r="T207" i="7"/>
  <c r="I207" i="7"/>
  <c r="AW206" i="7"/>
  <c r="AL206" i="7"/>
  <c r="AB206" i="7"/>
  <c r="R206" i="7"/>
  <c r="H206" i="7"/>
  <c r="AW205" i="7"/>
  <c r="AM205" i="7"/>
  <c r="AC205" i="7"/>
  <c r="S205" i="7"/>
  <c r="I205" i="7"/>
  <c r="AX204" i="7"/>
  <c r="AN204" i="7"/>
  <c r="AD204" i="7"/>
  <c r="T204" i="7"/>
  <c r="J204" i="7"/>
  <c r="AY203" i="7"/>
  <c r="AO203" i="7"/>
  <c r="AE203" i="7"/>
  <c r="U203" i="7"/>
  <c r="K203" i="7"/>
  <c r="AZ202" i="7"/>
  <c r="AP202" i="7"/>
  <c r="AF202" i="7"/>
  <c r="V202" i="7"/>
  <c r="L202" i="7"/>
  <c r="BA201" i="7"/>
  <c r="AQ201" i="7"/>
  <c r="AG201" i="7"/>
  <c r="W201" i="7"/>
  <c r="M201" i="7"/>
  <c r="C201" i="7"/>
  <c r="AR200" i="7"/>
  <c r="AH200" i="7"/>
  <c r="X200" i="7"/>
  <c r="N200" i="7"/>
  <c r="D200" i="7"/>
  <c r="AS199" i="7"/>
  <c r="AI199" i="7"/>
  <c r="Y199" i="7"/>
  <c r="O199" i="7"/>
  <c r="E199" i="7"/>
  <c r="AT198" i="7"/>
  <c r="AJ198" i="7"/>
  <c r="Z198" i="7"/>
  <c r="P198" i="7"/>
  <c r="F198" i="7"/>
  <c r="AU197" i="7"/>
  <c r="AK197" i="7"/>
  <c r="AH264" i="7"/>
  <c r="E263" i="7"/>
  <c r="AE261" i="7"/>
  <c r="D260" i="7"/>
  <c r="AS258" i="7"/>
  <c r="U257" i="7"/>
  <c r="AQ255" i="7"/>
  <c r="AI254" i="7"/>
  <c r="S253" i="7"/>
  <c r="AZ251" i="7"/>
  <c r="AR250" i="7"/>
  <c r="AA249" i="7"/>
  <c r="AD248" i="7"/>
  <c r="AF247" i="7"/>
  <c r="AM246" i="7"/>
  <c r="AT245" i="7"/>
  <c r="O245" i="7"/>
  <c r="AG244" i="7"/>
  <c r="AV243" i="7"/>
  <c r="Q243" i="7"/>
  <c r="AD242" i="7"/>
  <c r="E242" i="7"/>
  <c r="T241" i="7"/>
  <c r="AT240" i="7"/>
  <c r="S240" i="7"/>
  <c r="AJ239" i="7"/>
  <c r="I239" i="7"/>
  <c r="X238" i="7"/>
  <c r="AX237" i="7"/>
  <c r="N237" i="7"/>
  <c r="AN236" i="7"/>
  <c r="M236" i="7"/>
  <c r="AD235" i="7"/>
  <c r="C235" i="7"/>
  <c r="Y234" i="7"/>
  <c r="BA233" i="7"/>
  <c r="Y233" i="7"/>
  <c r="BA232" i="7"/>
  <c r="AB232" i="7"/>
  <c r="AY231" i="7"/>
  <c r="AB231" i="7"/>
  <c r="AY230" i="7"/>
  <c r="AC230" i="7"/>
  <c r="AZ229" i="7"/>
  <c r="AI229" i="7"/>
  <c r="M229" i="7"/>
  <c r="AK228" i="7"/>
  <c r="S228" i="7"/>
  <c r="AP227" i="7"/>
  <c r="U227" i="7"/>
  <c r="AV226" i="7"/>
  <c r="AC226" i="7"/>
  <c r="J226" i="7"/>
  <c r="AM225" i="7"/>
  <c r="U225" i="7"/>
  <c r="AZ224" i="7"/>
  <c r="AK224" i="7"/>
  <c r="Q224" i="7"/>
  <c r="AY223" i="7"/>
  <c r="AH223" i="7"/>
  <c r="N223" i="7"/>
  <c r="AX222" i="7"/>
  <c r="AD222" i="7"/>
  <c r="M222" i="7"/>
  <c r="AR221" i="7"/>
  <c r="AC221" i="7"/>
  <c r="N221" i="7"/>
  <c r="AU220" i="7"/>
  <c r="AG220" i="7"/>
  <c r="O220" i="7"/>
  <c r="AZ219" i="7"/>
  <c r="AH219" i="7"/>
  <c r="T219" i="7"/>
  <c r="G219" i="7"/>
  <c r="AP218" i="7"/>
  <c r="AC218" i="7"/>
  <c r="M218" i="7"/>
  <c r="AY217" i="7"/>
  <c r="AI217" i="7"/>
  <c r="V217" i="7"/>
  <c r="I217" i="7"/>
  <c r="AR216" i="7"/>
  <c r="AE216" i="7"/>
  <c r="O216" i="7"/>
  <c r="BA215" i="7"/>
  <c r="AK215" i="7"/>
  <c r="X215" i="7"/>
  <c r="K215" i="7"/>
  <c r="AT214" i="7"/>
  <c r="AG214" i="7"/>
  <c r="Q214" i="7"/>
  <c r="D214" i="7"/>
  <c r="AM213" i="7"/>
  <c r="Z213" i="7"/>
  <c r="M213" i="7"/>
  <c r="AW212" i="7"/>
  <c r="AK212" i="7"/>
  <c r="Y212" i="7"/>
  <c r="N212" i="7"/>
  <c r="C212" i="7"/>
  <c r="AP211" i="7"/>
  <c r="AE211" i="7"/>
  <c r="T211" i="7"/>
  <c r="I211" i="7"/>
  <c r="AW210" i="7"/>
  <c r="AL210" i="7"/>
  <c r="AA210" i="7"/>
  <c r="P210" i="7"/>
  <c r="E210" i="7"/>
  <c r="AR209" i="7"/>
  <c r="AG209" i="7"/>
  <c r="V209" i="7"/>
  <c r="K209" i="7"/>
  <c r="AY208" i="7"/>
  <c r="AN208" i="7"/>
  <c r="AC208" i="7"/>
  <c r="R208" i="7"/>
  <c r="G208" i="7"/>
  <c r="AT207" i="7"/>
  <c r="AA263" i="7"/>
  <c r="AC261" i="7"/>
  <c r="AX258" i="7"/>
  <c r="X256" i="7"/>
  <c r="X254" i="7"/>
  <c r="W252" i="7"/>
  <c r="E250" i="7"/>
  <c r="Z248" i="7"/>
  <c r="AX246" i="7"/>
  <c r="AG245" i="7"/>
  <c r="Z244" i="7"/>
  <c r="W243" i="7"/>
  <c r="I242" i="7"/>
  <c r="S241" i="7"/>
  <c r="U240" i="7"/>
  <c r="R239" i="7"/>
  <c r="W238" i="7"/>
  <c r="Y237" i="7"/>
  <c r="W236" i="7"/>
  <c r="AA235" i="7"/>
  <c r="AI234" i="7"/>
  <c r="AK233" i="7"/>
  <c r="AX232" i="7"/>
  <c r="D232" i="7"/>
  <c r="N231" i="7"/>
  <c r="AB230" i="7"/>
  <c r="AK229" i="7"/>
  <c r="AV228" i="7"/>
  <c r="N228" i="7"/>
  <c r="AA227" i="7"/>
  <c r="AM226" i="7"/>
  <c r="F226" i="7"/>
  <c r="Y225" i="7"/>
  <c r="AO224" i="7"/>
  <c r="P224" i="7"/>
  <c r="AL223" i="7"/>
  <c r="C223" i="7"/>
  <c r="AC222" i="7"/>
  <c r="AY221" i="7"/>
  <c r="S221" i="7"/>
  <c r="AT220" i="7"/>
  <c r="U220" i="7"/>
  <c r="AP219" i="7"/>
  <c r="S219" i="7"/>
  <c r="AR218" i="7"/>
  <c r="T218" i="7"/>
  <c r="AX217" i="7"/>
  <c r="X217" i="7"/>
  <c r="AY216" i="7"/>
  <c r="AD216" i="7"/>
  <c r="D216" i="7"/>
  <c r="AE215" i="7"/>
  <c r="G215" i="7"/>
  <c r="AI214" i="7"/>
  <c r="H214" i="7"/>
  <c r="AL213" i="7"/>
  <c r="O213" i="7"/>
  <c r="AO212" i="7"/>
  <c r="X212" i="7"/>
  <c r="E212" i="7"/>
  <c r="AJ211" i="7"/>
  <c r="S211" i="7"/>
  <c r="AY210" i="7"/>
  <c r="AE210" i="7"/>
  <c r="O210" i="7"/>
  <c r="AU209" i="7"/>
  <c r="AA209" i="7"/>
  <c r="J209" i="7"/>
  <c r="AP208" i="7"/>
  <c r="V208" i="7"/>
  <c r="E208" i="7"/>
  <c r="AL207" i="7"/>
  <c r="W207" i="7"/>
  <c r="E207" i="7"/>
  <c r="AP206" i="7"/>
  <c r="Z206" i="7"/>
  <c r="M206" i="7"/>
  <c r="AV205" i="7"/>
  <c r="AI205" i="7"/>
  <c r="V205" i="7"/>
  <c r="F205" i="7"/>
  <c r="AR204" i="7"/>
  <c r="AB204" i="7"/>
  <c r="O204" i="7"/>
  <c r="AX203" i="7"/>
  <c r="AK203" i="7"/>
  <c r="X203" i="7"/>
  <c r="H203" i="7"/>
  <c r="AT202" i="7"/>
  <c r="AD202" i="7"/>
  <c r="Q202" i="7"/>
  <c r="AZ201" i="7"/>
  <c r="AM201" i="7"/>
  <c r="Z201" i="7"/>
  <c r="J201" i="7"/>
  <c r="AV200" i="7"/>
  <c r="AF200" i="7"/>
  <c r="S200" i="7"/>
  <c r="C200" i="7"/>
  <c r="AO199" i="7"/>
  <c r="AB199" i="7"/>
  <c r="L199" i="7"/>
  <c r="AX198" i="7"/>
  <c r="AH198" i="7"/>
  <c r="U198" i="7"/>
  <c r="I198" i="7"/>
  <c r="AT197" i="7"/>
  <c r="AH197" i="7"/>
  <c r="W197" i="7"/>
  <c r="L197" i="7"/>
  <c r="AZ196" i="7"/>
  <c r="AO196" i="7"/>
  <c r="AD196" i="7"/>
  <c r="R196" i="7"/>
  <c r="G196" i="7"/>
  <c r="AU195" i="7"/>
  <c r="AJ195" i="7"/>
  <c r="Y195" i="7"/>
  <c r="N195" i="7"/>
  <c r="C195" i="7"/>
  <c r="AQ194" i="7"/>
  <c r="AF194" i="7"/>
  <c r="T194" i="7"/>
  <c r="I194" i="7"/>
  <c r="AW193" i="7"/>
  <c r="AL193" i="7"/>
  <c r="AA193" i="7"/>
  <c r="P193" i="7"/>
  <c r="E193" i="7"/>
  <c r="AS192" i="7"/>
  <c r="AH192" i="7"/>
  <c r="V192" i="7"/>
  <c r="K192" i="7"/>
  <c r="AY191" i="7"/>
  <c r="AN191" i="7"/>
  <c r="AC191" i="7"/>
  <c r="R191" i="7"/>
  <c r="G191" i="7"/>
  <c r="AU190" i="7"/>
  <c r="AJ190" i="7"/>
  <c r="X190" i="7"/>
  <c r="N190" i="7"/>
  <c r="D190" i="7"/>
  <c r="AS189" i="7"/>
  <c r="AI189" i="7"/>
  <c r="Y189" i="7"/>
  <c r="O189" i="7"/>
  <c r="E189" i="7"/>
  <c r="AT188" i="7"/>
  <c r="AJ188" i="7"/>
  <c r="Z188" i="7"/>
  <c r="P188" i="7"/>
  <c r="F188" i="7"/>
  <c r="AU187" i="7"/>
  <c r="AK187" i="7"/>
  <c r="AA187" i="7"/>
  <c r="Q187" i="7"/>
  <c r="G187" i="7"/>
  <c r="AV186" i="7"/>
  <c r="AL186" i="7"/>
  <c r="AB186" i="7"/>
  <c r="R186" i="7"/>
  <c r="H186" i="7"/>
  <c r="AW185" i="7"/>
  <c r="AM185" i="7"/>
  <c r="AC185" i="7"/>
  <c r="S185" i="7"/>
  <c r="I185" i="7"/>
  <c r="AX184" i="7"/>
  <c r="AN184" i="7"/>
  <c r="Y263" i="7"/>
  <c r="AV260" i="7"/>
  <c r="AU258" i="7"/>
  <c r="W256" i="7"/>
  <c r="AZ253" i="7"/>
  <c r="L252" i="7"/>
  <c r="AZ249" i="7"/>
  <c r="H248" i="7"/>
  <c r="AV246" i="7"/>
  <c r="V245" i="7"/>
  <c r="O244" i="7"/>
  <c r="V243" i="7"/>
  <c r="H242" i="7"/>
  <c r="I241" i="7"/>
  <c r="T240" i="7"/>
  <c r="L239" i="7"/>
  <c r="M238" i="7"/>
  <c r="X237" i="7"/>
  <c r="U236" i="7"/>
  <c r="N235" i="7"/>
  <c r="Z234" i="7"/>
  <c r="AJ233" i="7"/>
  <c r="AL232" i="7"/>
  <c r="C232" i="7"/>
  <c r="H231" i="7"/>
  <c r="Q230" i="7"/>
  <c r="AJ229" i="7"/>
  <c r="AU228" i="7"/>
  <c r="C228" i="7"/>
  <c r="Y227" i="7"/>
  <c r="AI226" i="7"/>
  <c r="AX225" i="7"/>
  <c r="V225" i="7"/>
  <c r="AN224" i="7"/>
  <c r="J224" i="7"/>
  <c r="AK223" i="7"/>
  <c r="BA222" i="7"/>
  <c r="W222" i="7"/>
  <c r="AX221" i="7"/>
  <c r="Q221" i="7"/>
  <c r="AL220" i="7"/>
  <c r="P220" i="7"/>
  <c r="AO219" i="7"/>
  <c r="L219" i="7"/>
  <c r="AQ218" i="7"/>
  <c r="S218" i="7"/>
  <c r="AQ217" i="7"/>
  <c r="W217" i="7"/>
  <c r="AX216" i="7"/>
  <c r="W216" i="7"/>
  <c r="C216" i="7"/>
  <c r="AA215" i="7"/>
  <c r="C215" i="7"/>
  <c r="AH214" i="7"/>
  <c r="G214" i="7"/>
  <c r="AH213" i="7"/>
  <c r="N213" i="7"/>
  <c r="AN212" i="7"/>
  <c r="S212" i="7"/>
  <c r="D212" i="7"/>
  <c r="AI211" i="7"/>
  <c r="O211" i="7"/>
  <c r="AX210" i="7"/>
  <c r="AD210" i="7"/>
  <c r="J210" i="7"/>
  <c r="AT209" i="7"/>
  <c r="Z209" i="7"/>
  <c r="F209" i="7"/>
  <c r="AO208" i="7"/>
  <c r="U208" i="7"/>
  <c r="AZ207" i="7"/>
  <c r="AJ207" i="7"/>
  <c r="S207" i="7"/>
  <c r="D207" i="7"/>
  <c r="AO206" i="7"/>
  <c r="Y206" i="7"/>
  <c r="L206" i="7"/>
  <c r="AU205" i="7"/>
  <c r="AH205" i="7"/>
  <c r="R205" i="7"/>
  <c r="E205" i="7"/>
  <c r="AQ204" i="7"/>
  <c r="AA204" i="7"/>
  <c r="N204" i="7"/>
  <c r="AW203" i="7"/>
  <c r="AJ203" i="7"/>
  <c r="T203" i="7"/>
  <c r="G203" i="7"/>
  <c r="AS202" i="7"/>
  <c r="AC202" i="7"/>
  <c r="P202" i="7"/>
  <c r="AY201" i="7"/>
  <c r="AL201" i="7"/>
  <c r="V201" i="7"/>
  <c r="I201" i="7"/>
  <c r="AU200" i="7"/>
  <c r="AE200" i="7"/>
  <c r="R200" i="7"/>
  <c r="BA199" i="7"/>
  <c r="AN199" i="7"/>
  <c r="X199" i="7"/>
  <c r="K199" i="7"/>
  <c r="AW198" i="7"/>
  <c r="AG198" i="7"/>
  <c r="T198" i="7"/>
  <c r="H198" i="7"/>
  <c r="AS197" i="7"/>
  <c r="AG197" i="7"/>
  <c r="V197" i="7"/>
  <c r="K197" i="7"/>
  <c r="AY196" i="7"/>
  <c r="AN196" i="7"/>
  <c r="AB196" i="7"/>
  <c r="Q196" i="7"/>
  <c r="F196" i="7"/>
  <c r="AT195" i="7"/>
  <c r="AI195" i="7"/>
  <c r="X195" i="7"/>
  <c r="M195" i="7"/>
  <c r="BA194" i="7"/>
  <c r="AP194" i="7"/>
  <c r="AD194" i="7"/>
  <c r="S194" i="7"/>
  <c r="H194" i="7"/>
  <c r="AV193" i="7"/>
  <c r="AK193" i="7"/>
  <c r="Z193" i="7"/>
  <c r="O193" i="7"/>
  <c r="D193" i="7"/>
  <c r="AR192" i="7"/>
  <c r="AF192" i="7"/>
  <c r="U192" i="7"/>
  <c r="J192" i="7"/>
  <c r="AX191" i="7"/>
  <c r="AM191" i="7"/>
  <c r="AB191" i="7"/>
  <c r="Q191" i="7"/>
  <c r="F191" i="7"/>
  <c r="AT190" i="7"/>
  <c r="AH190" i="7"/>
  <c r="W190" i="7"/>
  <c r="M190" i="7"/>
  <c r="C190" i="7"/>
  <c r="AR189" i="7"/>
  <c r="AH189" i="7"/>
  <c r="X189" i="7"/>
  <c r="N189" i="7"/>
  <c r="D189" i="7"/>
  <c r="AS188" i="7"/>
  <c r="AI188" i="7"/>
  <c r="Y188" i="7"/>
  <c r="O188" i="7"/>
  <c r="E188" i="7"/>
  <c r="AT187" i="7"/>
  <c r="AJ187" i="7"/>
  <c r="Z187" i="7"/>
  <c r="P187" i="7"/>
  <c r="F187" i="7"/>
  <c r="AU186" i="7"/>
  <c r="AK186" i="7"/>
  <c r="AA186" i="7"/>
  <c r="Q186" i="7"/>
  <c r="G186" i="7"/>
  <c r="AV185" i="7"/>
  <c r="U263" i="7"/>
  <c r="AP260" i="7"/>
  <c r="AR258" i="7"/>
  <c r="P256" i="7"/>
  <c r="AU253" i="7"/>
  <c r="AX251" i="7"/>
  <c r="AO249" i="7"/>
  <c r="D248" i="7"/>
  <c r="AL246" i="7"/>
  <c r="U245" i="7"/>
  <c r="N244" i="7"/>
  <c r="M243" i="7"/>
  <c r="G242" i="7"/>
  <c r="H241" i="7"/>
  <c r="I240" i="7"/>
  <c r="K239" i="7"/>
  <c r="I238" i="7"/>
  <c r="M237" i="7"/>
  <c r="O236" i="7"/>
  <c r="M235" i="7"/>
  <c r="X234" i="7"/>
  <c r="AF233" i="7"/>
  <c r="AK232" i="7"/>
  <c r="AX231" i="7"/>
  <c r="G231" i="7"/>
  <c r="L230" i="7"/>
  <c r="AD229" i="7"/>
  <c r="AP228" i="7"/>
  <c r="BA227" i="7"/>
  <c r="T227" i="7"/>
  <c r="AH226" i="7"/>
  <c r="AW225" i="7"/>
  <c r="T225" i="7"/>
  <c r="AM224" i="7"/>
  <c r="I224" i="7"/>
  <c r="AD223" i="7"/>
  <c r="AZ222" i="7"/>
  <c r="S222" i="7"/>
  <c r="AQ221" i="7"/>
  <c r="P221" i="7"/>
  <c r="AK220" i="7"/>
  <c r="N220" i="7"/>
  <c r="AM219" i="7"/>
  <c r="K219" i="7"/>
  <c r="AO218" i="7"/>
  <c r="R218" i="7"/>
  <c r="AP217" i="7"/>
  <c r="U217" i="7"/>
  <c r="AT216" i="7"/>
  <c r="V216" i="7"/>
  <c r="AZ215" i="7"/>
  <c r="Z215" i="7"/>
  <c r="BA214" i="7"/>
  <c r="AF214" i="7"/>
  <c r="F214" i="7"/>
  <c r="AG213" i="7"/>
  <c r="I213" i="7"/>
  <c r="AM212" i="7"/>
  <c r="R212" i="7"/>
  <c r="AZ211" i="7"/>
  <c r="AH211" i="7"/>
  <c r="N211" i="7"/>
  <c r="AV210" i="7"/>
  <c r="AC210" i="7"/>
  <c r="I210" i="7"/>
  <c r="AQ209" i="7"/>
  <c r="X209" i="7"/>
  <c r="D209" i="7"/>
  <c r="AM208" i="7"/>
  <c r="T208" i="7"/>
  <c r="AY207" i="7"/>
  <c r="AI207" i="7"/>
  <c r="R207" i="7"/>
  <c r="C207" i="7"/>
  <c r="AK206" i="7"/>
  <c r="X206" i="7"/>
  <c r="K206" i="7"/>
  <c r="AT205" i="7"/>
  <c r="AG205" i="7"/>
  <c r="Q205" i="7"/>
  <c r="D205" i="7"/>
  <c r="AM204" i="7"/>
  <c r="Z204" i="7"/>
  <c r="M204" i="7"/>
  <c r="AV203" i="7"/>
  <c r="AI203" i="7"/>
  <c r="S203" i="7"/>
  <c r="F203" i="7"/>
  <c r="AO202" i="7"/>
  <c r="AB202" i="7"/>
  <c r="O202" i="7"/>
  <c r="AX201" i="7"/>
  <c r="AK201" i="7"/>
  <c r="U201" i="7"/>
  <c r="H201" i="7"/>
  <c r="AQ200" i="7"/>
  <c r="AD200" i="7"/>
  <c r="Q200" i="7"/>
  <c r="AZ199" i="7"/>
  <c r="AM199" i="7"/>
  <c r="W199" i="7"/>
  <c r="J199" i="7"/>
  <c r="AS198" i="7"/>
  <c r="AF198" i="7"/>
  <c r="S198" i="7"/>
  <c r="E198" i="7"/>
  <c r="AR197" i="7"/>
  <c r="AF197" i="7"/>
  <c r="U197" i="7"/>
  <c r="J197" i="7"/>
  <c r="AX196" i="7"/>
  <c r="AL196" i="7"/>
  <c r="AA196" i="7"/>
  <c r="P196" i="7"/>
  <c r="E196" i="7"/>
  <c r="AS195" i="7"/>
  <c r="AH195" i="7"/>
  <c r="W195" i="7"/>
  <c r="L195" i="7"/>
  <c r="AZ194" i="7"/>
  <c r="AN194" i="7"/>
  <c r="AC194" i="7"/>
  <c r="R194" i="7"/>
  <c r="G194" i="7"/>
  <c r="AU193" i="7"/>
  <c r="AJ193" i="7"/>
  <c r="Y193" i="7"/>
  <c r="N193" i="7"/>
  <c r="C193" i="7"/>
  <c r="AP192" i="7"/>
  <c r="AE192" i="7"/>
  <c r="T192" i="7"/>
  <c r="I192" i="7"/>
  <c r="AW191" i="7"/>
  <c r="AL191" i="7"/>
  <c r="AA191" i="7"/>
  <c r="P191" i="7"/>
  <c r="E191" i="7"/>
  <c r="AR190" i="7"/>
  <c r="AG190" i="7"/>
  <c r="V190" i="7"/>
  <c r="L190" i="7"/>
  <c r="BA189" i="7"/>
  <c r="AQ189" i="7"/>
  <c r="AG189" i="7"/>
  <c r="W189" i="7"/>
  <c r="M189" i="7"/>
  <c r="C189" i="7"/>
  <c r="AR188" i="7"/>
  <c r="AH188" i="7"/>
  <c r="X188" i="7"/>
  <c r="N188" i="7"/>
  <c r="D188" i="7"/>
  <c r="AS187" i="7"/>
  <c r="AI187" i="7"/>
  <c r="Y187" i="7"/>
  <c r="O187" i="7"/>
  <c r="E187" i="7"/>
  <c r="AT186" i="7"/>
  <c r="AJ186" i="7"/>
  <c r="Z186" i="7"/>
  <c r="P186" i="7"/>
  <c r="F186" i="7"/>
  <c r="AU185" i="7"/>
  <c r="AK185" i="7"/>
  <c r="T264" i="7"/>
  <c r="AU261" i="7"/>
  <c r="M259" i="7"/>
  <c r="Q257" i="7"/>
  <c r="AT254" i="7"/>
  <c r="AD252" i="7"/>
  <c r="AQ250" i="7"/>
  <c r="AL248" i="7"/>
  <c r="F247" i="7"/>
  <c r="AR245" i="7"/>
  <c r="AP244" i="7"/>
  <c r="Y243" i="7"/>
  <c r="AC242" i="7"/>
  <c r="AE241" i="7"/>
  <c r="Y240" i="7"/>
  <c r="AG239" i="7"/>
  <c r="AK238" i="7"/>
  <c r="AF237" i="7"/>
  <c r="AM236" i="7"/>
  <c r="AJ235" i="7"/>
  <c r="AK234" i="7"/>
  <c r="AZ233" i="7"/>
  <c r="D233" i="7"/>
  <c r="N232" i="7"/>
  <c r="AA231" i="7"/>
  <c r="AE230" i="7"/>
  <c r="AT229" i="7"/>
  <c r="F229" i="7"/>
  <c r="U228" i="7"/>
  <c r="AC227" i="7"/>
  <c r="AU226" i="7"/>
  <c r="O226" i="7"/>
  <c r="AA225" i="7"/>
  <c r="AY224" i="7"/>
  <c r="V224" i="7"/>
  <c r="AN223" i="7"/>
  <c r="M223" i="7"/>
  <c r="AI222" i="7"/>
  <c r="BA221" i="7"/>
  <c r="AA221" i="7"/>
  <c r="AX220" i="7"/>
  <c r="W220" i="7"/>
  <c r="AY219" i="7"/>
  <c r="V219" i="7"/>
  <c r="AW218" i="7"/>
  <c r="AB218" i="7"/>
  <c r="BA217" i="7"/>
  <c r="AC217" i="7"/>
  <c r="E217" i="7"/>
  <c r="AG216" i="7"/>
  <c r="F216" i="7"/>
  <c r="AJ215" i="7"/>
  <c r="M215" i="7"/>
  <c r="AK214" i="7"/>
  <c r="P214" i="7"/>
  <c r="AR213" i="7"/>
  <c r="Q213" i="7"/>
  <c r="AV212" i="7"/>
  <c r="AA212" i="7"/>
  <c r="G212" i="7"/>
  <c r="AO211" i="7"/>
  <c r="V211" i="7"/>
  <c r="BA210" i="7"/>
  <c r="AK210" i="7"/>
  <c r="R210" i="7"/>
  <c r="AW209" i="7"/>
  <c r="AF209" i="7"/>
  <c r="M209" i="7"/>
  <c r="AR208" i="7"/>
  <c r="AB208" i="7"/>
  <c r="I208" i="7"/>
  <c r="AN207" i="7"/>
  <c r="Y207" i="7"/>
  <c r="H207" i="7"/>
  <c r="AR206" i="7"/>
  <c r="AE206" i="7"/>
  <c r="O206" i="7"/>
  <c r="BA205" i="7"/>
  <c r="AK205" i="7"/>
  <c r="X205" i="7"/>
  <c r="H205" i="7"/>
  <c r="AT204" i="7"/>
  <c r="AG204" i="7"/>
  <c r="Q204" i="7"/>
  <c r="D204" i="7"/>
  <c r="AM203" i="7"/>
  <c r="Z203" i="7"/>
  <c r="J203" i="7"/>
  <c r="AV202" i="7"/>
  <c r="AI202" i="7"/>
  <c r="S202" i="7"/>
  <c r="F202" i="7"/>
  <c r="AO201" i="7"/>
  <c r="AB201" i="7"/>
  <c r="L201" i="7"/>
  <c r="AX200" i="7"/>
  <c r="AK200" i="7"/>
  <c r="U200" i="7"/>
  <c r="H200" i="7"/>
  <c r="AQ199" i="7"/>
  <c r="AD199" i="7"/>
  <c r="N199" i="7"/>
  <c r="AZ198" i="7"/>
  <c r="AM198" i="7"/>
  <c r="W198" i="7"/>
  <c r="K198" i="7"/>
  <c r="AX197" i="7"/>
  <c r="AJ197" i="7"/>
  <c r="Y197" i="7"/>
  <c r="N197" i="7"/>
  <c r="C197" i="7"/>
  <c r="AQ196" i="7"/>
  <c r="AF196" i="7"/>
  <c r="U196" i="7"/>
  <c r="J196" i="7"/>
  <c r="AW195" i="7"/>
  <c r="AL195" i="7"/>
  <c r="AA195" i="7"/>
  <c r="P195" i="7"/>
  <c r="E195" i="7"/>
  <c r="AS194" i="7"/>
  <c r="AH194" i="7"/>
  <c r="W194" i="7"/>
  <c r="L194" i="7"/>
  <c r="AY193" i="7"/>
  <c r="AN193" i="7"/>
  <c r="AC193" i="7"/>
  <c r="R193" i="7"/>
  <c r="G193" i="7"/>
  <c r="AU192" i="7"/>
  <c r="AJ192" i="7"/>
  <c r="Y192" i="7"/>
  <c r="N192" i="7"/>
  <c r="BA191" i="7"/>
  <c r="AP191" i="7"/>
  <c r="AE191" i="7"/>
  <c r="T191" i="7"/>
  <c r="I191" i="7"/>
  <c r="AW190" i="7"/>
  <c r="AL190" i="7"/>
  <c r="AA190" i="7"/>
  <c r="P190" i="7"/>
  <c r="F190" i="7"/>
  <c r="AU189" i="7"/>
  <c r="AK189" i="7"/>
  <c r="AA189" i="7"/>
  <c r="Q189" i="7"/>
  <c r="G189" i="7"/>
  <c r="AV188" i="7"/>
  <c r="AL188" i="7"/>
  <c r="AB188" i="7"/>
  <c r="R188" i="7"/>
  <c r="H188" i="7"/>
  <c r="AW187" i="7"/>
  <c r="AM187" i="7"/>
  <c r="AC187" i="7"/>
  <c r="S187" i="7"/>
  <c r="I187" i="7"/>
  <c r="AX186" i="7"/>
  <c r="AN186" i="7"/>
  <c r="AD186" i="7"/>
  <c r="T186" i="7"/>
  <c r="J186" i="7"/>
  <c r="AY185" i="7"/>
  <c r="AO185" i="7"/>
  <c r="AE185" i="7"/>
  <c r="U185" i="7"/>
  <c r="AV262" i="7"/>
  <c r="K259" i="7"/>
  <c r="AX254" i="7"/>
  <c r="J251" i="7"/>
  <c r="AH248" i="7"/>
  <c r="L246" i="7"/>
  <c r="BA243" i="7"/>
  <c r="S242" i="7"/>
  <c r="AS240" i="7"/>
  <c r="H239" i="7"/>
  <c r="AB237" i="7"/>
  <c r="AT235" i="7"/>
  <c r="K234" i="7"/>
  <c r="C233" i="7"/>
  <c r="AD231" i="7"/>
  <c r="J230" i="7"/>
  <c r="AZ228" i="7"/>
  <c r="AO227" i="7"/>
  <c r="AB226" i="7"/>
  <c r="Z225" i="7"/>
  <c r="Z224" i="7"/>
  <c r="W223" i="7"/>
  <c r="AE222" i="7"/>
  <c r="AE221" i="7"/>
  <c r="AI220" i="7"/>
  <c r="AQ219" i="7"/>
  <c r="C219" i="7"/>
  <c r="L218" i="7"/>
  <c r="Y217" i="7"/>
  <c r="AI216" i="7"/>
  <c r="AR215" i="7"/>
  <c r="L215" i="7"/>
  <c r="V214" i="7"/>
  <c r="AB213" i="7"/>
  <c r="AR212" i="7"/>
  <c r="M212" i="7"/>
  <c r="AD211" i="7"/>
  <c r="AZ210" i="7"/>
  <c r="T210" i="7"/>
  <c r="AL209" i="7"/>
  <c r="L209" i="7"/>
  <c r="AE208" i="7"/>
  <c r="AW207" i="7"/>
  <c r="X207" i="7"/>
  <c r="AT206" i="7"/>
  <c r="V206" i="7"/>
  <c r="AZ205" i="7"/>
  <c r="Z205" i="7"/>
  <c r="BA204" i="7"/>
  <c r="AC204" i="7"/>
  <c r="F204" i="7"/>
  <c r="AD203" i="7"/>
  <c r="I203" i="7"/>
  <c r="AK202" i="7"/>
  <c r="J202" i="7"/>
  <c r="AN201" i="7"/>
  <c r="Q201" i="7"/>
  <c r="AO200" i="7"/>
  <c r="T200" i="7"/>
  <c r="AV199" i="7"/>
  <c r="U199" i="7"/>
  <c r="AY198" i="7"/>
  <c r="Y198" i="7"/>
  <c r="C198" i="7"/>
  <c r="AI197" i="7"/>
  <c r="P197" i="7"/>
  <c r="AU196" i="7"/>
  <c r="AE196" i="7"/>
  <c r="L196" i="7"/>
  <c r="AQ195" i="7"/>
  <c r="Z195" i="7"/>
  <c r="G195" i="7"/>
  <c r="AL194" i="7"/>
  <c r="V194" i="7"/>
  <c r="C194" i="7"/>
  <c r="AH193" i="7"/>
  <c r="Q193" i="7"/>
  <c r="AW192" i="7"/>
  <c r="AC192" i="7"/>
  <c r="L192" i="7"/>
  <c r="AS191" i="7"/>
  <c r="Y191" i="7"/>
  <c r="H191" i="7"/>
  <c r="AN190" i="7"/>
  <c r="T190" i="7"/>
  <c r="E190" i="7"/>
  <c r="AM189" i="7"/>
  <c r="U189" i="7"/>
  <c r="F189" i="7"/>
  <c r="AN188" i="7"/>
  <c r="V188" i="7"/>
  <c r="G188" i="7"/>
  <c r="AO187" i="7"/>
  <c r="W187" i="7"/>
  <c r="H187" i="7"/>
  <c r="AP186" i="7"/>
  <c r="X186" i="7"/>
  <c r="I186" i="7"/>
  <c r="AQ185" i="7"/>
  <c r="AB185" i="7"/>
  <c r="P185" i="7"/>
  <c r="E185" i="7"/>
  <c r="AS184" i="7"/>
  <c r="AH184" i="7"/>
  <c r="X184" i="7"/>
  <c r="N184" i="7"/>
  <c r="D184" i="7"/>
  <c r="AS183" i="7"/>
  <c r="AI183" i="7"/>
  <c r="Y183" i="7"/>
  <c r="O183" i="7"/>
  <c r="E183" i="7"/>
  <c r="AT182" i="7"/>
  <c r="AJ182" i="7"/>
  <c r="Z182" i="7"/>
  <c r="P182" i="7"/>
  <c r="F182" i="7"/>
  <c r="AU181" i="7"/>
  <c r="AK181" i="7"/>
  <c r="AA181" i="7"/>
  <c r="Q181" i="7"/>
  <c r="G181" i="7"/>
  <c r="AV180" i="7"/>
  <c r="AL180" i="7"/>
  <c r="AB180" i="7"/>
  <c r="R180" i="7"/>
  <c r="H180" i="7"/>
  <c r="AW179" i="7"/>
  <c r="AM179" i="7"/>
  <c r="AC179" i="7"/>
  <c r="S179" i="7"/>
  <c r="I179" i="7"/>
  <c r="AX178" i="7"/>
  <c r="AN178" i="7"/>
  <c r="AD178" i="7"/>
  <c r="T178" i="7"/>
  <c r="J178" i="7"/>
  <c r="AY177" i="7"/>
  <c r="AO177" i="7"/>
  <c r="AE177" i="7"/>
  <c r="U177" i="7"/>
  <c r="K177" i="7"/>
  <c r="AZ176" i="7"/>
  <c r="AP176" i="7"/>
  <c r="AF176" i="7"/>
  <c r="V176" i="7"/>
  <c r="L176" i="7"/>
  <c r="BA175" i="7"/>
  <c r="AQ175" i="7"/>
  <c r="AG175" i="7"/>
  <c r="W175" i="7"/>
  <c r="M175" i="7"/>
  <c r="C175" i="7"/>
  <c r="AR174" i="7"/>
  <c r="AH174" i="7"/>
  <c r="X174" i="7"/>
  <c r="N174" i="7"/>
  <c r="D174" i="7"/>
  <c r="AS173" i="7"/>
  <c r="AI173" i="7"/>
  <c r="Y173" i="7"/>
  <c r="O173" i="7"/>
  <c r="E173" i="7"/>
  <c r="AT172" i="7"/>
  <c r="AJ172" i="7"/>
  <c r="Z172" i="7"/>
  <c r="P172" i="7"/>
  <c r="F172" i="7"/>
  <c r="AU171" i="7"/>
  <c r="AK171" i="7"/>
  <c r="AA171" i="7"/>
  <c r="Q171" i="7"/>
  <c r="G171" i="7"/>
  <c r="AV170" i="7"/>
  <c r="AL170" i="7"/>
  <c r="AB170" i="7"/>
  <c r="R170" i="7"/>
  <c r="H170" i="7"/>
  <c r="AW169" i="7"/>
  <c r="AM169" i="7"/>
  <c r="AC169" i="7"/>
  <c r="S169" i="7"/>
  <c r="I169" i="7"/>
  <c r="AX168" i="7"/>
  <c r="AN168" i="7"/>
  <c r="AD168" i="7"/>
  <c r="T168" i="7"/>
  <c r="J168" i="7"/>
  <c r="AY167" i="7"/>
  <c r="AO167" i="7"/>
  <c r="AE167" i="7"/>
  <c r="U167" i="7"/>
  <c r="K167" i="7"/>
  <c r="AZ166" i="7"/>
  <c r="AP166" i="7"/>
  <c r="AF166" i="7"/>
  <c r="V166" i="7"/>
  <c r="L166" i="7"/>
  <c r="BA165" i="7"/>
  <c r="AQ165" i="7"/>
  <c r="AG165" i="7"/>
  <c r="W165" i="7"/>
  <c r="M165" i="7"/>
  <c r="C165" i="7"/>
  <c r="AR164" i="7"/>
  <c r="AH164" i="7"/>
  <c r="X164" i="7"/>
  <c r="N164" i="7"/>
  <c r="D164" i="7"/>
  <c r="AS163" i="7"/>
  <c r="AI163" i="7"/>
  <c r="Y163" i="7"/>
  <c r="O163" i="7"/>
  <c r="E163" i="7"/>
  <c r="AT162" i="7"/>
  <c r="AJ162" i="7"/>
  <c r="Z162" i="7"/>
  <c r="P162" i="7"/>
  <c r="F162" i="7"/>
  <c r="AU161" i="7"/>
  <c r="AK161" i="7"/>
  <c r="AA161" i="7"/>
  <c r="Q161" i="7"/>
  <c r="G161" i="7"/>
  <c r="AV160" i="7"/>
  <c r="AL160" i="7"/>
  <c r="AB160" i="7"/>
  <c r="R160" i="7"/>
  <c r="H160" i="7"/>
  <c r="AW159" i="7"/>
  <c r="AM159" i="7"/>
  <c r="AC159" i="7"/>
  <c r="S159" i="7"/>
  <c r="I159" i="7"/>
  <c r="AX158" i="7"/>
  <c r="AN158" i="7"/>
  <c r="AD158" i="7"/>
  <c r="T158" i="7"/>
  <c r="J158" i="7"/>
  <c r="AY157" i="7"/>
  <c r="AO157" i="7"/>
  <c r="AE157" i="7"/>
  <c r="U157" i="7"/>
  <c r="K157" i="7"/>
  <c r="AZ156" i="7"/>
  <c r="AP156" i="7"/>
  <c r="AF156" i="7"/>
  <c r="V156" i="7"/>
  <c r="L156" i="7"/>
  <c r="BA155" i="7"/>
  <c r="AQ155" i="7"/>
  <c r="AG155" i="7"/>
  <c r="W155" i="7"/>
  <c r="M155" i="7"/>
  <c r="C155" i="7"/>
  <c r="AR154" i="7"/>
  <c r="AH154" i="7"/>
  <c r="X154" i="7"/>
  <c r="N154" i="7"/>
  <c r="D154" i="7"/>
  <c r="AS153" i="7"/>
  <c r="AI153" i="7"/>
  <c r="Y153" i="7"/>
  <c r="O153" i="7"/>
  <c r="E153" i="7"/>
  <c r="AT152" i="7"/>
  <c r="AJ152" i="7"/>
  <c r="Z152" i="7"/>
  <c r="P152" i="7"/>
  <c r="F152" i="7"/>
  <c r="AU151" i="7"/>
  <c r="AK151" i="7"/>
  <c r="AA151" i="7"/>
  <c r="V262" i="7"/>
  <c r="L258" i="7"/>
  <c r="AV254" i="7"/>
  <c r="I251" i="7"/>
  <c r="AZ247" i="7"/>
  <c r="C246" i="7"/>
  <c r="AZ243" i="7"/>
  <c r="F242" i="7"/>
  <c r="AC240" i="7"/>
  <c r="AQ238" i="7"/>
  <c r="H237" i="7"/>
  <c r="AP235" i="7"/>
  <c r="E234" i="7"/>
  <c r="AG232" i="7"/>
  <c r="AC231" i="7"/>
  <c r="I230" i="7"/>
  <c r="AO228" i="7"/>
  <c r="AK227" i="7"/>
  <c r="R226" i="7"/>
  <c r="K225" i="7"/>
  <c r="W224" i="7"/>
  <c r="V223" i="7"/>
  <c r="R222" i="7"/>
  <c r="AD221" i="7"/>
  <c r="AH220" i="7"/>
  <c r="AL219" i="7"/>
  <c r="AX218" i="7"/>
  <c r="H218" i="7"/>
  <c r="N217" i="7"/>
  <c r="AH216" i="7"/>
  <c r="AQ215" i="7"/>
  <c r="AZ214" i="7"/>
  <c r="R214" i="7"/>
  <c r="AA213" i="7"/>
  <c r="AL212" i="7"/>
  <c r="H212" i="7"/>
  <c r="Z211" i="7"/>
  <c r="AQ210" i="7"/>
  <c r="S210" i="7"/>
  <c r="AK209" i="7"/>
  <c r="C209" i="7"/>
  <c r="AD208" i="7"/>
  <c r="AV207" i="7"/>
  <c r="P207" i="7"/>
  <c r="AS206" i="7"/>
  <c r="U206" i="7"/>
  <c r="AS205" i="7"/>
  <c r="Y205" i="7"/>
  <c r="AW204" i="7"/>
  <c r="Y204" i="7"/>
  <c r="E204" i="7"/>
  <c r="AC203" i="7"/>
  <c r="E203" i="7"/>
  <c r="AJ202" i="7"/>
  <c r="I202" i="7"/>
  <c r="AJ201" i="7"/>
  <c r="P201" i="7"/>
  <c r="AN200" i="7"/>
  <c r="M200" i="7"/>
  <c r="AR199" i="7"/>
  <c r="T199" i="7"/>
  <c r="AR198" i="7"/>
  <c r="X198" i="7"/>
  <c r="BA197" i="7"/>
  <c r="AE197" i="7"/>
  <c r="O197" i="7"/>
  <c r="AT196" i="7"/>
  <c r="Z196" i="7"/>
  <c r="K196" i="7"/>
  <c r="AP195" i="7"/>
  <c r="V195" i="7"/>
  <c r="F195" i="7"/>
  <c r="AK194" i="7"/>
  <c r="Q194" i="7"/>
  <c r="BA193" i="7"/>
  <c r="AG193" i="7"/>
  <c r="M193" i="7"/>
  <c r="AV192" i="7"/>
  <c r="AB192" i="7"/>
  <c r="H192" i="7"/>
  <c r="AQ191" i="7"/>
  <c r="W191" i="7"/>
  <c r="C191" i="7"/>
  <c r="AM190" i="7"/>
  <c r="S190" i="7"/>
  <c r="AZ189" i="7"/>
  <c r="AL189" i="7"/>
  <c r="T189" i="7"/>
  <c r="BA188" i="7"/>
  <c r="AM188" i="7"/>
  <c r="U188" i="7"/>
  <c r="C188" i="7"/>
  <c r="AN187" i="7"/>
  <c r="V187" i="7"/>
  <c r="D187" i="7"/>
  <c r="AO186" i="7"/>
  <c r="W186" i="7"/>
  <c r="E186" i="7"/>
  <c r="AP185" i="7"/>
  <c r="AA185" i="7"/>
  <c r="O185" i="7"/>
  <c r="D185" i="7"/>
  <c r="AR184" i="7"/>
  <c r="AG184" i="7"/>
  <c r="W184" i="7"/>
  <c r="M184" i="7"/>
  <c r="C184" i="7"/>
  <c r="AR183" i="7"/>
  <c r="AH183" i="7"/>
  <c r="X183" i="7"/>
  <c r="N183" i="7"/>
  <c r="D183" i="7"/>
  <c r="AS182" i="7"/>
  <c r="AI182" i="7"/>
  <c r="Y182" i="7"/>
  <c r="O182" i="7"/>
  <c r="E182" i="7"/>
  <c r="AT181" i="7"/>
  <c r="AJ181" i="7"/>
  <c r="Z181" i="7"/>
  <c r="P181" i="7"/>
  <c r="F181" i="7"/>
  <c r="AU180" i="7"/>
  <c r="AK180" i="7"/>
  <c r="AA180" i="7"/>
  <c r="Q180" i="7"/>
  <c r="G180" i="7"/>
  <c r="AV179" i="7"/>
  <c r="AL179" i="7"/>
  <c r="AB179" i="7"/>
  <c r="R179" i="7"/>
  <c r="H179" i="7"/>
  <c r="AW178" i="7"/>
  <c r="AM178" i="7"/>
  <c r="AC178" i="7"/>
  <c r="S178" i="7"/>
  <c r="I178" i="7"/>
  <c r="AX177" i="7"/>
  <c r="AN177" i="7"/>
  <c r="AD177" i="7"/>
  <c r="T177" i="7"/>
  <c r="J177" i="7"/>
  <c r="AY176" i="7"/>
  <c r="AO176" i="7"/>
  <c r="AE176" i="7"/>
  <c r="U176" i="7"/>
  <c r="K176" i="7"/>
  <c r="AZ175" i="7"/>
  <c r="AP175" i="7"/>
  <c r="AF175" i="7"/>
  <c r="V175" i="7"/>
  <c r="L175" i="7"/>
  <c r="BA174" i="7"/>
  <c r="AQ174" i="7"/>
  <c r="AG174" i="7"/>
  <c r="W174" i="7"/>
  <c r="M174" i="7"/>
  <c r="C174" i="7"/>
  <c r="AR173" i="7"/>
  <c r="AH173" i="7"/>
  <c r="X173" i="7"/>
  <c r="N173" i="7"/>
  <c r="D173" i="7"/>
  <c r="AS172" i="7"/>
  <c r="AI172" i="7"/>
  <c r="Y172" i="7"/>
  <c r="O172" i="7"/>
  <c r="E172" i="7"/>
  <c r="AT171" i="7"/>
  <c r="AJ171" i="7"/>
  <c r="Z171" i="7"/>
  <c r="P171" i="7"/>
  <c r="F171" i="7"/>
  <c r="AU170" i="7"/>
  <c r="AK170" i="7"/>
  <c r="AA170" i="7"/>
  <c r="Q170" i="7"/>
  <c r="G170" i="7"/>
  <c r="AV169" i="7"/>
  <c r="AL169" i="7"/>
  <c r="AB169" i="7"/>
  <c r="R169" i="7"/>
  <c r="H169" i="7"/>
  <c r="AW168" i="7"/>
  <c r="AM168" i="7"/>
  <c r="AC168" i="7"/>
  <c r="S168" i="7"/>
  <c r="I168" i="7"/>
  <c r="AX167" i="7"/>
  <c r="AN167" i="7"/>
  <c r="AD167" i="7"/>
  <c r="T167" i="7"/>
  <c r="J167" i="7"/>
  <c r="AY166" i="7"/>
  <c r="P262" i="7"/>
  <c r="AV257" i="7"/>
  <c r="AR254" i="7"/>
  <c r="H251" i="7"/>
  <c r="AQ247" i="7"/>
  <c r="AH245" i="7"/>
  <c r="AT243" i="7"/>
  <c r="C242" i="7"/>
  <c r="V240" i="7"/>
  <c r="AM238" i="7"/>
  <c r="BA236" i="7"/>
  <c r="AH235" i="7"/>
  <c r="D234" i="7"/>
  <c r="AD232" i="7"/>
  <c r="O231" i="7"/>
  <c r="AY229" i="7"/>
  <c r="AJ228" i="7"/>
  <c r="AB227" i="7"/>
  <c r="Q226" i="7"/>
  <c r="J225" i="7"/>
  <c r="U224" i="7"/>
  <c r="R223" i="7"/>
  <c r="O222" i="7"/>
  <c r="T221" i="7"/>
  <c r="AF220" i="7"/>
  <c r="AG219" i="7"/>
  <c r="AV218" i="7"/>
  <c r="D218" i="7"/>
  <c r="M217" i="7"/>
  <c r="AF216" i="7"/>
  <c r="AP215" i="7"/>
  <c r="AV214" i="7"/>
  <c r="L214" i="7"/>
  <c r="Y213" i="7"/>
  <c r="AJ212" i="7"/>
  <c r="F212" i="7"/>
  <c r="Y211" i="7"/>
  <c r="AP210" i="7"/>
  <c r="Q210" i="7"/>
  <c r="AJ209" i="7"/>
  <c r="BA208" i="7"/>
  <c r="W208" i="7"/>
  <c r="AS207" i="7"/>
  <c r="O207" i="7"/>
  <c r="AQ206" i="7"/>
  <c r="Q206" i="7"/>
  <c r="AR205" i="7"/>
  <c r="W205" i="7"/>
  <c r="AV204" i="7"/>
  <c r="X204" i="7"/>
  <c r="C204" i="7"/>
  <c r="AB203" i="7"/>
  <c r="D203" i="7"/>
  <c r="AE202" i="7"/>
  <c r="H202" i="7"/>
  <c r="AF201" i="7"/>
  <c r="K201" i="7"/>
  <c r="AM200" i="7"/>
  <c r="L200" i="7"/>
  <c r="AP199" i="7"/>
  <c r="S199" i="7"/>
  <c r="AQ198" i="7"/>
  <c r="V198" i="7"/>
  <c r="AZ197" i="7"/>
  <c r="AD197" i="7"/>
  <c r="M197" i="7"/>
  <c r="AS196" i="7"/>
  <c r="Y196" i="7"/>
  <c r="H196" i="7"/>
  <c r="AO195" i="7"/>
  <c r="U195" i="7"/>
  <c r="D195" i="7"/>
  <c r="AJ194" i="7"/>
  <c r="P194" i="7"/>
  <c r="AX193" i="7"/>
  <c r="AE193" i="7"/>
  <c r="K193" i="7"/>
  <c r="AT192" i="7"/>
  <c r="AA192" i="7"/>
  <c r="G192" i="7"/>
  <c r="AO191" i="7"/>
  <c r="V191" i="7"/>
  <c r="BA190" i="7"/>
  <c r="AK190" i="7"/>
  <c r="R190" i="7"/>
  <c r="AY189" i="7"/>
  <c r="AJ189" i="7"/>
  <c r="S189" i="7"/>
  <c r="AZ188" i="7"/>
  <c r="AK188" i="7"/>
  <c r="T188" i="7"/>
  <c r="BA187" i="7"/>
  <c r="AL187" i="7"/>
  <c r="U187" i="7"/>
  <c r="C187" i="7"/>
  <c r="AM186" i="7"/>
  <c r="V186" i="7"/>
  <c r="D186" i="7"/>
  <c r="AN185" i="7"/>
  <c r="Z185" i="7"/>
  <c r="N185" i="7"/>
  <c r="C185" i="7"/>
  <c r="AQ184" i="7"/>
  <c r="AF184" i="7"/>
  <c r="V184" i="7"/>
  <c r="L184" i="7"/>
  <c r="BA183" i="7"/>
  <c r="AQ183" i="7"/>
  <c r="AG183" i="7"/>
  <c r="W183" i="7"/>
  <c r="M183" i="7"/>
  <c r="C183" i="7"/>
  <c r="AR182" i="7"/>
  <c r="AH182" i="7"/>
  <c r="X182" i="7"/>
  <c r="N182" i="7"/>
  <c r="D182" i="7"/>
  <c r="AS181" i="7"/>
  <c r="AI181" i="7"/>
  <c r="Y181" i="7"/>
  <c r="O181" i="7"/>
  <c r="E181" i="7"/>
  <c r="AT180" i="7"/>
  <c r="AJ180" i="7"/>
  <c r="Z180" i="7"/>
  <c r="P180" i="7"/>
  <c r="F180" i="7"/>
  <c r="AU179" i="7"/>
  <c r="AK179" i="7"/>
  <c r="AA179" i="7"/>
  <c r="Q179" i="7"/>
  <c r="G179" i="7"/>
  <c r="AV178" i="7"/>
  <c r="AL178" i="7"/>
  <c r="AB178" i="7"/>
  <c r="R178" i="7"/>
  <c r="H178" i="7"/>
  <c r="AW177" i="7"/>
  <c r="AM177" i="7"/>
  <c r="AC177" i="7"/>
  <c r="S177" i="7"/>
  <c r="I177" i="7"/>
  <c r="AX176" i="7"/>
  <c r="AN176" i="7"/>
  <c r="AD176" i="7"/>
  <c r="T176" i="7"/>
  <c r="J176" i="7"/>
  <c r="AY175" i="7"/>
  <c r="AO175" i="7"/>
  <c r="AE175" i="7"/>
  <c r="U175" i="7"/>
  <c r="K175" i="7"/>
  <c r="AZ174" i="7"/>
  <c r="AP174" i="7"/>
  <c r="AF174" i="7"/>
  <c r="V174" i="7"/>
  <c r="L174" i="7"/>
  <c r="BA173" i="7"/>
  <c r="AQ173" i="7"/>
  <c r="AG173" i="7"/>
  <c r="W173" i="7"/>
  <c r="M173" i="7"/>
  <c r="C173" i="7"/>
  <c r="AR172" i="7"/>
  <c r="AH172" i="7"/>
  <c r="X172" i="7"/>
  <c r="N172" i="7"/>
  <c r="D172" i="7"/>
  <c r="AS171" i="7"/>
  <c r="AI171" i="7"/>
  <c r="Y171" i="7"/>
  <c r="O171" i="7"/>
  <c r="E171" i="7"/>
  <c r="AT170" i="7"/>
  <c r="AJ170" i="7"/>
  <c r="Z170" i="7"/>
  <c r="P170" i="7"/>
  <c r="F170" i="7"/>
  <c r="AU169" i="7"/>
  <c r="AK169" i="7"/>
  <c r="AA169" i="7"/>
  <c r="Q169" i="7"/>
  <c r="G169" i="7"/>
  <c r="AV168" i="7"/>
  <c r="AL168" i="7"/>
  <c r="AB168" i="7"/>
  <c r="R168" i="7"/>
  <c r="H168" i="7"/>
  <c r="AW167" i="7"/>
  <c r="AM167" i="7"/>
  <c r="AC167" i="7"/>
  <c r="BA261" i="7"/>
  <c r="AU257" i="7"/>
  <c r="AT253" i="7"/>
  <c r="E251" i="7"/>
  <c r="AM247" i="7"/>
  <c r="AS263" i="7"/>
  <c r="AY259" i="7"/>
  <c r="AN255" i="7"/>
  <c r="AB252" i="7"/>
  <c r="AV248" i="7"/>
  <c r="P246" i="7"/>
  <c r="AK244" i="7"/>
  <c r="AR242" i="7"/>
  <c r="AV240" i="7"/>
  <c r="T239" i="7"/>
  <c r="AW237" i="7"/>
  <c r="C236" i="7"/>
  <c r="AJ234" i="7"/>
  <c r="N233" i="7"/>
  <c r="AH231" i="7"/>
  <c r="AD230" i="7"/>
  <c r="P229" i="7"/>
  <c r="AY227" i="7"/>
  <c r="AN226" i="7"/>
  <c r="AL225" i="7"/>
  <c r="AJ224" i="7"/>
  <c r="AM223" i="7"/>
  <c r="AM222" i="7"/>
  <c r="AJ221" i="7"/>
  <c r="AV220" i="7"/>
  <c r="C220" i="7"/>
  <c r="I219" i="7"/>
  <c r="U218" i="7"/>
  <c r="AH217" i="7"/>
  <c r="AQ216" i="7"/>
  <c r="E216" i="7"/>
  <c r="O215" i="7"/>
  <c r="X214" i="7"/>
  <c r="AQ213" i="7"/>
  <c r="AY212" i="7"/>
  <c r="P212" i="7"/>
  <c r="AK211" i="7"/>
  <c r="H211" i="7"/>
  <c r="Z210" i="7"/>
  <c r="AV209" i="7"/>
  <c r="P209" i="7"/>
  <c r="AG208" i="7"/>
  <c r="H208" i="7"/>
  <c r="AB207" i="7"/>
  <c r="AZ206" i="7"/>
  <c r="AA206" i="7"/>
  <c r="D206" i="7"/>
  <c r="AB205" i="7"/>
  <c r="G205" i="7"/>
  <c r="AI204" i="7"/>
  <c r="H204" i="7"/>
  <c r="AL203" i="7"/>
  <c r="O203" i="7"/>
  <c r="AM202" i="7"/>
  <c r="R202" i="7"/>
  <c r="AT201" i="7"/>
  <c r="S201" i="7"/>
  <c r="AW200" i="7"/>
  <c r="W200" i="7"/>
  <c r="AX199" i="7"/>
  <c r="AC199" i="7"/>
  <c r="C199" i="7"/>
  <c r="AD198" i="7"/>
  <c r="J198" i="7"/>
  <c r="AN197" i="7"/>
  <c r="S197" i="7"/>
  <c r="BA196" i="7"/>
  <c r="AH196" i="7"/>
  <c r="N196" i="7"/>
  <c r="AV195" i="7"/>
  <c r="AC195" i="7"/>
  <c r="I195" i="7"/>
  <c r="AR194" i="7"/>
  <c r="Y194" i="7"/>
  <c r="E194" i="7"/>
  <c r="AM193" i="7"/>
  <c r="T193" i="7"/>
  <c r="AY192" i="7"/>
  <c r="AI192" i="7"/>
  <c r="P192" i="7"/>
  <c r="AU191" i="7"/>
  <c r="AD191" i="7"/>
  <c r="K191" i="7"/>
  <c r="AP190" i="7"/>
  <c r="Z190" i="7"/>
  <c r="H190" i="7"/>
  <c r="AO189" i="7"/>
  <c r="Z189" i="7"/>
  <c r="I189" i="7"/>
  <c r="AP188" i="7"/>
  <c r="AA188" i="7"/>
  <c r="J188" i="7"/>
  <c r="AQ187" i="7"/>
  <c r="AB187" i="7"/>
  <c r="K187" i="7"/>
  <c r="AR186" i="7"/>
  <c r="AC186" i="7"/>
  <c r="L186" i="7"/>
  <c r="AS185" i="7"/>
  <c r="AF185" i="7"/>
  <c r="R185" i="7"/>
  <c r="G185" i="7"/>
  <c r="AU184" i="7"/>
  <c r="AJ184" i="7"/>
  <c r="Z184" i="7"/>
  <c r="P184" i="7"/>
  <c r="F184" i="7"/>
  <c r="AU183" i="7"/>
  <c r="AK183" i="7"/>
  <c r="AA183" i="7"/>
  <c r="Q183" i="7"/>
  <c r="G183" i="7"/>
  <c r="AV182" i="7"/>
  <c r="AL182" i="7"/>
  <c r="AB182" i="7"/>
  <c r="R182" i="7"/>
  <c r="H182" i="7"/>
  <c r="AW181" i="7"/>
  <c r="AM181" i="7"/>
  <c r="AC181" i="7"/>
  <c r="S181" i="7"/>
  <c r="I181" i="7"/>
  <c r="AX180" i="7"/>
  <c r="AN180" i="7"/>
  <c r="AD180" i="7"/>
  <c r="T180" i="7"/>
  <c r="J180" i="7"/>
  <c r="AY179" i="7"/>
  <c r="AO179" i="7"/>
  <c r="AE179" i="7"/>
  <c r="U179" i="7"/>
  <c r="K179" i="7"/>
  <c r="AZ178" i="7"/>
  <c r="AP178" i="7"/>
  <c r="AF178" i="7"/>
  <c r="V178" i="7"/>
  <c r="L178" i="7"/>
  <c r="BA177" i="7"/>
  <c r="AQ177" i="7"/>
  <c r="AG177" i="7"/>
  <c r="W177" i="7"/>
  <c r="M177" i="7"/>
  <c r="C177" i="7"/>
  <c r="AR176" i="7"/>
  <c r="AH176" i="7"/>
  <c r="X176" i="7"/>
  <c r="N176" i="7"/>
  <c r="D176" i="7"/>
  <c r="AS175" i="7"/>
  <c r="AI175" i="7"/>
  <c r="Y175" i="7"/>
  <c r="O175" i="7"/>
  <c r="E175" i="7"/>
  <c r="AT174" i="7"/>
  <c r="AJ174" i="7"/>
  <c r="Z174" i="7"/>
  <c r="P174" i="7"/>
  <c r="F174" i="7"/>
  <c r="AU173" i="7"/>
  <c r="AK173" i="7"/>
  <c r="AA173" i="7"/>
  <c r="Q173" i="7"/>
  <c r="G173" i="7"/>
  <c r="AV172" i="7"/>
  <c r="AL172" i="7"/>
  <c r="AB172" i="7"/>
  <c r="R172" i="7"/>
  <c r="H172" i="7"/>
  <c r="AW171" i="7"/>
  <c r="AM171" i="7"/>
  <c r="AL260" i="7"/>
  <c r="Z253" i="7"/>
  <c r="S247" i="7"/>
  <c r="Z243" i="7"/>
  <c r="AW240" i="7"/>
  <c r="G238" i="7"/>
  <c r="L235" i="7"/>
  <c r="O233" i="7"/>
  <c r="AO230" i="7"/>
  <c r="X228" i="7"/>
  <c r="D227" i="7"/>
  <c r="BA224" i="7"/>
  <c r="Q223" i="7"/>
  <c r="AM221" i="7"/>
  <c r="J220" i="7"/>
  <c r="AH218" i="7"/>
  <c r="AM217" i="7"/>
  <c r="P216" i="7"/>
  <c r="AU214" i="7"/>
  <c r="AS213" i="7"/>
  <c r="AB212" i="7"/>
  <c r="X211" i="7"/>
  <c r="AB210" i="7"/>
  <c r="W209" i="7"/>
  <c r="S208" i="7"/>
  <c r="AC207" i="7"/>
  <c r="AH206" i="7"/>
  <c r="AQ205" i="7"/>
  <c r="L205" i="7"/>
  <c r="R204" i="7"/>
  <c r="AA203" i="7"/>
  <c r="AN202" i="7"/>
  <c r="AW201" i="7"/>
  <c r="G201" i="7"/>
  <c r="AA200" i="7"/>
  <c r="AG199" i="7"/>
  <c r="AP198" i="7"/>
  <c r="L198" i="7"/>
  <c r="Z197" i="7"/>
  <c r="AR196" i="7"/>
  <c r="O196" i="7"/>
  <c r="AG195" i="7"/>
  <c r="AX194" i="7"/>
  <c r="Z194" i="7"/>
  <c r="AR193" i="7"/>
  <c r="J193" i="7"/>
  <c r="AK192" i="7"/>
  <c r="D192" i="7"/>
  <c r="U191" i="7"/>
  <c r="AQ190" i="7"/>
  <c r="K190" i="7"/>
  <c r="AF189" i="7"/>
  <c r="J189" i="7"/>
  <c r="AE188" i="7"/>
  <c r="AZ187" i="7"/>
  <c r="AD187" i="7"/>
  <c r="AY186" i="7"/>
  <c r="U186" i="7"/>
  <c r="AT185" i="7"/>
  <c r="W185" i="7"/>
  <c r="BA184" i="7"/>
  <c r="AK184" i="7"/>
  <c r="S184" i="7"/>
  <c r="AZ183" i="7"/>
  <c r="AL183" i="7"/>
  <c r="T183" i="7"/>
  <c r="BA182" i="7"/>
  <c r="AM182" i="7"/>
  <c r="U182" i="7"/>
  <c r="C182" i="7"/>
  <c r="AN181" i="7"/>
  <c r="V181" i="7"/>
  <c r="D181" i="7"/>
  <c r="AO180" i="7"/>
  <c r="W180" i="7"/>
  <c r="E180" i="7"/>
  <c r="AP179" i="7"/>
  <c r="X179" i="7"/>
  <c r="F179" i="7"/>
  <c r="AQ178" i="7"/>
  <c r="Y178" i="7"/>
  <c r="G178" i="7"/>
  <c r="AR177" i="7"/>
  <c r="Z177" i="7"/>
  <c r="H177" i="7"/>
  <c r="AS176" i="7"/>
  <c r="AA176" i="7"/>
  <c r="I176" i="7"/>
  <c r="AT175" i="7"/>
  <c r="AB175" i="7"/>
  <c r="J175" i="7"/>
  <c r="AU174" i="7"/>
  <c r="AC174" i="7"/>
  <c r="K174" i="7"/>
  <c r="AV173" i="7"/>
  <c r="AD173" i="7"/>
  <c r="L173" i="7"/>
  <c r="AW172" i="7"/>
  <c r="AE172" i="7"/>
  <c r="M172" i="7"/>
  <c r="AX171" i="7"/>
  <c r="AF171" i="7"/>
  <c r="S171" i="7"/>
  <c r="C171" i="7"/>
  <c r="AO170" i="7"/>
  <c r="Y170" i="7"/>
  <c r="L170" i="7"/>
  <c r="AX169" i="7"/>
  <c r="AH169" i="7"/>
  <c r="U169" i="7"/>
  <c r="E169" i="7"/>
  <c r="AQ168" i="7"/>
  <c r="AA168" i="7"/>
  <c r="N168" i="7"/>
  <c r="AZ167" i="7"/>
  <c r="AJ167" i="7"/>
  <c r="W167" i="7"/>
  <c r="I167" i="7"/>
  <c r="AV166" i="7"/>
  <c r="AK166" i="7"/>
  <c r="Z166" i="7"/>
  <c r="O166" i="7"/>
  <c r="D166" i="7"/>
  <c r="AR165" i="7"/>
  <c r="AF165" i="7"/>
  <c r="U165" i="7"/>
  <c r="J165" i="7"/>
  <c r="AX164" i="7"/>
  <c r="AM164" i="7"/>
  <c r="AB164" i="7"/>
  <c r="Q164" i="7"/>
  <c r="F164" i="7"/>
  <c r="AT163" i="7"/>
  <c r="AH163" i="7"/>
  <c r="W163" i="7"/>
  <c r="L163" i="7"/>
  <c r="AZ162" i="7"/>
  <c r="AO162" i="7"/>
  <c r="AD162" i="7"/>
  <c r="S162" i="7"/>
  <c r="H162" i="7"/>
  <c r="AV161" i="7"/>
  <c r="AJ161" i="7"/>
  <c r="Y161" i="7"/>
  <c r="N161" i="7"/>
  <c r="C161" i="7"/>
  <c r="AQ160" i="7"/>
  <c r="AF160" i="7"/>
  <c r="U160" i="7"/>
  <c r="J160" i="7"/>
  <c r="AX159" i="7"/>
  <c r="AL159" i="7"/>
  <c r="AA159" i="7"/>
  <c r="P159" i="7"/>
  <c r="E159" i="7"/>
  <c r="AS158" i="7"/>
  <c r="AH158" i="7"/>
  <c r="W158" i="7"/>
  <c r="L158" i="7"/>
  <c r="AZ157" i="7"/>
  <c r="AN157" i="7"/>
  <c r="AC157" i="7"/>
  <c r="R157" i="7"/>
  <c r="G157" i="7"/>
  <c r="AU156" i="7"/>
  <c r="AJ156" i="7"/>
  <c r="Y156" i="7"/>
  <c r="N156" i="7"/>
  <c r="C156" i="7"/>
  <c r="AP155" i="7"/>
  <c r="AE155" i="7"/>
  <c r="T155" i="7"/>
  <c r="I155" i="7"/>
  <c r="AW154" i="7"/>
  <c r="AL154" i="7"/>
  <c r="AA154" i="7"/>
  <c r="P154" i="7"/>
  <c r="E154" i="7"/>
  <c r="AR153" i="7"/>
  <c r="AG153" i="7"/>
  <c r="V153" i="7"/>
  <c r="K153" i="7"/>
  <c r="AY152" i="7"/>
  <c r="AN152" i="7"/>
  <c r="AC152" i="7"/>
  <c r="R152" i="7"/>
  <c r="G152" i="7"/>
  <c r="AT151" i="7"/>
  <c r="AI151" i="7"/>
  <c r="X151" i="7"/>
  <c r="N151" i="7"/>
  <c r="D151" i="7"/>
  <c r="AS150" i="7"/>
  <c r="AI150" i="7"/>
  <c r="Y150" i="7"/>
  <c r="O150" i="7"/>
  <c r="E150" i="7"/>
  <c r="AT149" i="7"/>
  <c r="AJ149" i="7"/>
  <c r="Z149" i="7"/>
  <c r="P149" i="7"/>
  <c r="F149" i="7"/>
  <c r="AU148" i="7"/>
  <c r="AK148" i="7"/>
  <c r="AA148" i="7"/>
  <c r="Q148" i="7"/>
  <c r="G148" i="7"/>
  <c r="AV147" i="7"/>
  <c r="AL147" i="7"/>
  <c r="AB147" i="7"/>
  <c r="R147" i="7"/>
  <c r="H147" i="7"/>
  <c r="AW146" i="7"/>
  <c r="AM146" i="7"/>
  <c r="AC146" i="7"/>
  <c r="S146" i="7"/>
  <c r="I146" i="7"/>
  <c r="AX145" i="7"/>
  <c r="AN145" i="7"/>
  <c r="AD145" i="7"/>
  <c r="T145" i="7"/>
  <c r="J145" i="7"/>
  <c r="AY144" i="7"/>
  <c r="AO144" i="7"/>
  <c r="AE144" i="7"/>
  <c r="U144" i="7"/>
  <c r="K144" i="7"/>
  <c r="AZ143" i="7"/>
  <c r="AP143" i="7"/>
  <c r="AF143" i="7"/>
  <c r="V143" i="7"/>
  <c r="L143" i="7"/>
  <c r="BA142" i="7"/>
  <c r="AQ142" i="7"/>
  <c r="AG142" i="7"/>
  <c r="W142" i="7"/>
  <c r="M142" i="7"/>
  <c r="C142" i="7"/>
  <c r="AR141" i="7"/>
  <c r="AH141" i="7"/>
  <c r="X141" i="7"/>
  <c r="N141" i="7"/>
  <c r="D141" i="7"/>
  <c r="AS140" i="7"/>
  <c r="AI140" i="7"/>
  <c r="Y140" i="7"/>
  <c r="O140" i="7"/>
  <c r="E140" i="7"/>
  <c r="AT139" i="7"/>
  <c r="AJ139" i="7"/>
  <c r="Z139" i="7"/>
  <c r="P139" i="7"/>
  <c r="F139" i="7"/>
  <c r="AU138" i="7"/>
  <c r="AK138" i="7"/>
  <c r="AA138" i="7"/>
  <c r="Q138" i="7"/>
  <c r="G138" i="7"/>
  <c r="AV137" i="7"/>
  <c r="AL137" i="7"/>
  <c r="AB137" i="7"/>
  <c r="R137" i="7"/>
  <c r="H137" i="7"/>
  <c r="AW136" i="7"/>
  <c r="AM136" i="7"/>
  <c r="AC136" i="7"/>
  <c r="S136" i="7"/>
  <c r="I136" i="7"/>
  <c r="AX135" i="7"/>
  <c r="AN135" i="7"/>
  <c r="AD135" i="7"/>
  <c r="T135" i="7"/>
  <c r="J135" i="7"/>
  <c r="AY134" i="7"/>
  <c r="AO134" i="7"/>
  <c r="AE134" i="7"/>
  <c r="U134" i="7"/>
  <c r="K134" i="7"/>
  <c r="AZ133" i="7"/>
  <c r="AP133" i="7"/>
  <c r="AF133" i="7"/>
  <c r="V133" i="7"/>
  <c r="L133" i="7"/>
  <c r="BA132" i="7"/>
  <c r="AQ132" i="7"/>
  <c r="AG132" i="7"/>
  <c r="W132" i="7"/>
  <c r="M132" i="7"/>
  <c r="C132" i="7"/>
  <c r="AR131" i="7"/>
  <c r="AH131" i="7"/>
  <c r="X131" i="7"/>
  <c r="N131" i="7"/>
  <c r="D131" i="7"/>
  <c r="AS130" i="7"/>
  <c r="AI130" i="7"/>
  <c r="Y130" i="7"/>
  <c r="O130" i="7"/>
  <c r="E130" i="7"/>
  <c r="AT129" i="7"/>
  <c r="AJ129" i="7"/>
  <c r="Z129" i="7"/>
  <c r="P129" i="7"/>
  <c r="F129" i="7"/>
  <c r="AU128" i="7"/>
  <c r="AK128" i="7"/>
  <c r="AA128" i="7"/>
  <c r="Q128" i="7"/>
  <c r="G128" i="7"/>
  <c r="AV127" i="7"/>
  <c r="AL127" i="7"/>
  <c r="AB127" i="7"/>
  <c r="R127" i="7"/>
  <c r="H127" i="7"/>
  <c r="AW126" i="7"/>
  <c r="AM126" i="7"/>
  <c r="AC126" i="7"/>
  <c r="S126" i="7"/>
  <c r="I126" i="7"/>
  <c r="AX125" i="7"/>
  <c r="AN125" i="7"/>
  <c r="AD125" i="7"/>
  <c r="T125" i="7"/>
  <c r="J125" i="7"/>
  <c r="AY124" i="7"/>
  <c r="AO124" i="7"/>
  <c r="AE124" i="7"/>
  <c r="U124" i="7"/>
  <c r="K124" i="7"/>
  <c r="AZ123" i="7"/>
  <c r="AP123" i="7"/>
  <c r="AF123" i="7"/>
  <c r="V123" i="7"/>
  <c r="L123" i="7"/>
  <c r="BA122" i="7"/>
  <c r="AQ122" i="7"/>
  <c r="AG122" i="7"/>
  <c r="W122" i="7"/>
  <c r="M122" i="7"/>
  <c r="C122" i="7"/>
  <c r="AR121" i="7"/>
  <c r="W260" i="7"/>
  <c r="Q253" i="7"/>
  <c r="C247" i="7"/>
  <c r="X243" i="7"/>
  <c r="AU240" i="7"/>
  <c r="AZ237" i="7"/>
  <c r="J235" i="7"/>
  <c r="E233" i="7"/>
  <c r="AH230" i="7"/>
  <c r="W228" i="7"/>
  <c r="AD226" i="7"/>
  <c r="AU224" i="7"/>
  <c r="D223" i="7"/>
  <c r="AF221" i="7"/>
  <c r="E220" i="7"/>
  <c r="AG218" i="7"/>
  <c r="AD217" i="7"/>
  <c r="N216" i="7"/>
  <c r="AS214" i="7"/>
  <c r="AC213" i="7"/>
  <c r="Z212" i="7"/>
  <c r="U211" i="7"/>
  <c r="U210" i="7"/>
  <c r="U209" i="7"/>
  <c r="Q208" i="7"/>
  <c r="Z207" i="7"/>
  <c r="AG206" i="7"/>
  <c r="AP205" i="7"/>
  <c r="C205" i="7"/>
  <c r="P204" i="7"/>
  <c r="Y203" i="7"/>
  <c r="AL202" i="7"/>
  <c r="AV201" i="7"/>
  <c r="F201" i="7"/>
  <c r="V200" i="7"/>
  <c r="AF199" i="7"/>
  <c r="AO198" i="7"/>
  <c r="D198" i="7"/>
  <c r="X197" i="7"/>
  <c r="AP196" i="7"/>
  <c r="M196" i="7"/>
  <c r="AF195" i="7"/>
  <c r="AW194" i="7"/>
  <c r="X194" i="7"/>
  <c r="AQ193" i="7"/>
  <c r="I193" i="7"/>
  <c r="AD192" i="7"/>
  <c r="AZ191" i="7"/>
  <c r="S191" i="7"/>
  <c r="AO190" i="7"/>
  <c r="J190" i="7"/>
  <c r="AE189" i="7"/>
  <c r="H189" i="7"/>
  <c r="AD188" i="7"/>
  <c r="AY187" i="7"/>
  <c r="X187" i="7"/>
  <c r="AW186" i="7"/>
  <c r="S186" i="7"/>
  <c r="AR185" i="7"/>
  <c r="V185" i="7"/>
  <c r="AZ184" i="7"/>
  <c r="AI184" i="7"/>
  <c r="R184" i="7"/>
  <c r="AY183" i="7"/>
  <c r="AJ183" i="7"/>
  <c r="S183" i="7"/>
  <c r="AZ182" i="7"/>
  <c r="AK182" i="7"/>
  <c r="T182" i="7"/>
  <c r="BA181" i="7"/>
  <c r="AL181" i="7"/>
  <c r="U181" i="7"/>
  <c r="C181" i="7"/>
  <c r="AM180" i="7"/>
  <c r="V180" i="7"/>
  <c r="D180" i="7"/>
  <c r="AN179" i="7"/>
  <c r="W179" i="7"/>
  <c r="E179" i="7"/>
  <c r="AO178" i="7"/>
  <c r="X178" i="7"/>
  <c r="F178" i="7"/>
  <c r="AP177" i="7"/>
  <c r="Y177" i="7"/>
  <c r="G177" i="7"/>
  <c r="AQ176" i="7"/>
  <c r="Z176" i="7"/>
  <c r="H176" i="7"/>
  <c r="AR175" i="7"/>
  <c r="AA175" i="7"/>
  <c r="I175" i="7"/>
  <c r="AS174" i="7"/>
  <c r="AB174" i="7"/>
  <c r="J174" i="7"/>
  <c r="AT173" i="7"/>
  <c r="AC173" i="7"/>
  <c r="K173" i="7"/>
  <c r="AU172" i="7"/>
  <c r="AD172" i="7"/>
  <c r="L172" i="7"/>
  <c r="AV171" i="7"/>
  <c r="AE171" i="7"/>
  <c r="R171" i="7"/>
  <c r="BA170" i="7"/>
  <c r="AN170" i="7"/>
  <c r="X170" i="7"/>
  <c r="K170" i="7"/>
  <c r="AT169" i="7"/>
  <c r="AG169" i="7"/>
  <c r="T169" i="7"/>
  <c r="D169" i="7"/>
  <c r="AP168" i="7"/>
  <c r="Z168" i="7"/>
  <c r="M168" i="7"/>
  <c r="AV167" i="7"/>
  <c r="AI167" i="7"/>
  <c r="V167" i="7"/>
  <c r="H167" i="7"/>
  <c r="AU166" i="7"/>
  <c r="AJ166" i="7"/>
  <c r="Y166" i="7"/>
  <c r="N166" i="7"/>
  <c r="C166" i="7"/>
  <c r="AP165" i="7"/>
  <c r="AE165" i="7"/>
  <c r="T165" i="7"/>
  <c r="I165" i="7"/>
  <c r="AW164" i="7"/>
  <c r="AL164" i="7"/>
  <c r="AA164" i="7"/>
  <c r="P164" i="7"/>
  <c r="E164" i="7"/>
  <c r="AR163" i="7"/>
  <c r="AG163" i="7"/>
  <c r="V163" i="7"/>
  <c r="K163" i="7"/>
  <c r="AY162" i="7"/>
  <c r="AN162" i="7"/>
  <c r="AC162" i="7"/>
  <c r="R162" i="7"/>
  <c r="G162" i="7"/>
  <c r="AT161" i="7"/>
  <c r="AI161" i="7"/>
  <c r="X161" i="7"/>
  <c r="M161" i="7"/>
  <c r="BA160" i="7"/>
  <c r="AP160" i="7"/>
  <c r="AE160" i="7"/>
  <c r="T160" i="7"/>
  <c r="I160" i="7"/>
  <c r="AV159" i="7"/>
  <c r="AK159" i="7"/>
  <c r="Z159" i="7"/>
  <c r="O159" i="7"/>
  <c r="D159" i="7"/>
  <c r="AR158" i="7"/>
  <c r="AG158" i="7"/>
  <c r="V158" i="7"/>
  <c r="K158" i="7"/>
  <c r="AX157" i="7"/>
  <c r="AM157" i="7"/>
  <c r="AB157" i="7"/>
  <c r="Q157" i="7"/>
  <c r="F157" i="7"/>
  <c r="AT156" i="7"/>
  <c r="AI156" i="7"/>
  <c r="X156" i="7"/>
  <c r="M156" i="7"/>
  <c r="AZ155" i="7"/>
  <c r="AO155" i="7"/>
  <c r="AD155" i="7"/>
  <c r="S155" i="7"/>
  <c r="H155" i="7"/>
  <c r="AV154" i="7"/>
  <c r="AK154" i="7"/>
  <c r="Z154" i="7"/>
  <c r="O154" i="7"/>
  <c r="C154" i="7"/>
  <c r="AQ153" i="7"/>
  <c r="AF153" i="7"/>
  <c r="U153" i="7"/>
  <c r="J153" i="7"/>
  <c r="AX152" i="7"/>
  <c r="AM152" i="7"/>
  <c r="AB152" i="7"/>
  <c r="Q152" i="7"/>
  <c r="E152" i="7"/>
  <c r="AS151" i="7"/>
  <c r="AH151" i="7"/>
  <c r="W151" i="7"/>
  <c r="M151" i="7"/>
  <c r="C151" i="7"/>
  <c r="AR150" i="7"/>
  <c r="AH150" i="7"/>
  <c r="X150" i="7"/>
  <c r="N150" i="7"/>
  <c r="D150" i="7"/>
  <c r="AS149" i="7"/>
  <c r="AI149" i="7"/>
  <c r="Y149" i="7"/>
  <c r="O149" i="7"/>
  <c r="E149" i="7"/>
  <c r="AT148" i="7"/>
  <c r="AJ148" i="7"/>
  <c r="Z148" i="7"/>
  <c r="P148" i="7"/>
  <c r="F148" i="7"/>
  <c r="AU147" i="7"/>
  <c r="AK147" i="7"/>
  <c r="AA147" i="7"/>
  <c r="Q147" i="7"/>
  <c r="G147" i="7"/>
  <c r="AV146" i="7"/>
  <c r="AL146" i="7"/>
  <c r="AB146" i="7"/>
  <c r="R146" i="7"/>
  <c r="H146" i="7"/>
  <c r="AW145" i="7"/>
  <c r="AM145" i="7"/>
  <c r="AC145" i="7"/>
  <c r="S145" i="7"/>
  <c r="I145" i="7"/>
  <c r="AX144" i="7"/>
  <c r="AN144" i="7"/>
  <c r="AD144" i="7"/>
  <c r="T144" i="7"/>
  <c r="J144" i="7"/>
  <c r="AY143" i="7"/>
  <c r="AO143" i="7"/>
  <c r="AE143" i="7"/>
  <c r="U143" i="7"/>
  <c r="K143" i="7"/>
  <c r="AZ142" i="7"/>
  <c r="AP142" i="7"/>
  <c r="AF142" i="7"/>
  <c r="V142" i="7"/>
  <c r="L142" i="7"/>
  <c r="BA141" i="7"/>
  <c r="AQ141" i="7"/>
  <c r="AG141" i="7"/>
  <c r="W141" i="7"/>
  <c r="M141" i="7"/>
  <c r="C141" i="7"/>
  <c r="AR140" i="7"/>
  <c r="AH140" i="7"/>
  <c r="X140" i="7"/>
  <c r="N140" i="7"/>
  <c r="D140" i="7"/>
  <c r="AS139" i="7"/>
  <c r="AI139" i="7"/>
  <c r="Y139" i="7"/>
  <c r="O139" i="7"/>
  <c r="E139" i="7"/>
  <c r="V260" i="7"/>
  <c r="AH252" i="7"/>
  <c r="Q246" i="7"/>
  <c r="AU242" i="7"/>
  <c r="AX239" i="7"/>
  <c r="AY237" i="7"/>
  <c r="D235" i="7"/>
  <c r="AC232" i="7"/>
  <c r="AF230" i="7"/>
  <c r="V228" i="7"/>
  <c r="P226" i="7"/>
  <c r="AL224" i="7"/>
  <c r="AY222" i="7"/>
  <c r="O221" i="7"/>
  <c r="D220" i="7"/>
  <c r="AF218" i="7"/>
  <c r="L217" i="7"/>
  <c r="J216" i="7"/>
  <c r="AL214" i="7"/>
  <c r="R213" i="7"/>
  <c r="Q212" i="7"/>
  <c r="L211" i="7"/>
  <c r="H210" i="7"/>
  <c r="Q209" i="7"/>
  <c r="L208" i="7"/>
  <c r="N207" i="7"/>
  <c r="AF206" i="7"/>
  <c r="AL205" i="7"/>
  <c r="AU204" i="7"/>
  <c r="I204" i="7"/>
  <c r="R203" i="7"/>
  <c r="AA202" i="7"/>
  <c r="AU201" i="7"/>
  <c r="BA200" i="7"/>
  <c r="K200" i="7"/>
  <c r="AE199" i="7"/>
  <c r="AN198" i="7"/>
  <c r="AY197" i="7"/>
  <c r="T197" i="7"/>
  <c r="AK196" i="7"/>
  <c r="D196" i="7"/>
  <c r="AE195" i="7"/>
  <c r="AV194" i="7"/>
  <c r="O194" i="7"/>
  <c r="AO193" i="7"/>
  <c r="H193" i="7"/>
  <c r="Z192" i="7"/>
  <c r="AV191" i="7"/>
  <c r="O191" i="7"/>
  <c r="AF190" i="7"/>
  <c r="I190" i="7"/>
  <c r="AD189" i="7"/>
  <c r="AY188" i="7"/>
  <c r="AC188" i="7"/>
  <c r="AX187" i="7"/>
  <c r="T187" i="7"/>
  <c r="AS186" i="7"/>
  <c r="O186" i="7"/>
  <c r="AL185" i="7"/>
  <c r="T185" i="7"/>
  <c r="AY184" i="7"/>
  <c r="AE184" i="7"/>
  <c r="Q184" i="7"/>
  <c r="AX183" i="7"/>
  <c r="AF183" i="7"/>
  <c r="R183" i="7"/>
  <c r="AY182" i="7"/>
  <c r="AG182" i="7"/>
  <c r="S182" i="7"/>
  <c r="AZ181" i="7"/>
  <c r="AH181" i="7"/>
  <c r="T181" i="7"/>
  <c r="BA180" i="7"/>
  <c r="AI180" i="7"/>
  <c r="U180" i="7"/>
  <c r="C180" i="7"/>
  <c r="AJ179" i="7"/>
  <c r="V179" i="7"/>
  <c r="D179" i="7"/>
  <c r="AK178" i="7"/>
  <c r="W178" i="7"/>
  <c r="E178" i="7"/>
  <c r="AL177" i="7"/>
  <c r="X177" i="7"/>
  <c r="F177" i="7"/>
  <c r="AM176" i="7"/>
  <c r="Y176" i="7"/>
  <c r="G176" i="7"/>
  <c r="AN175" i="7"/>
  <c r="Z175" i="7"/>
  <c r="H175" i="7"/>
  <c r="AO174" i="7"/>
  <c r="AA174" i="7"/>
  <c r="I174" i="7"/>
  <c r="AP173" i="7"/>
  <c r="AB173" i="7"/>
  <c r="J173" i="7"/>
  <c r="AQ172" i="7"/>
  <c r="AC172" i="7"/>
  <c r="K172" i="7"/>
  <c r="AR171" i="7"/>
  <c r="AD171" i="7"/>
  <c r="N171" i="7"/>
  <c r="AZ170" i="7"/>
  <c r="AM170" i="7"/>
  <c r="W170" i="7"/>
  <c r="J170" i="7"/>
  <c r="AS169" i="7"/>
  <c r="AF169" i="7"/>
  <c r="P169" i="7"/>
  <c r="C169" i="7"/>
  <c r="AO168" i="7"/>
  <c r="Y168" i="7"/>
  <c r="L168" i="7"/>
  <c r="AU167" i="7"/>
  <c r="AH167" i="7"/>
  <c r="S167" i="7"/>
  <c r="G167" i="7"/>
  <c r="AT166" i="7"/>
  <c r="AI166" i="7"/>
  <c r="X166" i="7"/>
  <c r="M166" i="7"/>
  <c r="AZ165" i="7"/>
  <c r="AO165" i="7"/>
  <c r="AD165" i="7"/>
  <c r="S165" i="7"/>
  <c r="H165" i="7"/>
  <c r="AV164" i="7"/>
  <c r="AK164" i="7"/>
  <c r="Z164" i="7"/>
  <c r="O164" i="7"/>
  <c r="C164" i="7"/>
  <c r="AQ163" i="7"/>
  <c r="AF163" i="7"/>
  <c r="U163" i="7"/>
  <c r="J163" i="7"/>
  <c r="AX162" i="7"/>
  <c r="AM162" i="7"/>
  <c r="AB162" i="7"/>
  <c r="Q162" i="7"/>
  <c r="E162" i="7"/>
  <c r="AS161" i="7"/>
  <c r="AH161" i="7"/>
  <c r="W161" i="7"/>
  <c r="L161" i="7"/>
  <c r="AZ160" i="7"/>
  <c r="AO160" i="7"/>
  <c r="AD160" i="7"/>
  <c r="S160" i="7"/>
  <c r="G160" i="7"/>
  <c r="AU159" i="7"/>
  <c r="AJ159" i="7"/>
  <c r="Y159" i="7"/>
  <c r="N159" i="7"/>
  <c r="C159" i="7"/>
  <c r="AQ158" i="7"/>
  <c r="AF158" i="7"/>
  <c r="U158" i="7"/>
  <c r="I158" i="7"/>
  <c r="AW157" i="7"/>
  <c r="AL157" i="7"/>
  <c r="AA157" i="7"/>
  <c r="P157" i="7"/>
  <c r="E157" i="7"/>
  <c r="AS156" i="7"/>
  <c r="AH156" i="7"/>
  <c r="W156" i="7"/>
  <c r="K156" i="7"/>
  <c r="AY155" i="7"/>
  <c r="AN155" i="7"/>
  <c r="AC155" i="7"/>
  <c r="R155" i="7"/>
  <c r="G155" i="7"/>
  <c r="AU154" i="7"/>
  <c r="AJ154" i="7"/>
  <c r="Y154" i="7"/>
  <c r="M154" i="7"/>
  <c r="BA153" i="7"/>
  <c r="AP153" i="7"/>
  <c r="AE153" i="7"/>
  <c r="T153" i="7"/>
  <c r="I153" i="7"/>
  <c r="AW152" i="7"/>
  <c r="AL152" i="7"/>
  <c r="AA152" i="7"/>
  <c r="O152" i="7"/>
  <c r="D152" i="7"/>
  <c r="AR151" i="7"/>
  <c r="AG151" i="7"/>
  <c r="V151" i="7"/>
  <c r="L151" i="7"/>
  <c r="BA150" i="7"/>
  <c r="AQ150" i="7"/>
  <c r="AG150" i="7"/>
  <c r="W150" i="7"/>
  <c r="M150" i="7"/>
  <c r="C150" i="7"/>
  <c r="AR149" i="7"/>
  <c r="AH149" i="7"/>
  <c r="X149" i="7"/>
  <c r="N149" i="7"/>
  <c r="D149" i="7"/>
  <c r="AS148" i="7"/>
  <c r="AI148" i="7"/>
  <c r="Y148" i="7"/>
  <c r="O148" i="7"/>
  <c r="E148" i="7"/>
  <c r="AT147" i="7"/>
  <c r="AJ147" i="7"/>
  <c r="Z147" i="7"/>
  <c r="P147" i="7"/>
  <c r="F147" i="7"/>
  <c r="AU146" i="7"/>
  <c r="AK146" i="7"/>
  <c r="AA146" i="7"/>
  <c r="Q146" i="7"/>
  <c r="G146" i="7"/>
  <c r="AV145" i="7"/>
  <c r="AL145" i="7"/>
  <c r="AB145" i="7"/>
  <c r="R145" i="7"/>
  <c r="H145" i="7"/>
  <c r="AW144" i="7"/>
  <c r="AM144" i="7"/>
  <c r="AC144" i="7"/>
  <c r="S144" i="7"/>
  <c r="I144" i="7"/>
  <c r="AX143" i="7"/>
  <c r="AN143" i="7"/>
  <c r="AD143" i="7"/>
  <c r="T143" i="7"/>
  <c r="J143" i="7"/>
  <c r="AY142" i="7"/>
  <c r="AO142" i="7"/>
  <c r="AE142" i="7"/>
  <c r="U142" i="7"/>
  <c r="K142" i="7"/>
  <c r="AZ141" i="7"/>
  <c r="AP141" i="7"/>
  <c r="AF141" i="7"/>
  <c r="V141" i="7"/>
  <c r="L141" i="7"/>
  <c r="BA140" i="7"/>
  <c r="AQ140" i="7"/>
  <c r="AG140" i="7"/>
  <c r="W140" i="7"/>
  <c r="M140" i="7"/>
  <c r="C140" i="7"/>
  <c r="AR139" i="7"/>
  <c r="AH139" i="7"/>
  <c r="X139" i="7"/>
  <c r="N139" i="7"/>
  <c r="D139" i="7"/>
  <c r="AS138" i="7"/>
  <c r="AI138" i="7"/>
  <c r="Y138" i="7"/>
  <c r="O138" i="7"/>
  <c r="E138" i="7"/>
  <c r="AT137" i="7"/>
  <c r="AJ137" i="7"/>
  <c r="Z137" i="7"/>
  <c r="Y259" i="7"/>
  <c r="AF251" i="7"/>
  <c r="N246" i="7"/>
  <c r="AT242" i="7"/>
  <c r="AW239" i="7"/>
  <c r="AH237" i="7"/>
  <c r="BA234" i="7"/>
  <c r="S232" i="7"/>
  <c r="K230" i="7"/>
  <c r="T228" i="7"/>
  <c r="N226" i="7"/>
  <c r="AA224" i="7"/>
  <c r="AW222" i="7"/>
  <c r="J221" i="7"/>
  <c r="BA219" i="7"/>
  <c r="AE218" i="7"/>
  <c r="K217" i="7"/>
  <c r="AS215" i="7"/>
  <c r="AJ214" i="7"/>
  <c r="P213" i="7"/>
  <c r="O212" i="7"/>
  <c r="K211" i="7"/>
  <c r="G210" i="7"/>
  <c r="N209" i="7"/>
  <c r="K208" i="7"/>
  <c r="M207" i="7"/>
  <c r="W206" i="7"/>
  <c r="AJ205" i="7"/>
  <c r="AS204" i="7"/>
  <c r="G204" i="7"/>
  <c r="Q203" i="7"/>
  <c r="Z202" i="7"/>
  <c r="AP201" i="7"/>
  <c r="AZ200" i="7"/>
  <c r="J200" i="7"/>
  <c r="V199" i="7"/>
  <c r="AI198" i="7"/>
  <c r="AW197" i="7"/>
  <c r="Q197" i="7"/>
  <c r="AJ196" i="7"/>
  <c r="C196" i="7"/>
  <c r="AB195" i="7"/>
  <c r="AU194" i="7"/>
  <c r="W257" i="7"/>
  <c r="O250" i="7"/>
  <c r="T245" i="7"/>
  <c r="AS242" i="7"/>
  <c r="AV239" i="7"/>
  <c r="AW236" i="7"/>
  <c r="AL234" i="7"/>
  <c r="O232" i="7"/>
  <c r="AU229" i="7"/>
  <c r="AZ227" i="7"/>
  <c r="AV225" i="7"/>
  <c r="C224" i="7"/>
  <c r="AN222" i="7"/>
  <c r="E221" i="7"/>
  <c r="AB219" i="7"/>
  <c r="AD218" i="7"/>
  <c r="J217" i="7"/>
  <c r="AO215" i="7"/>
  <c r="Y214" i="7"/>
  <c r="E213" i="7"/>
  <c r="AV211" i="7"/>
  <c r="J211" i="7"/>
  <c r="F210" i="7"/>
  <c r="AZ208" i="7"/>
  <c r="J208" i="7"/>
  <c r="L207" i="7"/>
  <c r="P206" i="7"/>
  <c r="AF205" i="7"/>
  <c r="AL204" i="7"/>
  <c r="AU203" i="7"/>
  <c r="P203" i="7"/>
  <c r="Y202" i="7"/>
  <c r="AE201" i="7"/>
  <c r="AY200" i="7"/>
  <c r="I200" i="7"/>
  <c r="R199" i="7"/>
  <c r="AE198" i="7"/>
  <c r="AQ197" i="7"/>
  <c r="I197" i="7"/>
  <c r="AI196" i="7"/>
  <c r="BA195" i="7"/>
  <c r="S195" i="7"/>
  <c r="AT194" i="7"/>
  <c r="O263" i="7"/>
  <c r="O255" i="7"/>
  <c r="AU248" i="7"/>
  <c r="AQ244" i="7"/>
  <c r="AH241" i="7"/>
  <c r="AL238" i="7"/>
  <c r="N236" i="7"/>
  <c r="AC233" i="7"/>
  <c r="AZ230" i="7"/>
  <c r="Q229" i="7"/>
  <c r="G227" i="7"/>
  <c r="I225" i="7"/>
  <c r="AO223" i="7"/>
  <c r="C222" i="7"/>
  <c r="X220" i="7"/>
  <c r="J219" i="7"/>
  <c r="AO217" i="7"/>
  <c r="U216" i="7"/>
  <c r="P215" i="7"/>
  <c r="AU213" i="7"/>
  <c r="AD212" i="7"/>
  <c r="AR211" i="7"/>
  <c r="AM210" i="7"/>
  <c r="AH209" i="7"/>
  <c r="AH208" i="7"/>
  <c r="AH207" i="7"/>
  <c r="AJ206" i="7"/>
  <c r="E206" i="7"/>
  <c r="N205" i="7"/>
  <c r="W204" i="7"/>
  <c r="AN203" i="7"/>
  <c r="AW202" i="7"/>
  <c r="G202" i="7"/>
  <c r="T201" i="7"/>
  <c r="AC200" i="7"/>
  <c r="AL199" i="7"/>
  <c r="D199" i="7"/>
  <c r="N198" i="7"/>
  <c r="AC197" i="7"/>
  <c r="D197" i="7"/>
  <c r="V196" i="7"/>
  <c r="AM195" i="7"/>
  <c r="K195" i="7"/>
  <c r="AB194" i="7"/>
  <c r="AT193" i="7"/>
  <c r="U193" i="7"/>
  <c r="AM192" i="7"/>
  <c r="F192" i="7"/>
  <c r="AF191" i="7"/>
  <c r="AX190" i="7"/>
  <c r="Q190" i="7"/>
  <c r="AP189" i="7"/>
  <c r="L189" i="7"/>
  <c r="AG188" i="7"/>
  <c r="K188" i="7"/>
  <c r="AF187" i="7"/>
  <c r="BA186" i="7"/>
  <c r="AE186" i="7"/>
  <c r="AZ185" i="7"/>
  <c r="Y185" i="7"/>
  <c r="H185" i="7"/>
  <c r="AM184" i="7"/>
  <c r="U184" i="7"/>
  <c r="G184" i="7"/>
  <c r="AN183" i="7"/>
  <c r="V183" i="7"/>
  <c r="H183" i="7"/>
  <c r="AO182" i="7"/>
  <c r="W182" i="7"/>
  <c r="I182" i="7"/>
  <c r="AP181" i="7"/>
  <c r="X181" i="7"/>
  <c r="J181" i="7"/>
  <c r="AQ180" i="7"/>
  <c r="Y180" i="7"/>
  <c r="K180" i="7"/>
  <c r="AR179" i="7"/>
  <c r="Z179" i="7"/>
  <c r="L179" i="7"/>
  <c r="AS178" i="7"/>
  <c r="AA178" i="7"/>
  <c r="M178" i="7"/>
  <c r="AT177" i="7"/>
  <c r="AB177" i="7"/>
  <c r="N177" i="7"/>
  <c r="AU176" i="7"/>
  <c r="AC176" i="7"/>
  <c r="O176" i="7"/>
  <c r="AV175" i="7"/>
  <c r="AD175" i="7"/>
  <c r="P175" i="7"/>
  <c r="AW174" i="7"/>
  <c r="AE174" i="7"/>
  <c r="Q174" i="7"/>
  <c r="AX173" i="7"/>
  <c r="AF173" i="7"/>
  <c r="R173" i="7"/>
  <c r="AY172" i="7"/>
  <c r="AG172" i="7"/>
  <c r="S172" i="7"/>
  <c r="AZ171" i="7"/>
  <c r="AH171" i="7"/>
  <c r="U171" i="7"/>
  <c r="H171" i="7"/>
  <c r="AQ170" i="7"/>
  <c r="AD170" i="7"/>
  <c r="N170" i="7"/>
  <c r="AZ169" i="7"/>
  <c r="AJ169" i="7"/>
  <c r="W169" i="7"/>
  <c r="J169" i="7"/>
  <c r="AS168" i="7"/>
  <c r="AF168" i="7"/>
  <c r="P168" i="7"/>
  <c r="C168" i="7"/>
  <c r="AL167" i="7"/>
  <c r="Y167" i="7"/>
  <c r="M167" i="7"/>
  <c r="AX166" i="7"/>
  <c r="AM166" i="7"/>
  <c r="AB166" i="7"/>
  <c r="Q166" i="7"/>
  <c r="F166" i="7"/>
  <c r="AT165" i="7"/>
  <c r="AI165" i="7"/>
  <c r="X165" i="7"/>
  <c r="L165" i="7"/>
  <c r="AZ164" i="7"/>
  <c r="AO164" i="7"/>
  <c r="AD164" i="7"/>
  <c r="S164" i="7"/>
  <c r="H164" i="7"/>
  <c r="AV163" i="7"/>
  <c r="AK163" i="7"/>
  <c r="Z163" i="7"/>
  <c r="N163" i="7"/>
  <c r="C163" i="7"/>
  <c r="AQ162" i="7"/>
  <c r="AF162" i="7"/>
  <c r="U162" i="7"/>
  <c r="J162" i="7"/>
  <c r="AX161" i="7"/>
  <c r="AM161" i="7"/>
  <c r="AB161" i="7"/>
  <c r="P161" i="7"/>
  <c r="E161" i="7"/>
  <c r="AS160" i="7"/>
  <c r="AH160" i="7"/>
  <c r="W160" i="7"/>
  <c r="L160" i="7"/>
  <c r="AZ159" i="7"/>
  <c r="AO159" i="7"/>
  <c r="AD159" i="7"/>
  <c r="R159" i="7"/>
  <c r="G159" i="7"/>
  <c r="AU158" i="7"/>
  <c r="AJ158" i="7"/>
  <c r="Y158" i="7"/>
  <c r="N158" i="7"/>
  <c r="C158" i="7"/>
  <c r="AQ157" i="7"/>
  <c r="AF157" i="7"/>
  <c r="T157" i="7"/>
  <c r="I157" i="7"/>
  <c r="AW156" i="7"/>
  <c r="AL156" i="7"/>
  <c r="AA156" i="7"/>
  <c r="P156" i="7"/>
  <c r="E156" i="7"/>
  <c r="AS155" i="7"/>
  <c r="AH155" i="7"/>
  <c r="V155" i="7"/>
  <c r="K155" i="7"/>
  <c r="AY154" i="7"/>
  <c r="AN154" i="7"/>
  <c r="AC154" i="7"/>
  <c r="R154" i="7"/>
  <c r="G154" i="7"/>
  <c r="AU153" i="7"/>
  <c r="AJ153" i="7"/>
  <c r="X153" i="7"/>
  <c r="M153" i="7"/>
  <c r="BA152" i="7"/>
  <c r="AP152" i="7"/>
  <c r="AE152" i="7"/>
  <c r="T152" i="7"/>
  <c r="I152" i="7"/>
  <c r="AW151" i="7"/>
  <c r="AL151" i="7"/>
  <c r="Z151" i="7"/>
  <c r="P151" i="7"/>
  <c r="F151" i="7"/>
  <c r="AU150" i="7"/>
  <c r="AK150" i="7"/>
  <c r="AA150" i="7"/>
  <c r="Q150" i="7"/>
  <c r="G150" i="7"/>
  <c r="AV149" i="7"/>
  <c r="AL149" i="7"/>
  <c r="AB149" i="7"/>
  <c r="R149" i="7"/>
  <c r="H149" i="7"/>
  <c r="AW148" i="7"/>
  <c r="AM148" i="7"/>
  <c r="AC148" i="7"/>
  <c r="S148" i="7"/>
  <c r="I148" i="7"/>
  <c r="AX147" i="7"/>
  <c r="AN147" i="7"/>
  <c r="AD147" i="7"/>
  <c r="T147" i="7"/>
  <c r="J147" i="7"/>
  <c r="AY146" i="7"/>
  <c r="AO146" i="7"/>
  <c r="AE146" i="7"/>
  <c r="U146" i="7"/>
  <c r="K146" i="7"/>
  <c r="AZ145" i="7"/>
  <c r="AP145" i="7"/>
  <c r="AF145" i="7"/>
  <c r="V145" i="7"/>
  <c r="L145" i="7"/>
  <c r="BA144" i="7"/>
  <c r="AQ144" i="7"/>
  <c r="AG144" i="7"/>
  <c r="W144" i="7"/>
  <c r="M144" i="7"/>
  <c r="C144" i="7"/>
  <c r="AR143" i="7"/>
  <c r="AH143" i="7"/>
  <c r="X143" i="7"/>
  <c r="N143" i="7"/>
  <c r="D143" i="7"/>
  <c r="AS142" i="7"/>
  <c r="AI142" i="7"/>
  <c r="Y142" i="7"/>
  <c r="O142" i="7"/>
  <c r="E142" i="7"/>
  <c r="AT141" i="7"/>
  <c r="AJ141" i="7"/>
  <c r="Z141" i="7"/>
  <c r="P141" i="7"/>
  <c r="F141" i="7"/>
  <c r="AU140" i="7"/>
  <c r="AK140" i="7"/>
  <c r="AA140" i="7"/>
  <c r="Q140" i="7"/>
  <c r="G140" i="7"/>
  <c r="AV139" i="7"/>
  <c r="AL139" i="7"/>
  <c r="AB139" i="7"/>
  <c r="R139" i="7"/>
  <c r="H139" i="7"/>
  <c r="AW138" i="7"/>
  <c r="AM138" i="7"/>
  <c r="AC138" i="7"/>
  <c r="S138" i="7"/>
  <c r="I138" i="7"/>
  <c r="AX137" i="7"/>
  <c r="AN137" i="7"/>
  <c r="AD137" i="7"/>
  <c r="T137" i="7"/>
  <c r="J137" i="7"/>
  <c r="AY136" i="7"/>
  <c r="AO136" i="7"/>
  <c r="AE136" i="7"/>
  <c r="U136" i="7"/>
  <c r="K136" i="7"/>
  <c r="AJ256" i="7"/>
  <c r="M244" i="7"/>
  <c r="AO236" i="7"/>
  <c r="AU230" i="7"/>
  <c r="AN225" i="7"/>
  <c r="AZ221" i="7"/>
  <c r="C218" i="7"/>
  <c r="N215" i="7"/>
  <c r="AT211" i="7"/>
  <c r="AB209" i="7"/>
  <c r="BA206" i="7"/>
  <c r="M205" i="7"/>
  <c r="AY202" i="7"/>
  <c r="R201" i="7"/>
  <c r="I199" i="7"/>
  <c r="AA197" i="7"/>
  <c r="AY195" i="7"/>
  <c r="AA194" i="7"/>
  <c r="X193" i="7"/>
  <c r="S192" i="7"/>
  <c r="Z191" i="7"/>
  <c r="AB190" i="7"/>
  <c r="AB189" i="7"/>
  <c r="AF188" i="7"/>
  <c r="AH187" i="7"/>
  <c r="AI186" i="7"/>
  <c r="AX185" i="7"/>
  <c r="K185" i="7"/>
  <c r="AC184" i="7"/>
  <c r="E184" i="7"/>
  <c r="AB183" i="7"/>
  <c r="AW182" i="7"/>
  <c r="V182" i="7"/>
  <c r="AR181" i="7"/>
  <c r="N181" i="7"/>
  <c r="AP180" i="7"/>
  <c r="M180" i="7"/>
  <c r="AH179" i="7"/>
  <c r="J179" i="7"/>
  <c r="AG178" i="7"/>
  <c r="C178" i="7"/>
  <c r="AA177" i="7"/>
  <c r="AW176" i="7"/>
  <c r="S176" i="7"/>
  <c r="AU175" i="7"/>
  <c r="R175" i="7"/>
  <c r="AM174" i="7"/>
  <c r="O174" i="7"/>
  <c r="AL173" i="7"/>
  <c r="H173" i="7"/>
  <c r="AF172" i="7"/>
  <c r="C172" i="7"/>
  <c r="AB171" i="7"/>
  <c r="D171" i="7"/>
  <c r="AF170" i="7"/>
  <c r="E170" i="7"/>
  <c r="AI169" i="7"/>
  <c r="L169" i="7"/>
  <c r="AJ168" i="7"/>
  <c r="O168" i="7"/>
  <c r="AQ167" i="7"/>
  <c r="Q167" i="7"/>
  <c r="AW166" i="7"/>
  <c r="AD166" i="7"/>
  <c r="J166" i="7"/>
  <c r="AS165" i="7"/>
  <c r="Z165" i="7"/>
  <c r="F165" i="7"/>
  <c r="AN164" i="7"/>
  <c r="U164" i="7"/>
  <c r="AZ163" i="7"/>
  <c r="AJ163" i="7"/>
  <c r="Q163" i="7"/>
  <c r="AV162" i="7"/>
  <c r="AE162" i="7"/>
  <c r="L162" i="7"/>
  <c r="AQ161" i="7"/>
  <c r="Z161" i="7"/>
  <c r="H161" i="7"/>
  <c r="AM160" i="7"/>
  <c r="V160" i="7"/>
  <c r="C160" i="7"/>
  <c r="AH159" i="7"/>
  <c r="Q159" i="7"/>
  <c r="AW158" i="7"/>
  <c r="AC158" i="7"/>
  <c r="M158" i="7"/>
  <c r="AS157" i="7"/>
  <c r="Y157" i="7"/>
  <c r="H157" i="7"/>
  <c r="AN156" i="7"/>
  <c r="T156" i="7"/>
  <c r="D156" i="7"/>
  <c r="AJ155" i="7"/>
  <c r="P155" i="7"/>
  <c r="AX154" i="7"/>
  <c r="AE154" i="7"/>
  <c r="K154" i="7"/>
  <c r="AT153" i="7"/>
  <c r="AA153" i="7"/>
  <c r="G153" i="7"/>
  <c r="AO152" i="7"/>
  <c r="V152" i="7"/>
  <c r="BA151" i="7"/>
  <c r="AJ151" i="7"/>
  <c r="R151" i="7"/>
  <c r="AY150" i="7"/>
  <c r="AJ150" i="7"/>
  <c r="S150" i="7"/>
  <c r="AZ149" i="7"/>
  <c r="AK149" i="7"/>
  <c r="T149" i="7"/>
  <c r="BA148" i="7"/>
  <c r="AL148" i="7"/>
  <c r="U148" i="7"/>
  <c r="C148" i="7"/>
  <c r="AM147" i="7"/>
  <c r="V147" i="7"/>
  <c r="D147" i="7"/>
  <c r="AN146" i="7"/>
  <c r="W146" i="7"/>
  <c r="E146" i="7"/>
  <c r="AO145" i="7"/>
  <c r="X145" i="7"/>
  <c r="F145" i="7"/>
  <c r="AP144" i="7"/>
  <c r="Y144" i="7"/>
  <c r="G144" i="7"/>
  <c r="AQ143" i="7"/>
  <c r="Z143" i="7"/>
  <c r="H143" i="7"/>
  <c r="AR142" i="7"/>
  <c r="AA142" i="7"/>
  <c r="I142" i="7"/>
  <c r="AS141" i="7"/>
  <c r="AB141" i="7"/>
  <c r="J141" i="7"/>
  <c r="AT140" i="7"/>
  <c r="AC140" i="7"/>
  <c r="K140" i="7"/>
  <c r="AU139" i="7"/>
  <c r="AD139" i="7"/>
  <c r="L139" i="7"/>
  <c r="AV138" i="7"/>
  <c r="AG138" i="7"/>
  <c r="T138" i="7"/>
  <c r="D138" i="7"/>
  <c r="AP137" i="7"/>
  <c r="AA137" i="7"/>
  <c r="N137" i="7"/>
  <c r="BA136" i="7"/>
  <c r="AN136" i="7"/>
  <c r="AA136" i="7"/>
  <c r="O136" i="7"/>
  <c r="C136" i="7"/>
  <c r="AQ135" i="7"/>
  <c r="AF135" i="7"/>
  <c r="U135" i="7"/>
  <c r="I135" i="7"/>
  <c r="AW134" i="7"/>
  <c r="AL134" i="7"/>
  <c r="AA134" i="7"/>
  <c r="P134" i="7"/>
  <c r="E134" i="7"/>
  <c r="AS133" i="7"/>
  <c r="AH133" i="7"/>
  <c r="W133" i="7"/>
  <c r="K133" i="7"/>
  <c r="AY132" i="7"/>
  <c r="AN132" i="7"/>
  <c r="AC132" i="7"/>
  <c r="R132" i="7"/>
  <c r="G132" i="7"/>
  <c r="AU131" i="7"/>
  <c r="AJ131" i="7"/>
  <c r="Y131" i="7"/>
  <c r="M131" i="7"/>
  <c r="BA130" i="7"/>
  <c r="AP130" i="7"/>
  <c r="AE130" i="7"/>
  <c r="T130" i="7"/>
  <c r="I130" i="7"/>
  <c r="AW129" i="7"/>
  <c r="AL129" i="7"/>
  <c r="AA129" i="7"/>
  <c r="O129" i="7"/>
  <c r="D129" i="7"/>
  <c r="AR128" i="7"/>
  <c r="AG128" i="7"/>
  <c r="V128" i="7"/>
  <c r="K128" i="7"/>
  <c r="AY127" i="7"/>
  <c r="AN127" i="7"/>
  <c r="AC127" i="7"/>
  <c r="Q127" i="7"/>
  <c r="F127" i="7"/>
  <c r="AT126" i="7"/>
  <c r="AI126" i="7"/>
  <c r="X126" i="7"/>
  <c r="M126" i="7"/>
  <c r="BA125" i="7"/>
  <c r="AP125" i="7"/>
  <c r="AE125" i="7"/>
  <c r="S125" i="7"/>
  <c r="L256" i="7"/>
  <c r="AG242" i="7"/>
  <c r="X236" i="7"/>
  <c r="AL229" i="7"/>
  <c r="AB225" i="7"/>
  <c r="D221" i="7"/>
  <c r="AZ217" i="7"/>
  <c r="W214" i="7"/>
  <c r="AS211" i="7"/>
  <c r="AX208" i="7"/>
  <c r="AU206" i="7"/>
  <c r="AK204" i="7"/>
  <c r="AX202" i="7"/>
  <c r="AP200" i="7"/>
  <c r="H199" i="7"/>
  <c r="G197" i="7"/>
  <c r="AR195" i="7"/>
  <c r="N194" i="7"/>
  <c r="W193" i="7"/>
  <c r="R192" i="7"/>
  <c r="M191" i="7"/>
  <c r="U190" i="7"/>
  <c r="V189" i="7"/>
  <c r="W188" i="7"/>
  <c r="AG187" i="7"/>
  <c r="AH186" i="7"/>
  <c r="AJ185" i="7"/>
  <c r="J185" i="7"/>
  <c r="AB184" i="7"/>
  <c r="AW183" i="7"/>
  <c r="Z183" i="7"/>
  <c r="AU182" i="7"/>
  <c r="Q182" i="7"/>
  <c r="AQ181" i="7"/>
  <c r="M181" i="7"/>
  <c r="AH180" i="7"/>
  <c r="L180" i="7"/>
  <c r="AG179" i="7"/>
  <c r="C179" i="7"/>
  <c r="AE178" i="7"/>
  <c r="AZ177" i="7"/>
  <c r="V177" i="7"/>
  <c r="AV176" i="7"/>
  <c r="R176" i="7"/>
  <c r="AM175" i="7"/>
  <c r="Q175" i="7"/>
  <c r="AL174" i="7"/>
  <c r="H174" i="7"/>
  <c r="AJ173" i="7"/>
  <c r="F173" i="7"/>
  <c r="AA172" i="7"/>
  <c r="BA171" i="7"/>
  <c r="X171" i="7"/>
  <c r="AY170" i="7"/>
  <c r="AE170" i="7"/>
  <c r="D170" i="7"/>
  <c r="AE169" i="7"/>
  <c r="K169" i="7"/>
  <c r="AI168" i="7"/>
  <c r="K168" i="7"/>
  <c r="AP167" i="7"/>
  <c r="P167" i="7"/>
  <c r="AS166" i="7"/>
  <c r="AC166" i="7"/>
  <c r="I166" i="7"/>
  <c r="AN165" i="7"/>
  <c r="Y165" i="7"/>
  <c r="E165" i="7"/>
  <c r="AJ164" i="7"/>
  <c r="T164" i="7"/>
  <c r="AY163" i="7"/>
  <c r="AE163" i="7"/>
  <c r="P163" i="7"/>
  <c r="AU162" i="7"/>
  <c r="AA162" i="7"/>
  <c r="K162" i="7"/>
  <c r="AP161" i="7"/>
  <c r="V161" i="7"/>
  <c r="F161" i="7"/>
  <c r="AK160" i="7"/>
  <c r="Q160" i="7"/>
  <c r="BA159" i="7"/>
  <c r="AG159" i="7"/>
  <c r="M159" i="7"/>
  <c r="AV158" i="7"/>
  <c r="AB158" i="7"/>
  <c r="H158" i="7"/>
  <c r="AR157" i="7"/>
  <c r="X157" i="7"/>
  <c r="D157" i="7"/>
  <c r="AM156" i="7"/>
  <c r="S156" i="7"/>
  <c r="AX155" i="7"/>
  <c r="AI155" i="7"/>
  <c r="O155" i="7"/>
  <c r="AT154" i="7"/>
  <c r="AD154" i="7"/>
  <c r="J154" i="7"/>
  <c r="AO153" i="7"/>
  <c r="Z153" i="7"/>
  <c r="F153" i="7"/>
  <c r="AK152" i="7"/>
  <c r="U152" i="7"/>
  <c r="AZ151" i="7"/>
  <c r="AF151" i="7"/>
  <c r="Q151" i="7"/>
  <c r="AX150" i="7"/>
  <c r="AF150" i="7"/>
  <c r="R150" i="7"/>
  <c r="AY149" i="7"/>
  <c r="AG149" i="7"/>
  <c r="S149" i="7"/>
  <c r="AZ148" i="7"/>
  <c r="AH148" i="7"/>
  <c r="T148" i="7"/>
  <c r="BA147" i="7"/>
  <c r="AI147" i="7"/>
  <c r="U147" i="7"/>
  <c r="C147" i="7"/>
  <c r="AJ146" i="7"/>
  <c r="V146" i="7"/>
  <c r="D146" i="7"/>
  <c r="AK145" i="7"/>
  <c r="W145" i="7"/>
  <c r="E145" i="7"/>
  <c r="AL144" i="7"/>
  <c r="X144" i="7"/>
  <c r="F144" i="7"/>
  <c r="AM143" i="7"/>
  <c r="Y143" i="7"/>
  <c r="G143" i="7"/>
  <c r="AN142" i="7"/>
  <c r="Z142" i="7"/>
  <c r="H142" i="7"/>
  <c r="AO141" i="7"/>
  <c r="AA141" i="7"/>
  <c r="I141" i="7"/>
  <c r="AP140" i="7"/>
  <c r="AB140" i="7"/>
  <c r="J140" i="7"/>
  <c r="AQ139" i="7"/>
  <c r="AC139" i="7"/>
  <c r="K139" i="7"/>
  <c r="AT138" i="7"/>
  <c r="AF138" i="7"/>
  <c r="R138" i="7"/>
  <c r="C138" i="7"/>
  <c r="AO137" i="7"/>
  <c r="Y137" i="7"/>
  <c r="M137" i="7"/>
  <c r="AZ136" i="7"/>
  <c r="AL136" i="7"/>
  <c r="Z136" i="7"/>
  <c r="N136" i="7"/>
  <c r="BA135" i="7"/>
  <c r="AP135" i="7"/>
  <c r="AE135" i="7"/>
  <c r="S135" i="7"/>
  <c r="H135" i="7"/>
  <c r="AV134" i="7"/>
  <c r="AK134" i="7"/>
  <c r="Z134" i="7"/>
  <c r="O134" i="7"/>
  <c r="D134" i="7"/>
  <c r="AR133" i="7"/>
  <c r="AG133" i="7"/>
  <c r="U133" i="7"/>
  <c r="J133" i="7"/>
  <c r="AX132" i="7"/>
  <c r="AM132" i="7"/>
  <c r="AB132" i="7"/>
  <c r="Q132" i="7"/>
  <c r="F132" i="7"/>
  <c r="AT131" i="7"/>
  <c r="AI131" i="7"/>
  <c r="W131" i="7"/>
  <c r="L131" i="7"/>
  <c r="AZ130" i="7"/>
  <c r="AO130" i="7"/>
  <c r="AD130" i="7"/>
  <c r="S130" i="7"/>
  <c r="H130" i="7"/>
  <c r="AV129" i="7"/>
  <c r="AK129" i="7"/>
  <c r="Y129" i="7"/>
  <c r="N129" i="7"/>
  <c r="C129" i="7"/>
  <c r="AQ128" i="7"/>
  <c r="AF128" i="7"/>
  <c r="U128" i="7"/>
  <c r="J128" i="7"/>
  <c r="AX127" i="7"/>
  <c r="AB253" i="7"/>
  <c r="AJ241" i="7"/>
  <c r="AX235" i="7"/>
  <c r="S229" i="7"/>
  <c r="H225" i="7"/>
  <c r="C221" i="7"/>
  <c r="AN217" i="7"/>
  <c r="E214" i="7"/>
  <c r="AF211" i="7"/>
  <c r="AS208" i="7"/>
  <c r="AI206" i="7"/>
  <c r="AJ204" i="7"/>
  <c r="AU202" i="7"/>
  <c r="AL200" i="7"/>
  <c r="BA198" i="7"/>
  <c r="F197" i="7"/>
  <c r="AK195" i="7"/>
  <c r="M194" i="7"/>
  <c r="S193" i="7"/>
  <c r="Q192" i="7"/>
  <c r="L191" i="7"/>
  <c r="O190" i="7"/>
  <c r="R189" i="7"/>
  <c r="S188" i="7"/>
  <c r="AE187" i="7"/>
  <c r="AG186" i="7"/>
  <c r="AI185" i="7"/>
  <c r="F185" i="7"/>
  <c r="AA184" i="7"/>
  <c r="AV183" i="7"/>
  <c r="U183" i="7"/>
  <c r="AQ182" i="7"/>
  <c r="M182" i="7"/>
  <c r="AO181" i="7"/>
  <c r="L181" i="7"/>
  <c r="AG180" i="7"/>
  <c r="I180" i="7"/>
  <c r="AF179" i="7"/>
  <c r="BA178" i="7"/>
  <c r="Z178" i="7"/>
  <c r="AV177" i="7"/>
  <c r="R177" i="7"/>
  <c r="AT176" i="7"/>
  <c r="Q176" i="7"/>
  <c r="AL175" i="7"/>
  <c r="N175" i="7"/>
  <c r="AK174" i="7"/>
  <c r="G174" i="7"/>
  <c r="AE173" i="7"/>
  <c r="BA172" i="7"/>
  <c r="W172" i="7"/>
  <c r="AY171" i="7"/>
  <c r="W171" i="7"/>
  <c r="AX170" i="7"/>
  <c r="AC170" i="7"/>
  <c r="C170" i="7"/>
  <c r="AD169" i="7"/>
  <c r="F169" i="7"/>
  <c r="AH168" i="7"/>
  <c r="G168" i="7"/>
  <c r="AK167" i="7"/>
  <c r="O167" i="7"/>
  <c r="AR166" i="7"/>
  <c r="AA166" i="7"/>
  <c r="H166" i="7"/>
  <c r="AM165" i="7"/>
  <c r="V165" i="7"/>
  <c r="D165" i="7"/>
  <c r="AI164" i="7"/>
  <c r="R164" i="7"/>
  <c r="AX163" i="7"/>
  <c r="AD163" i="7"/>
  <c r="M163" i="7"/>
  <c r="AS162" i="7"/>
  <c r="Y162" i="7"/>
  <c r="I162" i="7"/>
  <c r="AO161" i="7"/>
  <c r="U161" i="7"/>
  <c r="D161" i="7"/>
  <c r="AJ160" i="7"/>
  <c r="P160" i="7"/>
  <c r="AY159" i="7"/>
  <c r="AF159" i="7"/>
  <c r="L159" i="7"/>
  <c r="AT158" i="7"/>
  <c r="AA158" i="7"/>
  <c r="G158" i="7"/>
  <c r="AP157" i="7"/>
  <c r="W157" i="7"/>
  <c r="C157" i="7"/>
  <c r="AK156" i="7"/>
  <c r="R156" i="7"/>
  <c r="AW155" i="7"/>
  <c r="AF155" i="7"/>
  <c r="N155" i="7"/>
  <c r="AS154" i="7"/>
  <c r="AB154" i="7"/>
  <c r="I154" i="7"/>
  <c r="AN153" i="7"/>
  <c r="W153" i="7"/>
  <c r="D153" i="7"/>
  <c r="AI152" i="7"/>
  <c r="S152" i="7"/>
  <c r="AY151" i="7"/>
  <c r="AE151" i="7"/>
  <c r="O151" i="7"/>
  <c r="AW150" i="7"/>
  <c r="AE150" i="7"/>
  <c r="P150" i="7"/>
  <c r="AX149" i="7"/>
  <c r="AF149" i="7"/>
  <c r="Q149" i="7"/>
  <c r="AY148" i="7"/>
  <c r="AG148" i="7"/>
  <c r="R148" i="7"/>
  <c r="AZ147" i="7"/>
  <c r="AH147" i="7"/>
  <c r="S147" i="7"/>
  <c r="BA146" i="7"/>
  <c r="AI146" i="7"/>
  <c r="T146" i="7"/>
  <c r="C146" i="7"/>
  <c r="AJ145" i="7"/>
  <c r="U145" i="7"/>
  <c r="D145" i="7"/>
  <c r="AK144" i="7"/>
  <c r="V144" i="7"/>
  <c r="E144" i="7"/>
  <c r="AL143" i="7"/>
  <c r="W143" i="7"/>
  <c r="F143" i="7"/>
  <c r="AM142" i="7"/>
  <c r="X142" i="7"/>
  <c r="G142" i="7"/>
  <c r="AN141" i="7"/>
  <c r="Y141" i="7"/>
  <c r="H141" i="7"/>
  <c r="AO140" i="7"/>
  <c r="Z140" i="7"/>
  <c r="I140" i="7"/>
  <c r="AP139" i="7"/>
  <c r="AA139" i="7"/>
  <c r="J139" i="7"/>
  <c r="AR138" i="7"/>
  <c r="AE138" i="7"/>
  <c r="P138" i="7"/>
  <c r="BA137" i="7"/>
  <c r="AM137" i="7"/>
  <c r="X137" i="7"/>
  <c r="L137" i="7"/>
  <c r="AX136" i="7"/>
  <c r="AK136" i="7"/>
  <c r="Y136" i="7"/>
  <c r="M136" i="7"/>
  <c r="AZ135" i="7"/>
  <c r="AO135" i="7"/>
  <c r="AC135" i="7"/>
  <c r="R135" i="7"/>
  <c r="G135" i="7"/>
  <c r="AU134" i="7"/>
  <c r="AJ134" i="7"/>
  <c r="Y134" i="7"/>
  <c r="N134" i="7"/>
  <c r="C134" i="7"/>
  <c r="AQ133" i="7"/>
  <c r="AE133" i="7"/>
  <c r="T133" i="7"/>
  <c r="I133" i="7"/>
  <c r="AW132" i="7"/>
  <c r="AL132" i="7"/>
  <c r="AA132" i="7"/>
  <c r="P132" i="7"/>
  <c r="E132" i="7"/>
  <c r="AS131" i="7"/>
  <c r="AG131" i="7"/>
  <c r="V131" i="7"/>
  <c r="K131" i="7"/>
  <c r="AY130" i="7"/>
  <c r="AN130" i="7"/>
  <c r="AC130" i="7"/>
  <c r="R130" i="7"/>
  <c r="G130" i="7"/>
  <c r="AU129" i="7"/>
  <c r="AI129" i="7"/>
  <c r="X129" i="7"/>
  <c r="M129" i="7"/>
  <c r="BA128" i="7"/>
  <c r="AP128" i="7"/>
  <c r="AE128" i="7"/>
  <c r="T128" i="7"/>
  <c r="I128" i="7"/>
  <c r="AX248" i="7"/>
  <c r="AL239" i="7"/>
  <c r="AL233" i="7"/>
  <c r="AQ227" i="7"/>
  <c r="AX223" i="7"/>
  <c r="AA219" i="7"/>
  <c r="AJ216" i="7"/>
  <c r="D213" i="7"/>
  <c r="AN210" i="7"/>
  <c r="AX207" i="7"/>
  <c r="F206" i="7"/>
  <c r="AT203" i="7"/>
  <c r="K202" i="7"/>
  <c r="G200" i="7"/>
  <c r="O198" i="7"/>
  <c r="AG196" i="7"/>
  <c r="O195" i="7"/>
  <c r="D194" i="7"/>
  <c r="AX192" i="7"/>
  <c r="AT191" i="7"/>
  <c r="AY190" i="7"/>
  <c r="AW189" i="7"/>
  <c r="AX188" i="7"/>
  <c r="L188" i="7"/>
  <c r="M187" i="7"/>
  <c r="N186" i="7"/>
  <c r="AD185" i="7"/>
  <c r="AT184" i="7"/>
  <c r="O184" i="7"/>
  <c r="AO183" i="7"/>
  <c r="K183" i="7"/>
  <c r="AF182" i="7"/>
  <c r="J182" i="7"/>
  <c r="AE181" i="7"/>
  <c r="AZ180" i="7"/>
  <c r="AC180" i="7"/>
  <c r="AX179" i="7"/>
  <c r="T179" i="7"/>
  <c r="AT178" i="7"/>
  <c r="P178" i="7"/>
  <c r="AK177" i="7"/>
  <c r="O177" i="7"/>
  <c r="AJ176" i="7"/>
  <c r="F176" i="7"/>
  <c r="AH175" i="7"/>
  <c r="D175" i="7"/>
  <c r="Y174" i="7"/>
  <c r="AY173" i="7"/>
  <c r="U173" i="7"/>
  <c r="AP172" i="7"/>
  <c r="T172" i="7"/>
  <c r="AO171" i="7"/>
  <c r="M171" i="7"/>
  <c r="AR170" i="7"/>
  <c r="T170" i="7"/>
  <c r="AR169" i="7"/>
  <c r="X169" i="7"/>
  <c r="AY168" i="7"/>
  <c r="X168" i="7"/>
  <c r="D168" i="7"/>
  <c r="AB167" i="7"/>
  <c r="F167" i="7"/>
  <c r="AN166" i="7"/>
  <c r="T166" i="7"/>
  <c r="AY165" i="7"/>
  <c r="AJ165" i="7"/>
  <c r="P165" i="7"/>
  <c r="AU164" i="7"/>
  <c r="AE164" i="7"/>
  <c r="K164" i="7"/>
  <c r="AP163" i="7"/>
  <c r="AA163" i="7"/>
  <c r="G163" i="7"/>
  <c r="AL162" i="7"/>
  <c r="V162" i="7"/>
  <c r="BA161" i="7"/>
  <c r="AG161" i="7"/>
  <c r="R161" i="7"/>
  <c r="AW160" i="7"/>
  <c r="AC160" i="7"/>
  <c r="M160" i="7"/>
  <c r="AR159" i="7"/>
  <c r="X159" i="7"/>
  <c r="H159" i="7"/>
  <c r="AM158" i="7"/>
  <c r="AM249" i="7"/>
  <c r="AA238" i="7"/>
  <c r="I227" i="7"/>
  <c r="AJ220" i="7"/>
  <c r="Y215" i="7"/>
  <c r="AF210" i="7"/>
  <c r="N206" i="7"/>
  <c r="AH203" i="7"/>
  <c r="AY199" i="7"/>
  <c r="E197" i="7"/>
  <c r="AI194" i="7"/>
  <c r="AO192" i="7"/>
  <c r="J191" i="7"/>
  <c r="AN189" i="7"/>
  <c r="I188" i="7"/>
  <c r="AF186" i="7"/>
  <c r="M185" i="7"/>
  <c r="K184" i="7"/>
  <c r="P183" i="7"/>
  <c r="AC182" i="7"/>
  <c r="AD181" i="7"/>
  <c r="AF180" i="7"/>
  <c r="AQ179" i="7"/>
  <c r="AR178" i="7"/>
  <c r="AU177" i="7"/>
  <c r="D177" i="7"/>
  <c r="E176" i="7"/>
  <c r="G175" i="7"/>
  <c r="S174" i="7"/>
  <c r="T173" i="7"/>
  <c r="V172" i="7"/>
  <c r="AG171" i="7"/>
  <c r="AP170" i="7"/>
  <c r="BA169" i="7"/>
  <c r="N169" i="7"/>
  <c r="W168" i="7"/>
  <c r="AG167" i="7"/>
  <c r="C167" i="7"/>
  <c r="S166" i="7"/>
  <c r="AL165" i="7"/>
  <c r="K165" i="7"/>
  <c r="AC164" i="7"/>
  <c r="AW163" i="7"/>
  <c r="S163" i="7"/>
  <c r="AK162" i="7"/>
  <c r="D162" i="7"/>
  <c r="AD161" i="7"/>
  <c r="AU160" i="7"/>
  <c r="O160" i="7"/>
  <c r="AN159" i="7"/>
  <c r="F159" i="7"/>
  <c r="Z158" i="7"/>
  <c r="BA157" i="7"/>
  <c r="Z157" i="7"/>
  <c r="AX156" i="7"/>
  <c r="Z156" i="7"/>
  <c r="AU155" i="7"/>
  <c r="X155" i="7"/>
  <c r="AQ154" i="7"/>
  <c r="T154" i="7"/>
  <c r="AV153" i="7"/>
  <c r="Q153" i="7"/>
  <c r="AR152" i="7"/>
  <c r="M152" i="7"/>
  <c r="AO151" i="7"/>
  <c r="K151" i="7"/>
  <c r="AO150" i="7"/>
  <c r="T150" i="7"/>
  <c r="AQ149" i="7"/>
  <c r="V149" i="7"/>
  <c r="AV148" i="7"/>
  <c r="X148" i="7"/>
  <c r="AY147" i="7"/>
  <c r="AC147" i="7"/>
  <c r="E147" i="7"/>
  <c r="AF146" i="7"/>
  <c r="J146" i="7"/>
  <c r="AH145" i="7"/>
  <c r="M145" i="7"/>
  <c r="AJ144" i="7"/>
  <c r="O144" i="7"/>
  <c r="AS143" i="7"/>
  <c r="Q143" i="7"/>
  <c r="AU142" i="7"/>
  <c r="S142" i="7"/>
  <c r="AW141" i="7"/>
  <c r="U141" i="7"/>
  <c r="AY140" i="7"/>
  <c r="AD140" i="7"/>
  <c r="BA139" i="7"/>
  <c r="AF139" i="7"/>
  <c r="G139" i="7"/>
  <c r="AL138" i="7"/>
  <c r="N138" i="7"/>
  <c r="AU137" i="7"/>
  <c r="AC137" i="7"/>
  <c r="G137" i="7"/>
  <c r="AQ136" i="7"/>
  <c r="W136" i="7"/>
  <c r="F136" i="7"/>
  <c r="AM135" i="7"/>
  <c r="Y135" i="7"/>
  <c r="K135" i="7"/>
  <c r="AR134" i="7"/>
  <c r="AC134" i="7"/>
  <c r="L134" i="7"/>
  <c r="AV133" i="7"/>
  <c r="AD133" i="7"/>
  <c r="P133" i="7"/>
  <c r="AZ132" i="7"/>
  <c r="AI132" i="7"/>
  <c r="T132" i="7"/>
  <c r="BA131" i="7"/>
  <c r="AM131" i="7"/>
  <c r="U131" i="7"/>
  <c r="G131" i="7"/>
  <c r="AQ130" i="7"/>
  <c r="Z130" i="7"/>
  <c r="K130" i="7"/>
  <c r="AR129" i="7"/>
  <c r="AD129" i="7"/>
  <c r="L129" i="7"/>
  <c r="AW128" i="7"/>
  <c r="AH128" i="7"/>
  <c r="P128" i="7"/>
  <c r="BA127" i="7"/>
  <c r="AM127" i="7"/>
  <c r="Z127" i="7"/>
  <c r="N127" i="7"/>
  <c r="BA126" i="7"/>
  <c r="AO126" i="7"/>
  <c r="AB126" i="7"/>
  <c r="P126" i="7"/>
  <c r="D126" i="7"/>
  <c r="AQ125" i="7"/>
  <c r="AC125" i="7"/>
  <c r="Q125" i="7"/>
  <c r="F125" i="7"/>
  <c r="AT124" i="7"/>
  <c r="AI124" i="7"/>
  <c r="X124" i="7"/>
  <c r="M124" i="7"/>
  <c r="BA123" i="7"/>
  <c r="AO123" i="7"/>
  <c r="AD123" i="7"/>
  <c r="S123" i="7"/>
  <c r="H123" i="7"/>
  <c r="AV122" i="7"/>
  <c r="AK122" i="7"/>
  <c r="Z122" i="7"/>
  <c r="O122" i="7"/>
  <c r="D122" i="7"/>
  <c r="AQ121" i="7"/>
  <c r="AG121" i="7"/>
  <c r="W121" i="7"/>
  <c r="M121" i="7"/>
  <c r="C121" i="7"/>
  <c r="AR120" i="7"/>
  <c r="AH120" i="7"/>
  <c r="X120" i="7"/>
  <c r="N120" i="7"/>
  <c r="D120" i="7"/>
  <c r="AS119" i="7"/>
  <c r="AI119" i="7"/>
  <c r="Y249" i="7"/>
  <c r="AS236" i="7"/>
  <c r="H227" i="7"/>
  <c r="V220" i="7"/>
  <c r="W215" i="7"/>
  <c r="C210" i="7"/>
  <c r="G206" i="7"/>
  <c r="N203" i="7"/>
  <c r="AW199" i="7"/>
  <c r="AV196" i="7"/>
  <c r="AG194" i="7"/>
  <c r="AN192" i="7"/>
  <c r="AZ190" i="7"/>
  <c r="AC189" i="7"/>
  <c r="AV187" i="7"/>
  <c r="Y186" i="7"/>
  <c r="L185" i="7"/>
  <c r="J184" i="7"/>
  <c r="L183" i="7"/>
  <c r="AA182" i="7"/>
  <c r="AB181" i="7"/>
  <c r="AE180" i="7"/>
  <c r="AI179" i="7"/>
  <c r="AJ178" i="7"/>
  <c r="AS177" i="7"/>
  <c r="BA176" i="7"/>
  <c r="C176" i="7"/>
  <c r="F175" i="7"/>
  <c r="R174" i="7"/>
  <c r="S173" i="7"/>
  <c r="U172" i="7"/>
  <c r="AC171" i="7"/>
  <c r="AI170" i="7"/>
  <c r="AY169" i="7"/>
  <c r="M169" i="7"/>
  <c r="V168" i="7"/>
  <c r="AF167" i="7"/>
  <c r="BA166" i="7"/>
  <c r="R166" i="7"/>
  <c r="AK165" i="7"/>
  <c r="G165" i="7"/>
  <c r="Y164" i="7"/>
  <c r="AU163" i="7"/>
  <c r="R163" i="7"/>
  <c r="AI162" i="7"/>
  <c r="C162" i="7"/>
  <c r="AC161" i="7"/>
  <c r="AT160" i="7"/>
  <c r="N160" i="7"/>
  <c r="AI159" i="7"/>
  <c r="BA158" i="7"/>
  <c r="X158" i="7"/>
  <c r="AV157" i="7"/>
  <c r="V157" i="7"/>
  <c r="AV156" i="7"/>
  <c r="U156" i="7"/>
  <c r="AT155" i="7"/>
  <c r="U155" i="7"/>
  <c r="AP154" i="7"/>
  <c r="S154" i="7"/>
  <c r="AM153" i="7"/>
  <c r="P153" i="7"/>
  <c r="AQ152" i="7"/>
  <c r="L152" i="7"/>
  <c r="AN151" i="7"/>
  <c r="J151" i="7"/>
  <c r="AN150" i="7"/>
  <c r="L150" i="7"/>
  <c r="AP149" i="7"/>
  <c r="U149" i="7"/>
  <c r="AR148" i="7"/>
  <c r="W148" i="7"/>
  <c r="AW147" i="7"/>
  <c r="Y147" i="7"/>
  <c r="AZ146" i="7"/>
  <c r="AD146" i="7"/>
  <c r="F146" i="7"/>
  <c r="AG145" i="7"/>
  <c r="K145" i="7"/>
  <c r="AI144" i="7"/>
  <c r="N144" i="7"/>
  <c r="AK143" i="7"/>
  <c r="P143" i="7"/>
  <c r="AT142" i="7"/>
  <c r="R142" i="7"/>
  <c r="AV141" i="7"/>
  <c r="T141" i="7"/>
  <c r="AX140" i="7"/>
  <c r="V140" i="7"/>
  <c r="AZ139" i="7"/>
  <c r="AE139" i="7"/>
  <c r="C139" i="7"/>
  <c r="AJ138" i="7"/>
  <c r="M138" i="7"/>
  <c r="AS137" i="7"/>
  <c r="W137" i="7"/>
  <c r="F137" i="7"/>
  <c r="AP136" i="7"/>
  <c r="V136" i="7"/>
  <c r="E136" i="7"/>
  <c r="AL135" i="7"/>
  <c r="X135" i="7"/>
  <c r="F135" i="7"/>
  <c r="AQ134" i="7"/>
  <c r="AB134" i="7"/>
  <c r="J134" i="7"/>
  <c r="AU133" i="7"/>
  <c r="AC133" i="7"/>
  <c r="O133" i="7"/>
  <c r="AV132" i="7"/>
  <c r="AH132" i="7"/>
  <c r="S132" i="7"/>
  <c r="AZ131" i="7"/>
  <c r="AL131" i="7"/>
  <c r="T131" i="7"/>
  <c r="F131" i="7"/>
  <c r="AM130" i="7"/>
  <c r="X130" i="7"/>
  <c r="J130" i="7"/>
  <c r="AQ129" i="7"/>
  <c r="AC129" i="7"/>
  <c r="K129" i="7"/>
  <c r="AV128" i="7"/>
  <c r="AB247" i="7"/>
  <c r="O234" i="7"/>
  <c r="E227" i="7"/>
  <c r="W219" i="7"/>
  <c r="C214" i="7"/>
  <c r="AX209" i="7"/>
  <c r="C206" i="7"/>
  <c r="U202" i="7"/>
  <c r="AH199" i="7"/>
  <c r="X196" i="7"/>
  <c r="J194" i="7"/>
  <c r="AL192" i="7"/>
  <c r="AV190" i="7"/>
  <c r="P189" i="7"/>
  <c r="AR187" i="7"/>
  <c r="M186" i="7"/>
  <c r="AW184" i="7"/>
  <c r="I184" i="7"/>
  <c r="J183" i="7"/>
  <c r="L182" i="7"/>
  <c r="W181" i="7"/>
  <c r="X180" i="7"/>
  <c r="AD179" i="7"/>
  <c r="AI178" i="7"/>
  <c r="AJ177" i="7"/>
  <c r="AL176" i="7"/>
  <c r="AX175" i="7"/>
  <c r="AY174" i="7"/>
  <c r="E174" i="7"/>
  <c r="P173" i="7"/>
  <c r="Q172" i="7"/>
  <c r="V171" i="7"/>
  <c r="AH170" i="7"/>
  <c r="AQ169" i="7"/>
  <c r="BA168" i="7"/>
  <c r="U168" i="7"/>
  <c r="AA167" i="7"/>
  <c r="AQ166" i="7"/>
  <c r="P166" i="7"/>
  <c r="AH165" i="7"/>
  <c r="BA164" i="7"/>
  <c r="W164" i="7"/>
  <c r="AO163" i="7"/>
  <c r="I163" i="7"/>
  <c r="AH162" i="7"/>
  <c r="AZ161" i="7"/>
  <c r="T161" i="7"/>
  <c r="AR160" i="7"/>
  <c r="K160" i="7"/>
  <c r="AE159" i="7"/>
  <c r="AZ158" i="7"/>
  <c r="S158" i="7"/>
  <c r="AU157" i="7"/>
  <c r="S157" i="7"/>
  <c r="AR156" i="7"/>
  <c r="Q156" i="7"/>
  <c r="AR155" i="7"/>
  <c r="Q155" i="7"/>
  <c r="AO154" i="7"/>
  <c r="Q154" i="7"/>
  <c r="AL153" i="7"/>
  <c r="N153" i="7"/>
  <c r="AH152" i="7"/>
  <c r="K152" i="7"/>
  <c r="AM151" i="7"/>
  <c r="I151" i="7"/>
  <c r="AM150" i="7"/>
  <c r="K150" i="7"/>
  <c r="AO149" i="7"/>
  <c r="M149" i="7"/>
  <c r="AQ148" i="7"/>
  <c r="V148" i="7"/>
  <c r="AS147" i="7"/>
  <c r="X147" i="7"/>
  <c r="AX146" i="7"/>
  <c r="Z146" i="7"/>
  <c r="BA145" i="7"/>
  <c r="AE145" i="7"/>
  <c r="G145" i="7"/>
  <c r="AH144" i="7"/>
  <c r="L144" i="7"/>
  <c r="AJ143" i="7"/>
  <c r="O143" i="7"/>
  <c r="AL142" i="7"/>
  <c r="Q142" i="7"/>
  <c r="AU141" i="7"/>
  <c r="S141" i="7"/>
  <c r="AW140" i="7"/>
  <c r="U140" i="7"/>
  <c r="AY139" i="7"/>
  <c r="W139" i="7"/>
  <c r="BA138" i="7"/>
  <c r="AH138" i="7"/>
  <c r="L138" i="7"/>
  <c r="AR137" i="7"/>
  <c r="V137" i="7"/>
  <c r="E137" i="7"/>
  <c r="AJ136" i="7"/>
  <c r="T136" i="7"/>
  <c r="D136" i="7"/>
  <c r="AK135" i="7"/>
  <c r="W135" i="7"/>
  <c r="E135" i="7"/>
  <c r="AP134" i="7"/>
  <c r="X134" i="7"/>
  <c r="I134" i="7"/>
  <c r="AT133" i="7"/>
  <c r="AB133" i="7"/>
  <c r="N133" i="7"/>
  <c r="AU132" i="7"/>
  <c r="AF132" i="7"/>
  <c r="O132" i="7"/>
  <c r="AY131" i="7"/>
  <c r="AK131" i="7"/>
  <c r="S131" i="7"/>
  <c r="E131" i="7"/>
  <c r="AL130" i="7"/>
  <c r="W130" i="7"/>
  <c r="F130" i="7"/>
  <c r="AP129" i="7"/>
  <c r="AB129" i="7"/>
  <c r="J129" i="7"/>
  <c r="AT128" i="7"/>
  <c r="AC128" i="7"/>
  <c r="N128" i="7"/>
  <c r="AW127" i="7"/>
  <c r="AJ127" i="7"/>
  <c r="X127" i="7"/>
  <c r="L127" i="7"/>
  <c r="AY126" i="7"/>
  <c r="AL126" i="7"/>
  <c r="Z126" i="7"/>
  <c r="N126" i="7"/>
  <c r="AZ125" i="7"/>
  <c r="AM125" i="7"/>
  <c r="AA125" i="7"/>
  <c r="O125" i="7"/>
  <c r="D125" i="7"/>
  <c r="AR124" i="7"/>
  <c r="AG124" i="7"/>
  <c r="V124" i="7"/>
  <c r="J124" i="7"/>
  <c r="AX123" i="7"/>
  <c r="AM123" i="7"/>
  <c r="AB123" i="7"/>
  <c r="Q123" i="7"/>
  <c r="F123" i="7"/>
  <c r="AT122" i="7"/>
  <c r="AI122" i="7"/>
  <c r="X122" i="7"/>
  <c r="L122" i="7"/>
  <c r="AZ121" i="7"/>
  <c r="AO121" i="7"/>
  <c r="AE121" i="7"/>
  <c r="K245" i="7"/>
  <c r="C234" i="7"/>
  <c r="AO225" i="7"/>
  <c r="U219" i="7"/>
  <c r="AT213" i="7"/>
  <c r="AM209" i="7"/>
  <c r="AA205" i="7"/>
  <c r="T202" i="7"/>
  <c r="M199" i="7"/>
  <c r="W196" i="7"/>
  <c r="F194" i="7"/>
  <c r="X192" i="7"/>
  <c r="AE190" i="7"/>
  <c r="K189" i="7"/>
  <c r="AP187" i="7"/>
  <c r="K186" i="7"/>
  <c r="AV184" i="7"/>
  <c r="H184" i="7"/>
  <c r="I183" i="7"/>
  <c r="K182" i="7"/>
  <c r="R181" i="7"/>
  <c r="S180" i="7"/>
  <c r="Y179" i="7"/>
  <c r="AH178" i="7"/>
  <c r="AI177" i="7"/>
  <c r="AK176" i="7"/>
  <c r="AW175" i="7"/>
  <c r="AX174" i="7"/>
  <c r="AZ173" i="7"/>
  <c r="I173" i="7"/>
  <c r="J172" i="7"/>
  <c r="T171" i="7"/>
  <c r="AG170" i="7"/>
  <c r="AP169" i="7"/>
  <c r="AZ168" i="7"/>
  <c r="Q168" i="7"/>
  <c r="Z167" i="7"/>
  <c r="AO166" i="7"/>
  <c r="K166" i="7"/>
  <c r="AC165" i="7"/>
  <c r="AY164" i="7"/>
  <c r="V164" i="7"/>
  <c r="AN163" i="7"/>
  <c r="H163" i="7"/>
  <c r="AG162" i="7"/>
  <c r="AY161" i="7"/>
  <c r="S161" i="7"/>
  <c r="AN160" i="7"/>
  <c r="F160" i="7"/>
  <c r="AB159" i="7"/>
  <c r="AY158" i="7"/>
  <c r="R158" i="7"/>
  <c r="AT157" i="7"/>
  <c r="O157" i="7"/>
  <c r="AQ156" i="7"/>
  <c r="O156" i="7"/>
  <c r="AM155" i="7"/>
  <c r="L155" i="7"/>
  <c r="AM154" i="7"/>
  <c r="L154" i="7"/>
  <c r="AK153" i="7"/>
  <c r="L153" i="7"/>
  <c r="AG152" i="7"/>
  <c r="J152" i="7"/>
  <c r="AD151" i="7"/>
  <c r="H151" i="7"/>
  <c r="AL150" i="7"/>
  <c r="J150" i="7"/>
  <c r="AN149" i="7"/>
  <c r="L149" i="7"/>
  <c r="AP148" i="7"/>
  <c r="N148" i="7"/>
  <c r="AR147" i="7"/>
  <c r="W147" i="7"/>
  <c r="AT146" i="7"/>
  <c r="Y146" i="7"/>
  <c r="AY145" i="7"/>
  <c r="AA145" i="7"/>
  <c r="C145" i="7"/>
  <c r="AF144" i="7"/>
  <c r="H144" i="7"/>
  <c r="AI143" i="7"/>
  <c r="M143" i="7"/>
  <c r="AK142" i="7"/>
  <c r="P142" i="7"/>
  <c r="AS244" i="7"/>
  <c r="R229" i="7"/>
  <c r="AZ216" i="7"/>
  <c r="AQ208" i="7"/>
  <c r="AS203" i="7"/>
  <c r="M198" i="7"/>
  <c r="AS193" i="7"/>
  <c r="AI191" i="7"/>
  <c r="AQ188" i="7"/>
  <c r="C186" i="7"/>
  <c r="Y184" i="7"/>
  <c r="AP182" i="7"/>
  <c r="K181" i="7"/>
  <c r="AT179" i="7"/>
  <c r="O178" i="7"/>
  <c r="AI176" i="7"/>
  <c r="T175" i="7"/>
  <c r="AN173" i="7"/>
  <c r="I172" i="7"/>
  <c r="AW170" i="7"/>
  <c r="Z169" i="7"/>
  <c r="F168" i="7"/>
  <c r="E167" i="7"/>
  <c r="AX165" i="7"/>
  <c r="AT164" i="7"/>
  <c r="G164" i="7"/>
  <c r="BA162" i="7"/>
  <c r="AW161" i="7"/>
  <c r="AY160" i="7"/>
  <c r="AT159" i="7"/>
  <c r="AP158" i="7"/>
  <c r="E158" i="7"/>
  <c r="L157" i="7"/>
  <c r="J156" i="7"/>
  <c r="Z155" i="7"/>
  <c r="AF154" i="7"/>
  <c r="AH153" i="7"/>
  <c r="AU152" i="7"/>
  <c r="AX151" i="7"/>
  <c r="G151" i="7"/>
  <c r="V150" i="7"/>
  <c r="AD149" i="7"/>
  <c r="AO148" i="7"/>
  <c r="H148" i="7"/>
  <c r="M147" i="7"/>
  <c r="X146" i="7"/>
  <c r="AQ145" i="7"/>
  <c r="AU144" i="7"/>
  <c r="D144" i="7"/>
  <c r="S143" i="7"/>
  <c r="AD142" i="7"/>
  <c r="AM141" i="7"/>
  <c r="K141" i="7"/>
  <c r="AE140" i="7"/>
  <c r="AO139" i="7"/>
  <c r="M139" i="7"/>
  <c r="AB138" i="7"/>
  <c r="AZ137" i="7"/>
  <c r="U137" i="7"/>
  <c r="AU136" i="7"/>
  <c r="X136" i="7"/>
  <c r="AV135" i="7"/>
  <c r="AA135" i="7"/>
  <c r="C135" i="7"/>
  <c r="AG134" i="7"/>
  <c r="H134" i="7"/>
  <c r="AL133" i="7"/>
  <c r="Q133" i="7"/>
  <c r="AR132" i="7"/>
  <c r="V132" i="7"/>
  <c r="AW131" i="7"/>
  <c r="AB131" i="7"/>
  <c r="C131" i="7"/>
  <c r="AG130" i="7"/>
  <c r="L130" i="7"/>
  <c r="AM129" i="7"/>
  <c r="R129" i="7"/>
  <c r="AO128" i="7"/>
  <c r="X128" i="7"/>
  <c r="D128" i="7"/>
  <c r="AK127" i="7"/>
  <c r="V127" i="7"/>
  <c r="G127" i="7"/>
  <c r="AQ126" i="7"/>
  <c r="AA126" i="7"/>
  <c r="K126" i="7"/>
  <c r="AU125" i="7"/>
  <c r="AG125" i="7"/>
  <c r="P125" i="7"/>
  <c r="BA124" i="7"/>
  <c r="AM124" i="7"/>
  <c r="Z124" i="7"/>
  <c r="L124" i="7"/>
  <c r="AV123" i="7"/>
  <c r="AI123" i="7"/>
  <c r="U123" i="7"/>
  <c r="G123" i="7"/>
  <c r="AR122" i="7"/>
  <c r="AD122" i="7"/>
  <c r="Q122" i="7"/>
  <c r="BA121" i="7"/>
  <c r="AM121" i="7"/>
  <c r="AA121" i="7"/>
  <c r="P121" i="7"/>
  <c r="E121" i="7"/>
  <c r="AS120" i="7"/>
  <c r="AG120" i="7"/>
  <c r="V120" i="7"/>
  <c r="K120" i="7"/>
  <c r="AY119" i="7"/>
  <c r="AN119" i="7"/>
  <c r="AC119" i="7"/>
  <c r="S119" i="7"/>
  <c r="I119" i="7"/>
  <c r="AX118" i="7"/>
  <c r="AN118" i="7"/>
  <c r="AD118" i="7"/>
  <c r="T118" i="7"/>
  <c r="J118" i="7"/>
  <c r="AY117" i="7"/>
  <c r="AO117" i="7"/>
  <c r="AE117" i="7"/>
  <c r="U117" i="7"/>
  <c r="K117" i="7"/>
  <c r="AZ116" i="7"/>
  <c r="AP116" i="7"/>
  <c r="AF116" i="7"/>
  <c r="V116" i="7"/>
  <c r="L116" i="7"/>
  <c r="BA115" i="7"/>
  <c r="AQ115" i="7"/>
  <c r="AG115" i="7"/>
  <c r="W115" i="7"/>
  <c r="M115" i="7"/>
  <c r="C115" i="7"/>
  <c r="AR114" i="7"/>
  <c r="AH114" i="7"/>
  <c r="X114" i="7"/>
  <c r="N114" i="7"/>
  <c r="D114" i="7"/>
  <c r="AS113" i="7"/>
  <c r="AI113" i="7"/>
  <c r="Y113" i="7"/>
  <c r="O113" i="7"/>
  <c r="E113" i="7"/>
  <c r="AT112" i="7"/>
  <c r="AJ112" i="7"/>
  <c r="Z112" i="7"/>
  <c r="P112" i="7"/>
  <c r="F112" i="7"/>
  <c r="AU111" i="7"/>
  <c r="AK111" i="7"/>
  <c r="AA111" i="7"/>
  <c r="Q111" i="7"/>
  <c r="G111" i="7"/>
  <c r="AV110" i="7"/>
  <c r="AL110" i="7"/>
  <c r="AB110" i="7"/>
  <c r="R110" i="7"/>
  <c r="H110" i="7"/>
  <c r="AW109" i="7"/>
  <c r="AM109" i="7"/>
  <c r="AC109" i="7"/>
  <c r="S109" i="7"/>
  <c r="I109" i="7"/>
  <c r="AX108" i="7"/>
  <c r="AN108" i="7"/>
  <c r="AD108" i="7"/>
  <c r="T108" i="7"/>
  <c r="J108" i="7"/>
  <c r="AY107" i="7"/>
  <c r="AO107" i="7"/>
  <c r="AE107" i="7"/>
  <c r="U107" i="7"/>
  <c r="K107" i="7"/>
  <c r="AZ106" i="7"/>
  <c r="AP106" i="7"/>
  <c r="AF106" i="7"/>
  <c r="V106" i="7"/>
  <c r="L106" i="7"/>
  <c r="BA105" i="7"/>
  <c r="AQ105" i="7"/>
  <c r="AG105" i="7"/>
  <c r="W105" i="7"/>
  <c r="M105" i="7"/>
  <c r="C105" i="7"/>
  <c r="AR104" i="7"/>
  <c r="AH104" i="7"/>
  <c r="X104" i="7"/>
  <c r="N104" i="7"/>
  <c r="D104" i="7"/>
  <c r="AS103" i="7"/>
  <c r="AI103" i="7"/>
  <c r="Y103" i="7"/>
  <c r="O103" i="7"/>
  <c r="E103" i="7"/>
  <c r="AT102" i="7"/>
  <c r="AJ102" i="7"/>
  <c r="Z102" i="7"/>
  <c r="P102" i="7"/>
  <c r="F102" i="7"/>
  <c r="AU101" i="7"/>
  <c r="AK101" i="7"/>
  <c r="AA101" i="7"/>
  <c r="Q101" i="7"/>
  <c r="G101" i="7"/>
  <c r="AV100" i="7"/>
  <c r="AL100" i="7"/>
  <c r="AB100" i="7"/>
  <c r="R100" i="7"/>
  <c r="H100" i="7"/>
  <c r="AW99" i="7"/>
  <c r="AM99" i="7"/>
  <c r="AC99" i="7"/>
  <c r="S99" i="7"/>
  <c r="I99" i="7"/>
  <c r="AX98" i="7"/>
  <c r="AN98" i="7"/>
  <c r="AD98" i="7"/>
  <c r="T98" i="7"/>
  <c r="J98" i="7"/>
  <c r="AY97" i="7"/>
  <c r="AO97" i="7"/>
  <c r="AE97" i="7"/>
  <c r="U97" i="7"/>
  <c r="K97" i="7"/>
  <c r="AZ96" i="7"/>
  <c r="AP96" i="7"/>
  <c r="AF96" i="7"/>
  <c r="V96" i="7"/>
  <c r="L96" i="7"/>
  <c r="BA95" i="7"/>
  <c r="AQ95" i="7"/>
  <c r="AG95" i="7"/>
  <c r="W95" i="7"/>
  <c r="M95" i="7"/>
  <c r="C95" i="7"/>
  <c r="AR94" i="7"/>
  <c r="AH94" i="7"/>
  <c r="X94" i="7"/>
  <c r="N94" i="7"/>
  <c r="D94" i="7"/>
  <c r="AS93" i="7"/>
  <c r="AI93" i="7"/>
  <c r="Y93" i="7"/>
  <c r="O93" i="7"/>
  <c r="E93" i="7"/>
  <c r="AT92" i="7"/>
  <c r="AJ92" i="7"/>
  <c r="Z92" i="7"/>
  <c r="P92" i="7"/>
  <c r="F92" i="7"/>
  <c r="AU91" i="7"/>
  <c r="AK91" i="7"/>
  <c r="AA91" i="7"/>
  <c r="Q91" i="7"/>
  <c r="G91" i="7"/>
  <c r="AV90" i="7"/>
  <c r="AL90" i="7"/>
  <c r="AB90" i="7"/>
  <c r="R90" i="7"/>
  <c r="H90" i="7"/>
  <c r="AW89" i="7"/>
  <c r="AR244" i="7"/>
  <c r="O229" i="7"/>
  <c r="AS216" i="7"/>
  <c r="AF208" i="7"/>
  <c r="AR203" i="7"/>
  <c r="AP197" i="7"/>
  <c r="AI193" i="7"/>
  <c r="AG191" i="7"/>
  <c r="AO188" i="7"/>
  <c r="BA185" i="7"/>
  <c r="T184" i="7"/>
  <c r="AN182" i="7"/>
  <c r="H181" i="7"/>
  <c r="AS179" i="7"/>
  <c r="N178" i="7"/>
  <c r="AG176" i="7"/>
  <c r="S175" i="7"/>
  <c r="AM173" i="7"/>
  <c r="G172" i="7"/>
  <c r="AS170" i="7"/>
  <c r="Y169" i="7"/>
  <c r="E168" i="7"/>
  <c r="D167" i="7"/>
  <c r="AW165" i="7"/>
  <c r="AS164" i="7"/>
  <c r="BA163" i="7"/>
  <c r="AW162" i="7"/>
  <c r="AR161" i="7"/>
  <c r="AX160" i="7"/>
  <c r="AS159" i="7"/>
  <c r="AO158" i="7"/>
  <c r="D158" i="7"/>
  <c r="J157" i="7"/>
  <c r="I156" i="7"/>
  <c r="Y155" i="7"/>
  <c r="W154" i="7"/>
  <c r="AD153" i="7"/>
  <c r="AS152" i="7"/>
  <c r="AV151" i="7"/>
  <c r="E151" i="7"/>
  <c r="U150" i="7"/>
  <c r="AC149" i="7"/>
  <c r="AN148" i="7"/>
  <c r="D148" i="7"/>
  <c r="L147" i="7"/>
  <c r="P146" i="7"/>
  <c r="AI145" i="7"/>
  <c r="AT144" i="7"/>
  <c r="BA143" i="7"/>
  <c r="R143" i="7"/>
  <c r="AC142" i="7"/>
  <c r="AL141" i="7"/>
  <c r="G141" i="7"/>
  <c r="T140" i="7"/>
  <c r="AN139" i="7"/>
  <c r="I139" i="7"/>
  <c r="Z138" i="7"/>
  <c r="AY137" i="7"/>
  <c r="S137" i="7"/>
  <c r="AT136" i="7"/>
  <c r="R136" i="7"/>
  <c r="AU135" i="7"/>
  <c r="Z135" i="7"/>
  <c r="BA134" i="7"/>
  <c r="AF134" i="7"/>
  <c r="G134" i="7"/>
  <c r="AK133" i="7"/>
  <c r="M133" i="7"/>
  <c r="AP132" i="7"/>
  <c r="U132" i="7"/>
  <c r="AV131" i="7"/>
  <c r="AA131" i="7"/>
  <c r="AX130" i="7"/>
  <c r="AF130" i="7"/>
  <c r="D130" i="7"/>
  <c r="AH129" i="7"/>
  <c r="Q129" i="7"/>
  <c r="AN128" i="7"/>
  <c r="W128" i="7"/>
  <c r="C128" i="7"/>
  <c r="AI127" i="7"/>
  <c r="U127" i="7"/>
  <c r="E127" i="7"/>
  <c r="AP126" i="7"/>
  <c r="Y126" i="7"/>
  <c r="J126" i="7"/>
  <c r="AT125" i="7"/>
  <c r="AF125" i="7"/>
  <c r="N125" i="7"/>
  <c r="AZ124" i="7"/>
  <c r="AL124" i="7"/>
  <c r="Y124" i="7"/>
  <c r="I124" i="7"/>
  <c r="AU123" i="7"/>
  <c r="AH123" i="7"/>
  <c r="T123" i="7"/>
  <c r="E123" i="7"/>
  <c r="AP122" i="7"/>
  <c r="AC122" i="7"/>
  <c r="P122" i="7"/>
  <c r="AY121" i="7"/>
  <c r="AL121" i="7"/>
  <c r="Z121" i="7"/>
  <c r="O121" i="7"/>
  <c r="D121" i="7"/>
  <c r="AQ120" i="7"/>
  <c r="AF120" i="7"/>
  <c r="U120" i="7"/>
  <c r="J120" i="7"/>
  <c r="AX119" i="7"/>
  <c r="AM119" i="7"/>
  <c r="AB119" i="7"/>
  <c r="R119" i="7"/>
  <c r="H119" i="7"/>
  <c r="AW118" i="7"/>
  <c r="AM118" i="7"/>
  <c r="AC118" i="7"/>
  <c r="S118" i="7"/>
  <c r="I118" i="7"/>
  <c r="AX117" i="7"/>
  <c r="AN117" i="7"/>
  <c r="AD117" i="7"/>
  <c r="T117" i="7"/>
  <c r="J117" i="7"/>
  <c r="AY116" i="7"/>
  <c r="AO116" i="7"/>
  <c r="AE116" i="7"/>
  <c r="U116" i="7"/>
  <c r="K116" i="7"/>
  <c r="AZ115" i="7"/>
  <c r="AP115" i="7"/>
  <c r="AF115" i="7"/>
  <c r="V115" i="7"/>
  <c r="L115" i="7"/>
  <c r="BA114" i="7"/>
  <c r="AQ114" i="7"/>
  <c r="AG114" i="7"/>
  <c r="W114" i="7"/>
  <c r="M114" i="7"/>
  <c r="C114" i="7"/>
  <c r="AR113" i="7"/>
  <c r="AH113" i="7"/>
  <c r="X113" i="7"/>
  <c r="N113" i="7"/>
  <c r="D113" i="7"/>
  <c r="AS112" i="7"/>
  <c r="AI112" i="7"/>
  <c r="Y112" i="7"/>
  <c r="O112" i="7"/>
  <c r="E112" i="7"/>
  <c r="AT111" i="7"/>
  <c r="AJ111" i="7"/>
  <c r="Z111" i="7"/>
  <c r="P111" i="7"/>
  <c r="F111" i="7"/>
  <c r="AU110" i="7"/>
  <c r="AK110" i="7"/>
  <c r="AA110" i="7"/>
  <c r="Q110" i="7"/>
  <c r="G110" i="7"/>
  <c r="AV109" i="7"/>
  <c r="AL109" i="7"/>
  <c r="AB109" i="7"/>
  <c r="R109" i="7"/>
  <c r="H109" i="7"/>
  <c r="AW108" i="7"/>
  <c r="AM108" i="7"/>
  <c r="AC108" i="7"/>
  <c r="S108" i="7"/>
  <c r="I108" i="7"/>
  <c r="AX107" i="7"/>
  <c r="AN107" i="7"/>
  <c r="AD107" i="7"/>
  <c r="T107" i="7"/>
  <c r="J107" i="7"/>
  <c r="AY106" i="7"/>
  <c r="AO106" i="7"/>
  <c r="AE106" i="7"/>
  <c r="U106" i="7"/>
  <c r="K106" i="7"/>
  <c r="AZ105" i="7"/>
  <c r="AP105" i="7"/>
  <c r="AF105" i="7"/>
  <c r="V105" i="7"/>
  <c r="L105" i="7"/>
  <c r="BA104" i="7"/>
  <c r="AQ104" i="7"/>
  <c r="AG104" i="7"/>
  <c r="W104" i="7"/>
  <c r="M104" i="7"/>
  <c r="C104" i="7"/>
  <c r="AR103" i="7"/>
  <c r="AH103" i="7"/>
  <c r="X103" i="7"/>
  <c r="N103" i="7"/>
  <c r="D103" i="7"/>
  <c r="AS102" i="7"/>
  <c r="AI102" i="7"/>
  <c r="Y102" i="7"/>
  <c r="O102" i="7"/>
  <c r="E102" i="7"/>
  <c r="AT101" i="7"/>
  <c r="AJ101" i="7"/>
  <c r="AI241" i="7"/>
  <c r="BA223" i="7"/>
  <c r="T216" i="7"/>
  <c r="AO207" i="7"/>
  <c r="E202" i="7"/>
  <c r="AO197" i="7"/>
  <c r="AD193" i="7"/>
  <c r="AD190" i="7"/>
  <c r="Q188" i="7"/>
  <c r="AH185" i="7"/>
  <c r="AT183" i="7"/>
  <c r="AE182" i="7"/>
  <c r="AY180" i="7"/>
  <c r="P179" i="7"/>
  <c r="K178" i="7"/>
  <c r="AB176" i="7"/>
  <c r="AV174" i="7"/>
  <c r="Z173" i="7"/>
  <c r="AQ171" i="7"/>
  <c r="V170" i="7"/>
  <c r="V169" i="7"/>
  <c r="BA167" i="7"/>
  <c r="AL166" i="7"/>
  <c r="AV165" i="7"/>
  <c r="AQ164" i="7"/>
  <c r="AM163" i="7"/>
  <c r="AR162" i="7"/>
  <c r="AN161" i="7"/>
  <c r="AI160" i="7"/>
  <c r="AQ159" i="7"/>
  <c r="AL158" i="7"/>
  <c r="AK157" i="7"/>
  <c r="BA156" i="7"/>
  <c r="H156" i="7"/>
  <c r="J155" i="7"/>
  <c r="V154" i="7"/>
  <c r="AC153" i="7"/>
  <c r="AF152" i="7"/>
  <c r="AQ151" i="7"/>
  <c r="AZ150" i="7"/>
  <c r="I150" i="7"/>
  <c r="AA149" i="7"/>
  <c r="AF148" i="7"/>
  <c r="AQ147" i="7"/>
  <c r="K147" i="7"/>
  <c r="O146" i="7"/>
  <c r="Z145" i="7"/>
  <c r="AS144" i="7"/>
  <c r="AW143" i="7"/>
  <c r="I143" i="7"/>
  <c r="AB142" i="7"/>
  <c r="AK141" i="7"/>
  <c r="E141" i="7"/>
  <c r="S140" i="7"/>
  <c r="AM139" i="7"/>
  <c r="AZ138" i="7"/>
  <c r="X138" i="7"/>
  <c r="AW137" i="7"/>
  <c r="Q137" i="7"/>
  <c r="AS136" i="7"/>
  <c r="Q136" i="7"/>
  <c r="AT135" i="7"/>
  <c r="V135" i="7"/>
  <c r="AZ134" i="7"/>
  <c r="AD134" i="7"/>
  <c r="F134" i="7"/>
  <c r="AJ133" i="7"/>
  <c r="H133" i="7"/>
  <c r="AO132" i="7"/>
  <c r="N132" i="7"/>
  <c r="AQ131" i="7"/>
  <c r="Z131" i="7"/>
  <c r="AW130" i="7"/>
  <c r="AB130" i="7"/>
  <c r="C130" i="7"/>
  <c r="AG129" i="7"/>
  <c r="I129" i="7"/>
  <c r="AM128" i="7"/>
  <c r="S128" i="7"/>
  <c r="AZ127" i="7"/>
  <c r="AH127" i="7"/>
  <c r="T127" i="7"/>
  <c r="D127" i="7"/>
  <c r="AN126" i="7"/>
  <c r="W126" i="7"/>
  <c r="H126" i="7"/>
  <c r="AS125" i="7"/>
  <c r="AB125" i="7"/>
  <c r="M125" i="7"/>
  <c r="AX124" i="7"/>
  <c r="AK124" i="7"/>
  <c r="W124" i="7"/>
  <c r="H124" i="7"/>
  <c r="AT123" i="7"/>
  <c r="AG123" i="7"/>
  <c r="R123" i="7"/>
  <c r="D123" i="7"/>
  <c r="AO122" i="7"/>
  <c r="AB122" i="7"/>
  <c r="N122" i="7"/>
  <c r="AX121" i="7"/>
  <c r="AK121" i="7"/>
  <c r="Y121" i="7"/>
  <c r="N121" i="7"/>
  <c r="BA120" i="7"/>
  <c r="AP120" i="7"/>
  <c r="AE120" i="7"/>
  <c r="T120" i="7"/>
  <c r="I120" i="7"/>
  <c r="AW119" i="7"/>
  <c r="AL119" i="7"/>
  <c r="AA119" i="7"/>
  <c r="Q119" i="7"/>
  <c r="G119" i="7"/>
  <c r="AV118" i="7"/>
  <c r="AL118" i="7"/>
  <c r="AB118" i="7"/>
  <c r="R118" i="7"/>
  <c r="H118" i="7"/>
  <c r="AW117" i="7"/>
  <c r="AM117" i="7"/>
  <c r="AC117" i="7"/>
  <c r="S117" i="7"/>
  <c r="I117" i="7"/>
  <c r="AX116" i="7"/>
  <c r="AN116" i="7"/>
  <c r="AD116" i="7"/>
  <c r="T116" i="7"/>
  <c r="J116" i="7"/>
  <c r="AY115" i="7"/>
  <c r="AO115" i="7"/>
  <c r="AE115" i="7"/>
  <c r="U115" i="7"/>
  <c r="K115" i="7"/>
  <c r="AZ114" i="7"/>
  <c r="AP114" i="7"/>
  <c r="AF114" i="7"/>
  <c r="V114" i="7"/>
  <c r="L114" i="7"/>
  <c r="BA113" i="7"/>
  <c r="AQ113" i="7"/>
  <c r="AG113" i="7"/>
  <c r="W113" i="7"/>
  <c r="M113" i="7"/>
  <c r="C113" i="7"/>
  <c r="AR112" i="7"/>
  <c r="AH112" i="7"/>
  <c r="X112" i="7"/>
  <c r="N112" i="7"/>
  <c r="D112" i="7"/>
  <c r="AS111" i="7"/>
  <c r="AI111" i="7"/>
  <c r="Y111" i="7"/>
  <c r="O111" i="7"/>
  <c r="E111" i="7"/>
  <c r="AT110" i="7"/>
  <c r="AJ110" i="7"/>
  <c r="Z110" i="7"/>
  <c r="P110" i="7"/>
  <c r="F110" i="7"/>
  <c r="AU109" i="7"/>
  <c r="AK109" i="7"/>
  <c r="AA109" i="7"/>
  <c r="Q109" i="7"/>
  <c r="G109" i="7"/>
  <c r="AV108" i="7"/>
  <c r="AL108" i="7"/>
  <c r="AB108" i="7"/>
  <c r="R108" i="7"/>
  <c r="H108" i="7"/>
  <c r="AW107" i="7"/>
  <c r="AM107" i="7"/>
  <c r="AC107" i="7"/>
  <c r="S107" i="7"/>
  <c r="I107" i="7"/>
  <c r="AX106" i="7"/>
  <c r="AN106" i="7"/>
  <c r="AD106" i="7"/>
  <c r="T106" i="7"/>
  <c r="J106" i="7"/>
  <c r="AY105" i="7"/>
  <c r="AO105" i="7"/>
  <c r="AE105" i="7"/>
  <c r="U105" i="7"/>
  <c r="K105" i="7"/>
  <c r="AZ104" i="7"/>
  <c r="AP104" i="7"/>
  <c r="AF104" i="7"/>
  <c r="V104" i="7"/>
  <c r="L104" i="7"/>
  <c r="BA103" i="7"/>
  <c r="AQ103" i="7"/>
  <c r="AD241" i="7"/>
  <c r="AZ223" i="7"/>
  <c r="AF215" i="7"/>
  <c r="AM207" i="7"/>
  <c r="AD201" i="7"/>
  <c r="AM197" i="7"/>
  <c r="AB193" i="7"/>
  <c r="AC190" i="7"/>
  <c r="M188" i="7"/>
  <c r="AG185" i="7"/>
  <c r="AP183" i="7"/>
  <c r="AD182" i="7"/>
  <c r="AW180" i="7"/>
  <c r="O179" i="7"/>
  <c r="D178" i="7"/>
  <c r="W176" i="7"/>
  <c r="AN174" i="7"/>
  <c r="V173" i="7"/>
  <c r="AP171" i="7"/>
  <c r="U170" i="7"/>
  <c r="O169" i="7"/>
  <c r="AT167" i="7"/>
  <c r="AH166" i="7"/>
  <c r="AU165" i="7"/>
  <c r="AP164" i="7"/>
  <c r="AL163" i="7"/>
  <c r="AP162" i="7"/>
  <c r="AL161" i="7"/>
  <c r="AG160" i="7"/>
  <c r="AP159" i="7"/>
  <c r="AK158" i="7"/>
  <c r="AJ157" i="7"/>
  <c r="AY156" i="7"/>
  <c r="G156" i="7"/>
  <c r="AK239" i="7"/>
  <c r="X223" i="7"/>
  <c r="C213" i="7"/>
  <c r="AD207" i="7"/>
  <c r="AC201" i="7"/>
  <c r="T196" i="7"/>
  <c r="F193" i="7"/>
  <c r="G190" i="7"/>
  <c r="R187" i="7"/>
  <c r="X185" i="7"/>
  <c r="AM183" i="7"/>
  <c r="G182" i="7"/>
  <c r="AS180" i="7"/>
  <c r="N179" i="7"/>
  <c r="AH177" i="7"/>
  <c r="P176" i="7"/>
  <c r="AI174" i="7"/>
  <c r="AZ172" i="7"/>
  <c r="AN171" i="7"/>
  <c r="S170" i="7"/>
  <c r="AU168" i="7"/>
  <c r="AS167" i="7"/>
  <c r="AG166" i="7"/>
  <c r="AB165" i="7"/>
  <c r="AG164" i="7"/>
  <c r="AC163" i="7"/>
  <c r="X162" i="7"/>
  <c r="AF161" i="7"/>
  <c r="AA160" i="7"/>
  <c r="W159" i="7"/>
  <c r="AI158" i="7"/>
  <c r="AI157" i="7"/>
  <c r="AO156" i="7"/>
  <c r="F156" i="7"/>
  <c r="J239" i="7"/>
  <c r="AL222" i="7"/>
  <c r="AX212" i="7"/>
  <c r="F207" i="7"/>
  <c r="AA201" i="7"/>
  <c r="AZ195" i="7"/>
  <c r="AZ192" i="7"/>
  <c r="AX189" i="7"/>
  <c r="N187" i="7"/>
  <c r="Q185" i="7"/>
  <c r="AE183" i="7"/>
  <c r="AY181" i="7"/>
  <c r="AR180" i="7"/>
  <c r="M179" i="7"/>
  <c r="AF177" i="7"/>
  <c r="M176" i="7"/>
  <c r="AD174" i="7"/>
  <c r="AX172" i="7"/>
  <c r="AL171" i="7"/>
  <c r="O170" i="7"/>
  <c r="AT168" i="7"/>
  <c r="AR167" i="7"/>
  <c r="AE166" i="7"/>
  <c r="AA165" i="7"/>
  <c r="AF164" i="7"/>
  <c r="AB163" i="7"/>
  <c r="W162" i="7"/>
  <c r="AE161" i="7"/>
  <c r="Z160" i="7"/>
  <c r="V159" i="7"/>
  <c r="AE158" i="7"/>
  <c r="AH157" i="7"/>
  <c r="AG156" i="7"/>
  <c r="AV155" i="7"/>
  <c r="D155" i="7"/>
  <c r="F154" i="7"/>
  <c r="R153" i="7"/>
  <c r="X152" i="7"/>
  <c r="AB151" i="7"/>
  <c r="AP150" i="7"/>
  <c r="BA149" i="7"/>
  <c r="J149" i="7"/>
  <c r="AB148" i="7"/>
  <c r="AG147" i="7"/>
  <c r="AR146" i="7"/>
  <c r="L146" i="7"/>
  <c r="P145" i="7"/>
  <c r="AA144" i="7"/>
  <c r="AT143" i="7"/>
  <c r="AX142" i="7"/>
  <c r="J142" i="7"/>
  <c r="AD141" i="7"/>
  <c r="AN140" i="7"/>
  <c r="L140" i="7"/>
  <c r="V139" i="7"/>
  <c r="AQ138" i="7"/>
  <c r="U138" i="7"/>
  <c r="AI137" i="7"/>
  <c r="K137" i="7"/>
  <c r="AH136" i="7"/>
  <c r="J136" i="7"/>
  <c r="AJ135" i="7"/>
  <c r="O135" i="7"/>
  <c r="AS134" i="7"/>
  <c r="T134" i="7"/>
  <c r="AX133" i="7"/>
  <c r="Z133" i="7"/>
  <c r="E133" i="7"/>
  <c r="AE132" i="7"/>
  <c r="J132" i="7"/>
  <c r="AN131" i="7"/>
  <c r="P131" i="7"/>
  <c r="AT130" i="7"/>
  <c r="U130" i="7"/>
  <c r="AY129" i="7"/>
  <c r="W129" i="7"/>
  <c r="E129" i="7"/>
  <c r="AI128" i="7"/>
  <c r="M128" i="7"/>
  <c r="AS127" i="7"/>
  <c r="AE127" i="7"/>
  <c r="O127" i="7"/>
  <c r="AX126" i="7"/>
  <c r="AH126" i="7"/>
  <c r="T126" i="7"/>
  <c r="E126" i="7"/>
  <c r="AL125" i="7"/>
  <c r="X125" i="7"/>
  <c r="I125" i="7"/>
  <c r="AU124" i="7"/>
  <c r="AF124" i="7"/>
  <c r="R124" i="7"/>
  <c r="E124" i="7"/>
  <c r="AQ123" i="7"/>
  <c r="AA123" i="7"/>
  <c r="N123" i="7"/>
  <c r="AY122" i="7"/>
  <c r="AL122" i="7"/>
  <c r="V122" i="7"/>
  <c r="I122" i="7"/>
  <c r="AU121" i="7"/>
  <c r="AH121" i="7"/>
  <c r="U121" i="7"/>
  <c r="J121" i="7"/>
  <c r="AX120" i="7"/>
  <c r="AM120" i="7"/>
  <c r="AB120" i="7"/>
  <c r="Q120" i="7"/>
  <c r="F120" i="7"/>
  <c r="AT119" i="7"/>
  <c r="AH119" i="7"/>
  <c r="X119" i="7"/>
  <c r="N119" i="7"/>
  <c r="D119" i="7"/>
  <c r="AS118" i="7"/>
  <c r="AI118" i="7"/>
  <c r="Y118" i="7"/>
  <c r="O118" i="7"/>
  <c r="E118" i="7"/>
  <c r="AT117" i="7"/>
  <c r="AJ117" i="7"/>
  <c r="Z117" i="7"/>
  <c r="P117" i="7"/>
  <c r="F117" i="7"/>
  <c r="AU116" i="7"/>
  <c r="AK116" i="7"/>
  <c r="AA116" i="7"/>
  <c r="Q116" i="7"/>
  <c r="G116" i="7"/>
  <c r="AV115" i="7"/>
  <c r="AL115" i="7"/>
  <c r="AB115" i="7"/>
  <c r="R115" i="7"/>
  <c r="H115" i="7"/>
  <c r="AW114" i="7"/>
  <c r="AM114" i="7"/>
  <c r="AC114" i="7"/>
  <c r="S114" i="7"/>
  <c r="I114" i="7"/>
  <c r="AX113" i="7"/>
  <c r="AN113" i="7"/>
  <c r="AD113" i="7"/>
  <c r="T113" i="7"/>
  <c r="J113" i="7"/>
  <c r="AY112" i="7"/>
  <c r="AO112" i="7"/>
  <c r="AE112" i="7"/>
  <c r="U112" i="7"/>
  <c r="K112" i="7"/>
  <c r="AZ111" i="7"/>
  <c r="AP111" i="7"/>
  <c r="AF111" i="7"/>
  <c r="V111" i="7"/>
  <c r="L111" i="7"/>
  <c r="BA110" i="7"/>
  <c r="AQ110" i="7"/>
  <c r="AG110" i="7"/>
  <c r="W110" i="7"/>
  <c r="M110" i="7"/>
  <c r="C110" i="7"/>
  <c r="AR109" i="7"/>
  <c r="AH109" i="7"/>
  <c r="X109" i="7"/>
  <c r="N109" i="7"/>
  <c r="D109" i="7"/>
  <c r="AS108" i="7"/>
  <c r="AI108" i="7"/>
  <c r="Y108" i="7"/>
  <c r="O108" i="7"/>
  <c r="E108" i="7"/>
  <c r="X233" i="7"/>
  <c r="N222" i="7"/>
  <c r="AC212" i="7"/>
  <c r="P205" i="7"/>
  <c r="AG200" i="7"/>
  <c r="R195" i="7"/>
  <c r="O192" i="7"/>
  <c r="AV189" i="7"/>
  <c r="L187" i="7"/>
  <c r="AP184" i="7"/>
  <c r="AD183" i="7"/>
  <c r="AX181" i="7"/>
  <c r="O180" i="7"/>
  <c r="AY178" i="7"/>
  <c r="Q177" i="7"/>
  <c r="AK175" i="7"/>
  <c r="U174" i="7"/>
  <c r="AO172" i="7"/>
  <c r="L171" i="7"/>
  <c r="M170" i="7"/>
  <c r="AR168" i="7"/>
  <c r="X167" i="7"/>
  <c r="W166" i="7"/>
  <c r="R165" i="7"/>
  <c r="M164" i="7"/>
  <c r="X163" i="7"/>
  <c r="T162" i="7"/>
  <c r="M232" i="7"/>
  <c r="AH204" i="7"/>
  <c r="AJ191" i="7"/>
  <c r="AC183" i="7"/>
  <c r="U178" i="7"/>
  <c r="AO173" i="7"/>
  <c r="AK168" i="7"/>
  <c r="O165" i="7"/>
  <c r="M162" i="7"/>
  <c r="T159" i="7"/>
  <c r="M157" i="7"/>
  <c r="E155" i="7"/>
  <c r="AW153" i="7"/>
  <c r="N152" i="7"/>
  <c r="AT150" i="7"/>
  <c r="AE149" i="7"/>
  <c r="L148" i="7"/>
  <c r="AS146" i="7"/>
  <c r="AR145" i="7"/>
  <c r="R144" i="7"/>
  <c r="C143" i="7"/>
  <c r="AX141" i="7"/>
  <c r="AL140" i="7"/>
  <c r="AG139" i="7"/>
  <c r="AD138" i="7"/>
  <c r="AG137" i="7"/>
  <c r="AI136" i="7"/>
  <c r="AW135" i="7"/>
  <c r="M135" i="7"/>
  <c r="V134" i="7"/>
  <c r="AM133" i="7"/>
  <c r="C133" i="7"/>
  <c r="K132" i="7"/>
  <c r="AC131" i="7"/>
  <c r="AK130" i="7"/>
  <c r="AZ129" i="7"/>
  <c r="S129" i="7"/>
  <c r="AB128" i="7"/>
  <c r="AT127" i="7"/>
  <c r="W127" i="7"/>
  <c r="AU126" i="7"/>
  <c r="U126" i="7"/>
  <c r="AV125" i="7"/>
  <c r="V125" i="7"/>
  <c r="AV124" i="7"/>
  <c r="AA124" i="7"/>
  <c r="C124" i="7"/>
  <c r="AC123" i="7"/>
  <c r="I123" i="7"/>
  <c r="AH122" i="7"/>
  <c r="J122" i="7"/>
  <c r="AN121" i="7"/>
  <c r="S121" i="7"/>
  <c r="AY120" i="7"/>
  <c r="AI120" i="7"/>
  <c r="O120" i="7"/>
  <c r="AU119" i="7"/>
  <c r="AD119" i="7"/>
  <c r="L119" i="7"/>
  <c r="AT118" i="7"/>
  <c r="AE118" i="7"/>
  <c r="M118" i="7"/>
  <c r="AU117" i="7"/>
  <c r="AF117" i="7"/>
  <c r="N117" i="7"/>
  <c r="AV116" i="7"/>
  <c r="AG116" i="7"/>
  <c r="O116" i="7"/>
  <c r="AW115" i="7"/>
  <c r="AH115" i="7"/>
  <c r="P115" i="7"/>
  <c r="AX114" i="7"/>
  <c r="AI114" i="7"/>
  <c r="Q114" i="7"/>
  <c r="AY113" i="7"/>
  <c r="AJ113" i="7"/>
  <c r="R113" i="7"/>
  <c r="AZ112" i="7"/>
  <c r="AK112" i="7"/>
  <c r="S112" i="7"/>
  <c r="BA111" i="7"/>
  <c r="AL111" i="7"/>
  <c r="T111" i="7"/>
  <c r="C111" i="7"/>
  <c r="AM110" i="7"/>
  <c r="U110" i="7"/>
  <c r="D110" i="7"/>
  <c r="AN109" i="7"/>
  <c r="V109" i="7"/>
  <c r="E109" i="7"/>
  <c r="AO108" i="7"/>
  <c r="W108" i="7"/>
  <c r="F108" i="7"/>
  <c r="AQ107" i="7"/>
  <c r="AA107" i="7"/>
  <c r="N107" i="7"/>
  <c r="AW106" i="7"/>
  <c r="AJ106" i="7"/>
  <c r="W106" i="7"/>
  <c r="G106" i="7"/>
  <c r="AS105" i="7"/>
  <c r="AC105" i="7"/>
  <c r="P105" i="7"/>
  <c r="AY104" i="7"/>
  <c r="AL104" i="7"/>
  <c r="Y104" i="7"/>
  <c r="I104" i="7"/>
  <c r="AU103" i="7"/>
  <c r="AF103" i="7"/>
  <c r="T103" i="7"/>
  <c r="H103" i="7"/>
  <c r="AU102" i="7"/>
  <c r="AG102" i="7"/>
  <c r="U102" i="7"/>
  <c r="I102" i="7"/>
  <c r="AV101" i="7"/>
  <c r="AH101" i="7"/>
  <c r="W101" i="7"/>
  <c r="L101" i="7"/>
  <c r="AZ100" i="7"/>
  <c r="AO100" i="7"/>
  <c r="AD100" i="7"/>
  <c r="S100" i="7"/>
  <c r="G100" i="7"/>
  <c r="AU99" i="7"/>
  <c r="AJ99" i="7"/>
  <c r="Y99" i="7"/>
  <c r="N99" i="7"/>
  <c r="C99" i="7"/>
  <c r="AQ98" i="7"/>
  <c r="AF98" i="7"/>
  <c r="U98" i="7"/>
  <c r="I98" i="7"/>
  <c r="AW97" i="7"/>
  <c r="AL97" i="7"/>
  <c r="AA97" i="7"/>
  <c r="P97" i="7"/>
  <c r="E97" i="7"/>
  <c r="AS96" i="7"/>
  <c r="AH96" i="7"/>
  <c r="W96" i="7"/>
  <c r="K96" i="7"/>
  <c r="AY95" i="7"/>
  <c r="AN95" i="7"/>
  <c r="AC95" i="7"/>
  <c r="R95" i="7"/>
  <c r="G95" i="7"/>
  <c r="AU94" i="7"/>
  <c r="AJ94" i="7"/>
  <c r="Y94" i="7"/>
  <c r="M94" i="7"/>
  <c r="BA93" i="7"/>
  <c r="AP93" i="7"/>
  <c r="AE93" i="7"/>
  <c r="T93" i="7"/>
  <c r="I93" i="7"/>
  <c r="AW92" i="7"/>
  <c r="AL92" i="7"/>
  <c r="AA92" i="7"/>
  <c r="O92" i="7"/>
  <c r="D92" i="7"/>
  <c r="AR91" i="7"/>
  <c r="AG91" i="7"/>
  <c r="V91" i="7"/>
  <c r="K91" i="7"/>
  <c r="AY90" i="7"/>
  <c r="AN90" i="7"/>
  <c r="AC90" i="7"/>
  <c r="Q90" i="7"/>
  <c r="F90" i="7"/>
  <c r="AT89" i="7"/>
  <c r="AJ89" i="7"/>
  <c r="Z89" i="7"/>
  <c r="P89" i="7"/>
  <c r="F89" i="7"/>
  <c r="AU88" i="7"/>
  <c r="AK88" i="7"/>
  <c r="AA88" i="7"/>
  <c r="Q88" i="7"/>
  <c r="G88" i="7"/>
  <c r="AV87" i="7"/>
  <c r="AL87" i="7"/>
  <c r="AB87" i="7"/>
  <c r="R87" i="7"/>
  <c r="H87" i="7"/>
  <c r="AW86" i="7"/>
  <c r="AM86" i="7"/>
  <c r="AC86" i="7"/>
  <c r="S86" i="7"/>
  <c r="I86" i="7"/>
  <c r="AX85" i="7"/>
  <c r="AN85" i="7"/>
  <c r="AD85" i="7"/>
  <c r="T85" i="7"/>
  <c r="J85" i="7"/>
  <c r="AY84" i="7"/>
  <c r="AO84" i="7"/>
  <c r="AE84" i="7"/>
  <c r="U84" i="7"/>
  <c r="K84" i="7"/>
  <c r="AZ83" i="7"/>
  <c r="AP83" i="7"/>
  <c r="AF83" i="7"/>
  <c r="V83" i="7"/>
  <c r="L83" i="7"/>
  <c r="BA82" i="7"/>
  <c r="AQ82" i="7"/>
  <c r="AG82" i="7"/>
  <c r="W82" i="7"/>
  <c r="M82" i="7"/>
  <c r="C82" i="7"/>
  <c r="AR81" i="7"/>
  <c r="AH81" i="7"/>
  <c r="X81" i="7"/>
  <c r="N81" i="7"/>
  <c r="D81" i="7"/>
  <c r="AS80" i="7"/>
  <c r="AI80" i="7"/>
  <c r="Y80" i="7"/>
  <c r="O80" i="7"/>
  <c r="E80" i="7"/>
  <c r="AT79" i="7"/>
  <c r="AJ79" i="7"/>
  <c r="Z79" i="7"/>
  <c r="P79" i="7"/>
  <c r="F79" i="7"/>
  <c r="AU78" i="7"/>
  <c r="AK78" i="7"/>
  <c r="AA78" i="7"/>
  <c r="Q78" i="7"/>
  <c r="G78" i="7"/>
  <c r="AV77" i="7"/>
  <c r="AL77" i="7"/>
  <c r="AB77" i="7"/>
  <c r="R77" i="7"/>
  <c r="H77" i="7"/>
  <c r="AW76" i="7"/>
  <c r="AM76" i="7"/>
  <c r="AC76" i="7"/>
  <c r="S76" i="7"/>
  <c r="I76" i="7"/>
  <c r="AX75" i="7"/>
  <c r="AN75" i="7"/>
  <c r="AD75" i="7"/>
  <c r="T75" i="7"/>
  <c r="J75" i="7"/>
  <c r="AY74" i="7"/>
  <c r="AO74" i="7"/>
  <c r="AE74" i="7"/>
  <c r="U74" i="7"/>
  <c r="K74" i="7"/>
  <c r="AZ73" i="7"/>
  <c r="AP73" i="7"/>
  <c r="AF73" i="7"/>
  <c r="V73" i="7"/>
  <c r="L73" i="7"/>
  <c r="BA72" i="7"/>
  <c r="AQ72" i="7"/>
  <c r="AG72" i="7"/>
  <c r="W72" i="7"/>
  <c r="M72" i="7"/>
  <c r="C72" i="7"/>
  <c r="AR71" i="7"/>
  <c r="AH71" i="7"/>
  <c r="X71" i="7"/>
  <c r="N71" i="7"/>
  <c r="D71" i="7"/>
  <c r="AS70" i="7"/>
  <c r="AI70" i="7"/>
  <c r="Y70" i="7"/>
  <c r="O70" i="7"/>
  <c r="E70" i="7"/>
  <c r="AT69" i="7"/>
  <c r="AJ69" i="7"/>
  <c r="Z69" i="7"/>
  <c r="P69" i="7"/>
  <c r="F69" i="7"/>
  <c r="AU68" i="7"/>
  <c r="AK68" i="7"/>
  <c r="AA68" i="7"/>
  <c r="AL231" i="7"/>
  <c r="S204" i="7"/>
  <c r="AT189" i="7"/>
  <c r="F183" i="7"/>
  <c r="Q178" i="7"/>
  <c r="AN172" i="7"/>
  <c r="AG168" i="7"/>
  <c r="N165" i="7"/>
  <c r="O161" i="7"/>
  <c r="K159" i="7"/>
  <c r="AE156" i="7"/>
  <c r="BA154" i="7"/>
  <c r="AB153" i="7"/>
  <c r="H152" i="7"/>
  <c r="AD150" i="7"/>
  <c r="W149" i="7"/>
  <c r="K148" i="7"/>
  <c r="AQ146" i="7"/>
  <c r="Y145" i="7"/>
  <c r="Q144" i="7"/>
  <c r="AW142" i="7"/>
  <c r="AI141" i="7"/>
  <c r="AJ140" i="7"/>
  <c r="U139" i="7"/>
  <c r="W138" i="7"/>
  <c r="AF137" i="7"/>
  <c r="AG136" i="7"/>
  <c r="AS135" i="7"/>
  <c r="L135" i="7"/>
  <c r="S134" i="7"/>
  <c r="AI133" i="7"/>
  <c r="AT132" i="7"/>
  <c r="I132" i="7"/>
  <c r="R131" i="7"/>
  <c r="AJ130" i="7"/>
  <c r="AX129" i="7"/>
  <c r="H129" i="7"/>
  <c r="Z128" i="7"/>
  <c r="AR127" i="7"/>
  <c r="S127" i="7"/>
  <c r="AS126" i="7"/>
  <c r="R126" i="7"/>
  <c r="AR125" i="7"/>
  <c r="U125" i="7"/>
  <c r="AS124" i="7"/>
  <c r="T124" i="7"/>
  <c r="AY123" i="7"/>
  <c r="Z123" i="7"/>
  <c r="C123" i="7"/>
  <c r="AF122" i="7"/>
  <c r="H122" i="7"/>
  <c r="AJ121" i="7"/>
  <c r="R121" i="7"/>
  <c r="AW120" i="7"/>
  <c r="AD120" i="7"/>
  <c r="M120" i="7"/>
  <c r="AR119" i="7"/>
  <c r="Z119" i="7"/>
  <c r="K119" i="7"/>
  <c r="AR118" i="7"/>
  <c r="AA118" i="7"/>
  <c r="L118" i="7"/>
  <c r="AS117" i="7"/>
  <c r="AB117" i="7"/>
  <c r="M117" i="7"/>
  <c r="AT116" i="7"/>
  <c r="AC116" i="7"/>
  <c r="N116" i="7"/>
  <c r="AU115" i="7"/>
  <c r="AD115" i="7"/>
  <c r="O115" i="7"/>
  <c r="AV114" i="7"/>
  <c r="AE114" i="7"/>
  <c r="P114" i="7"/>
  <c r="AW113" i="7"/>
  <c r="AF113" i="7"/>
  <c r="Q113" i="7"/>
  <c r="AX112" i="7"/>
  <c r="AG112" i="7"/>
  <c r="R112" i="7"/>
  <c r="AY111" i="7"/>
  <c r="AH111" i="7"/>
  <c r="S111" i="7"/>
  <c r="AZ110" i="7"/>
  <c r="AI110" i="7"/>
  <c r="T110" i="7"/>
  <c r="BA109" i="7"/>
  <c r="AJ109" i="7"/>
  <c r="U109" i="7"/>
  <c r="C109" i="7"/>
  <c r="AK108" i="7"/>
  <c r="V108" i="7"/>
  <c r="D108" i="7"/>
  <c r="AP107" i="7"/>
  <c r="Z107" i="7"/>
  <c r="M107" i="7"/>
  <c r="AV106" i="7"/>
  <c r="AI106" i="7"/>
  <c r="S106" i="7"/>
  <c r="F106" i="7"/>
  <c r="AR105" i="7"/>
  <c r="AB105" i="7"/>
  <c r="O105" i="7"/>
  <c r="AX104" i="7"/>
  <c r="AK104" i="7"/>
  <c r="U104" i="7"/>
  <c r="H104" i="7"/>
  <c r="AT103" i="7"/>
  <c r="AE103" i="7"/>
  <c r="S103" i="7"/>
  <c r="G103" i="7"/>
  <c r="AR102" i="7"/>
  <c r="AF102" i="7"/>
  <c r="T102" i="7"/>
  <c r="H102" i="7"/>
  <c r="AS101" i="7"/>
  <c r="AG101" i="7"/>
  <c r="V101" i="7"/>
  <c r="K101" i="7"/>
  <c r="AY100" i="7"/>
  <c r="AN100" i="7"/>
  <c r="AC100" i="7"/>
  <c r="Q100" i="7"/>
  <c r="F100" i="7"/>
  <c r="AT99" i="7"/>
  <c r="AI99" i="7"/>
  <c r="X99" i="7"/>
  <c r="M99" i="7"/>
  <c r="BA98" i="7"/>
  <c r="AP98" i="7"/>
  <c r="AE98" i="7"/>
  <c r="S98" i="7"/>
  <c r="H98" i="7"/>
  <c r="AV97" i="7"/>
  <c r="AK97" i="7"/>
  <c r="Z97" i="7"/>
  <c r="O97" i="7"/>
  <c r="D97" i="7"/>
  <c r="AR96" i="7"/>
  <c r="AG96" i="7"/>
  <c r="U96" i="7"/>
  <c r="J96" i="7"/>
  <c r="AX95" i="7"/>
  <c r="AM95" i="7"/>
  <c r="AB95" i="7"/>
  <c r="Q95" i="7"/>
  <c r="F95" i="7"/>
  <c r="AT94" i="7"/>
  <c r="AI94" i="7"/>
  <c r="W94" i="7"/>
  <c r="L94" i="7"/>
  <c r="AZ93" i="7"/>
  <c r="AO93" i="7"/>
  <c r="AD93" i="7"/>
  <c r="S93" i="7"/>
  <c r="H93" i="7"/>
  <c r="AV92" i="7"/>
  <c r="AK92" i="7"/>
  <c r="Y92" i="7"/>
  <c r="N92" i="7"/>
  <c r="C92" i="7"/>
  <c r="AQ91" i="7"/>
  <c r="AF91" i="7"/>
  <c r="U91" i="7"/>
  <c r="J91" i="7"/>
  <c r="AX90" i="7"/>
  <c r="AM90" i="7"/>
  <c r="AA90" i="7"/>
  <c r="P90" i="7"/>
  <c r="E90" i="7"/>
  <c r="AS89" i="7"/>
  <c r="AI89" i="7"/>
  <c r="Y89" i="7"/>
  <c r="O89" i="7"/>
  <c r="E89" i="7"/>
  <c r="AT88" i="7"/>
  <c r="AJ88" i="7"/>
  <c r="Z88" i="7"/>
  <c r="P88" i="7"/>
  <c r="F88" i="7"/>
  <c r="AU87" i="7"/>
  <c r="AK87" i="7"/>
  <c r="AA87" i="7"/>
  <c r="Q87" i="7"/>
  <c r="G87" i="7"/>
  <c r="AV86" i="7"/>
  <c r="AL86" i="7"/>
  <c r="AB86" i="7"/>
  <c r="R86" i="7"/>
  <c r="H86" i="7"/>
  <c r="AW85" i="7"/>
  <c r="AM85" i="7"/>
  <c r="AC85" i="7"/>
  <c r="S85" i="7"/>
  <c r="I85" i="7"/>
  <c r="AX84" i="7"/>
  <c r="AN84" i="7"/>
  <c r="AD84" i="7"/>
  <c r="T84" i="7"/>
  <c r="J84" i="7"/>
  <c r="AY83" i="7"/>
  <c r="AO83" i="7"/>
  <c r="AE83" i="7"/>
  <c r="U83" i="7"/>
  <c r="K83" i="7"/>
  <c r="AZ82" i="7"/>
  <c r="AP82" i="7"/>
  <c r="AF82" i="7"/>
  <c r="V82" i="7"/>
  <c r="L82" i="7"/>
  <c r="BA81" i="7"/>
  <c r="AQ81" i="7"/>
  <c r="AG81" i="7"/>
  <c r="W81" i="7"/>
  <c r="M81" i="7"/>
  <c r="C81" i="7"/>
  <c r="AR80" i="7"/>
  <c r="AH80" i="7"/>
  <c r="X80" i="7"/>
  <c r="N80" i="7"/>
  <c r="D80" i="7"/>
  <c r="AS79" i="7"/>
  <c r="AE231" i="7"/>
  <c r="AB200" i="7"/>
  <c r="AW188" i="7"/>
  <c r="AX182" i="7"/>
  <c r="P177" i="7"/>
  <c r="AM172" i="7"/>
  <c r="AE168" i="7"/>
  <c r="L164" i="7"/>
  <c r="K161" i="7"/>
  <c r="J159" i="7"/>
  <c r="AD156" i="7"/>
  <c r="AZ154" i="7"/>
  <c r="S153" i="7"/>
  <c r="C152" i="7"/>
  <c r="AC150" i="7"/>
  <c r="K149" i="7"/>
  <c r="J148" i="7"/>
  <c r="AP146" i="7"/>
  <c r="Q145" i="7"/>
  <c r="P144" i="7"/>
  <c r="AV142" i="7"/>
  <c r="AE141" i="7"/>
  <c r="AF140" i="7"/>
  <c r="T139" i="7"/>
  <c r="V138" i="7"/>
  <c r="AE137" i="7"/>
  <c r="AF136" i="7"/>
  <c r="AR135" i="7"/>
  <c r="D135" i="7"/>
  <c r="R134" i="7"/>
  <c r="AA133" i="7"/>
  <c r="AS132" i="7"/>
  <c r="H132" i="7"/>
  <c r="Q131" i="7"/>
  <c r="AH130" i="7"/>
  <c r="AS129" i="7"/>
  <c r="G129" i="7"/>
  <c r="Y128" i="7"/>
  <c r="AQ127" i="7"/>
  <c r="P127" i="7"/>
  <c r="AR126" i="7"/>
  <c r="Q126" i="7"/>
  <c r="AO125" i="7"/>
  <c r="R125" i="7"/>
  <c r="AQ124" i="7"/>
  <c r="S124" i="7"/>
  <c r="AW123" i="7"/>
  <c r="Y123" i="7"/>
  <c r="AZ122" i="7"/>
  <c r="AE122" i="7"/>
  <c r="G122" i="7"/>
  <c r="AI121" i="7"/>
  <c r="Q121" i="7"/>
  <c r="AV120" i="7"/>
  <c r="AC120" i="7"/>
  <c r="L120" i="7"/>
  <c r="AQ119" i="7"/>
  <c r="Y119" i="7"/>
  <c r="J119" i="7"/>
  <c r="AQ118" i="7"/>
  <c r="Z118" i="7"/>
  <c r="K118" i="7"/>
  <c r="AR117" i="7"/>
  <c r="AA117" i="7"/>
  <c r="L117" i="7"/>
  <c r="AS116" i="7"/>
  <c r="AB116" i="7"/>
  <c r="M116" i="7"/>
  <c r="AT115" i="7"/>
  <c r="AC115" i="7"/>
  <c r="N115" i="7"/>
  <c r="AU114" i="7"/>
  <c r="AD114" i="7"/>
  <c r="O114" i="7"/>
  <c r="AV113" i="7"/>
  <c r="AE113" i="7"/>
  <c r="P113" i="7"/>
  <c r="AW112" i="7"/>
  <c r="AF112" i="7"/>
  <c r="Q112" i="7"/>
  <c r="AX111" i="7"/>
  <c r="AG111" i="7"/>
  <c r="R111" i="7"/>
  <c r="AY110" i="7"/>
  <c r="AH110" i="7"/>
  <c r="S110" i="7"/>
  <c r="AZ109" i="7"/>
  <c r="AI109" i="7"/>
  <c r="T109" i="7"/>
  <c r="BA108" i="7"/>
  <c r="AJ108" i="7"/>
  <c r="U108" i="7"/>
  <c r="C108" i="7"/>
  <c r="AL107" i="7"/>
  <c r="Y107" i="7"/>
  <c r="L107" i="7"/>
  <c r="AU106" i="7"/>
  <c r="AH106" i="7"/>
  <c r="R106" i="7"/>
  <c r="E106" i="7"/>
  <c r="AN105" i="7"/>
  <c r="AA105" i="7"/>
  <c r="N105" i="7"/>
  <c r="AW104" i="7"/>
  <c r="AJ104" i="7"/>
  <c r="T104" i="7"/>
  <c r="G104" i="7"/>
  <c r="AP103" i="7"/>
  <c r="AD103" i="7"/>
  <c r="R103" i="7"/>
  <c r="F103" i="7"/>
  <c r="AQ102" i="7"/>
  <c r="AE102" i="7"/>
  <c r="S102" i="7"/>
  <c r="G102" i="7"/>
  <c r="AR101" i="7"/>
  <c r="AF101" i="7"/>
  <c r="U101" i="7"/>
  <c r="J101" i="7"/>
  <c r="AX100" i="7"/>
  <c r="AM100" i="7"/>
  <c r="AA100" i="7"/>
  <c r="P100" i="7"/>
  <c r="E100" i="7"/>
  <c r="AS99" i="7"/>
  <c r="AH99" i="7"/>
  <c r="W99" i="7"/>
  <c r="L99" i="7"/>
  <c r="AZ98" i="7"/>
  <c r="AO98" i="7"/>
  <c r="AC98" i="7"/>
  <c r="R98" i="7"/>
  <c r="G98" i="7"/>
  <c r="AU97" i="7"/>
  <c r="AJ97" i="7"/>
  <c r="Y97" i="7"/>
  <c r="N97" i="7"/>
  <c r="C97" i="7"/>
  <c r="AQ96" i="7"/>
  <c r="AE96" i="7"/>
  <c r="T96" i="7"/>
  <c r="I96" i="7"/>
  <c r="AW95" i="7"/>
  <c r="AL95" i="7"/>
  <c r="AA95" i="7"/>
  <c r="P95" i="7"/>
  <c r="E95" i="7"/>
  <c r="AS94" i="7"/>
  <c r="AG94" i="7"/>
  <c r="V94" i="7"/>
  <c r="K94" i="7"/>
  <c r="AY93" i="7"/>
  <c r="AN93" i="7"/>
  <c r="AC93" i="7"/>
  <c r="R93" i="7"/>
  <c r="G93" i="7"/>
  <c r="AU92" i="7"/>
  <c r="AI92" i="7"/>
  <c r="X92" i="7"/>
  <c r="M92" i="7"/>
  <c r="BA91" i="7"/>
  <c r="AP91" i="7"/>
  <c r="AE91" i="7"/>
  <c r="T91" i="7"/>
  <c r="I91" i="7"/>
  <c r="AW90" i="7"/>
  <c r="AK90" i="7"/>
  <c r="Z90" i="7"/>
  <c r="O90" i="7"/>
  <c r="D90" i="7"/>
  <c r="AR89" i="7"/>
  <c r="AH89" i="7"/>
  <c r="X89" i="7"/>
  <c r="N89" i="7"/>
  <c r="D89" i="7"/>
  <c r="AS88" i="7"/>
  <c r="AI88" i="7"/>
  <c r="Y88" i="7"/>
  <c r="O88" i="7"/>
  <c r="E88" i="7"/>
  <c r="AT87" i="7"/>
  <c r="AJ87" i="7"/>
  <c r="Z87" i="7"/>
  <c r="P87" i="7"/>
  <c r="F87" i="7"/>
  <c r="AU86" i="7"/>
  <c r="AK86" i="7"/>
  <c r="AA86" i="7"/>
  <c r="Q86" i="7"/>
  <c r="G86" i="7"/>
  <c r="AV85" i="7"/>
  <c r="AL85" i="7"/>
  <c r="AB85" i="7"/>
  <c r="R85" i="7"/>
  <c r="H85" i="7"/>
  <c r="AW84" i="7"/>
  <c r="AM84" i="7"/>
  <c r="AC84" i="7"/>
  <c r="S84" i="7"/>
  <c r="I84" i="7"/>
  <c r="AX83" i="7"/>
  <c r="AN83" i="7"/>
  <c r="AD83" i="7"/>
  <c r="T83" i="7"/>
  <c r="J83" i="7"/>
  <c r="AY82" i="7"/>
  <c r="AO82" i="7"/>
  <c r="AE82" i="7"/>
  <c r="L222" i="7"/>
  <c r="AC198" i="7"/>
  <c r="AU188" i="7"/>
  <c r="AV181" i="7"/>
  <c r="L177" i="7"/>
  <c r="AK172" i="7"/>
  <c r="R167" i="7"/>
  <c r="J164" i="7"/>
  <c r="J161" i="7"/>
  <c r="Q158" i="7"/>
  <c r="AC156" i="7"/>
  <c r="AI154" i="7"/>
  <c r="H153" i="7"/>
  <c r="AP151" i="7"/>
  <c r="AB150" i="7"/>
  <c r="I149" i="7"/>
  <c r="AP147" i="7"/>
  <c r="AH146" i="7"/>
  <c r="O145" i="7"/>
  <c r="AV143" i="7"/>
  <c r="AJ142" i="7"/>
  <c r="AC141" i="7"/>
  <c r="R140" i="7"/>
  <c r="S139" i="7"/>
  <c r="K138" i="7"/>
  <c r="P137" i="7"/>
  <c r="AD136" i="7"/>
  <c r="AI135" i="7"/>
  <c r="AX134" i="7"/>
  <c r="Q134" i="7"/>
  <c r="Y133" i="7"/>
  <c r="AK132" i="7"/>
  <c r="D132" i="7"/>
  <c r="O131" i="7"/>
  <c r="AA130" i="7"/>
  <c r="AO129" i="7"/>
  <c r="AZ128" i="7"/>
  <c r="R128" i="7"/>
  <c r="AP127" i="7"/>
  <c r="M127" i="7"/>
  <c r="AK126" i="7"/>
  <c r="O126" i="7"/>
  <c r="AK125" i="7"/>
  <c r="L125" i="7"/>
  <c r="AP124" i="7"/>
  <c r="Q124" i="7"/>
  <c r="AS123" i="7"/>
  <c r="X123" i="7"/>
  <c r="AX122" i="7"/>
  <c r="AA122" i="7"/>
  <c r="F122" i="7"/>
  <c r="AF121" i="7"/>
  <c r="L121" i="7"/>
  <c r="AU120" i="7"/>
  <c r="AA120" i="7"/>
  <c r="H120" i="7"/>
  <c r="AP119" i="7"/>
  <c r="W119" i="7"/>
  <c r="F119" i="7"/>
  <c r="AP118" i="7"/>
  <c r="X118" i="7"/>
  <c r="G118" i="7"/>
  <c r="AQ117" i="7"/>
  <c r="Y117" i="7"/>
  <c r="H117" i="7"/>
  <c r="AR116" i="7"/>
  <c r="Z116" i="7"/>
  <c r="I116" i="7"/>
  <c r="AS115" i="7"/>
  <c r="AA115" i="7"/>
  <c r="J115" i="7"/>
  <c r="AT114" i="7"/>
  <c r="AB114" i="7"/>
  <c r="K114" i="7"/>
  <c r="AU113" i="7"/>
  <c r="AC113" i="7"/>
  <c r="L113" i="7"/>
  <c r="AV112" i="7"/>
  <c r="AD112" i="7"/>
  <c r="H219" i="7"/>
  <c r="R198" i="7"/>
  <c r="J187" i="7"/>
  <c r="AG181" i="7"/>
  <c r="E177" i="7"/>
  <c r="K171" i="7"/>
  <c r="N167" i="7"/>
  <c r="I164" i="7"/>
  <c r="I161" i="7"/>
  <c r="P158" i="7"/>
  <c r="AB156" i="7"/>
  <c r="AG154" i="7"/>
  <c r="C153" i="7"/>
  <c r="AC151" i="7"/>
  <c r="Z150" i="7"/>
  <c r="G149" i="7"/>
  <c r="AO147" i="7"/>
  <c r="AG146" i="7"/>
  <c r="N145" i="7"/>
  <c r="AU143" i="7"/>
  <c r="AH142" i="7"/>
  <c r="R141" i="7"/>
  <c r="P140" i="7"/>
  <c r="Q139" i="7"/>
  <c r="J138" i="7"/>
  <c r="O137" i="7"/>
  <c r="AB136" i="7"/>
  <c r="AH135" i="7"/>
  <c r="AT134" i="7"/>
  <c r="M134" i="7"/>
  <c r="X133" i="7"/>
  <c r="AJ132" i="7"/>
  <c r="AX131" i="7"/>
  <c r="J131" i="7"/>
  <c r="V130" i="7"/>
  <c r="AN129" i="7"/>
  <c r="AY128" i="7"/>
  <c r="O128" i="7"/>
  <c r="AO127" i="7"/>
  <c r="K127" i="7"/>
  <c r="AJ126" i="7"/>
  <c r="L126" i="7"/>
  <c r="AJ125" i="7"/>
  <c r="K125" i="7"/>
  <c r="AN124" i="7"/>
  <c r="P124" i="7"/>
  <c r="AR123" i="7"/>
  <c r="W123" i="7"/>
  <c r="AW122" i="7"/>
  <c r="Y122" i="7"/>
  <c r="E122" i="7"/>
  <c r="AD121" i="7"/>
  <c r="K121" i="7"/>
  <c r="AT120" i="7"/>
  <c r="Z120" i="7"/>
  <c r="G120" i="7"/>
  <c r="AO119" i="7"/>
  <c r="V119" i="7"/>
  <c r="E119" i="7"/>
  <c r="AO118" i="7"/>
  <c r="W118" i="7"/>
  <c r="F118" i="7"/>
  <c r="AP117" i="7"/>
  <c r="X117" i="7"/>
  <c r="G117" i="7"/>
  <c r="AQ116" i="7"/>
  <c r="Y116" i="7"/>
  <c r="H116" i="7"/>
  <c r="AR115" i="7"/>
  <c r="Z115" i="7"/>
  <c r="I115" i="7"/>
  <c r="AS114" i="7"/>
  <c r="AA114" i="7"/>
  <c r="J114" i="7"/>
  <c r="AT113" i="7"/>
  <c r="AB113" i="7"/>
  <c r="K113" i="7"/>
  <c r="AU112" i="7"/>
  <c r="AC112" i="7"/>
  <c r="L112" i="7"/>
  <c r="AV111" i="7"/>
  <c r="AD111" i="7"/>
  <c r="M111" i="7"/>
  <c r="AW110" i="7"/>
  <c r="AE110" i="7"/>
  <c r="AK261" i="7"/>
  <c r="AO210" i="7"/>
  <c r="E192" i="7"/>
  <c r="AL184" i="7"/>
  <c r="AZ179" i="7"/>
  <c r="T174" i="7"/>
  <c r="AO169" i="7"/>
  <c r="E166" i="7"/>
  <c r="O162" i="7"/>
  <c r="D160" i="7"/>
  <c r="AD157" i="7"/>
  <c r="AA155" i="7"/>
  <c r="AY153" i="7"/>
  <c r="Y152" i="7"/>
  <c r="S151" i="7"/>
  <c r="AU149" i="7"/>
  <c r="AD148" i="7"/>
  <c r="N147" i="7"/>
  <c r="AT145" i="7"/>
  <c r="AB144" i="7"/>
  <c r="AA143" i="7"/>
  <c r="D142" i="7"/>
  <c r="AV140" i="7"/>
  <c r="AW139" i="7"/>
  <c r="AO138" i="7"/>
  <c r="AK137" i="7"/>
  <c r="AV136" i="7"/>
  <c r="G136" i="7"/>
  <c r="P135" i="7"/>
  <c r="AH134" i="7"/>
  <c r="AO133" i="7"/>
  <c r="F133" i="7"/>
  <c r="X132" i="7"/>
  <c r="AE131" i="7"/>
  <c r="AU130" i="7"/>
  <c r="M130" i="7"/>
  <c r="U129" i="7"/>
  <c r="AJ128" i="7"/>
  <c r="E128" i="7"/>
  <c r="AA127" i="7"/>
  <c r="AZ126" i="7"/>
  <c r="AD126" i="7"/>
  <c r="AY125" i="7"/>
  <c r="Y125" i="7"/>
  <c r="C125" i="7"/>
  <c r="AC124" i="7"/>
  <c r="F124" i="7"/>
  <c r="AJ123" i="7"/>
  <c r="K123" i="7"/>
  <c r="AM122" i="7"/>
  <c r="R122" i="7"/>
  <c r="AS121" i="7"/>
  <c r="V121" i="7"/>
  <c r="F121" i="7"/>
  <c r="AK120" i="7"/>
  <c r="R120" i="7"/>
  <c r="AZ119" i="7"/>
  <c r="AF119" i="7"/>
  <c r="O119" i="7"/>
  <c r="AY118" i="7"/>
  <c r="AG118" i="7"/>
  <c r="P118" i="7"/>
  <c r="AZ117" i="7"/>
  <c r="AH117" i="7"/>
  <c r="Q117" i="7"/>
  <c r="BA116" i="7"/>
  <c r="AI116" i="7"/>
  <c r="R116" i="7"/>
  <c r="C116" i="7"/>
  <c r="AJ115" i="7"/>
  <c r="S115" i="7"/>
  <c r="D115" i="7"/>
  <c r="AK114" i="7"/>
  <c r="T114" i="7"/>
  <c r="E114" i="7"/>
  <c r="AL113" i="7"/>
  <c r="U113" i="7"/>
  <c r="F113" i="7"/>
  <c r="AM112" i="7"/>
  <c r="V112" i="7"/>
  <c r="G112" i="7"/>
  <c r="AN111" i="7"/>
  <c r="W111" i="7"/>
  <c r="H111" i="7"/>
  <c r="AO110" i="7"/>
  <c r="X110" i="7"/>
  <c r="I110" i="7"/>
  <c r="AP109" i="7"/>
  <c r="Y109" i="7"/>
  <c r="J109" i="7"/>
  <c r="AQ108" i="7"/>
  <c r="Z108" i="7"/>
  <c r="K108" i="7"/>
  <c r="AS107" i="7"/>
  <c r="AF107" i="7"/>
  <c r="P107" i="7"/>
  <c r="C107" i="7"/>
  <c r="AL106" i="7"/>
  <c r="Y106" i="7"/>
  <c r="I106" i="7"/>
  <c r="AU105" i="7"/>
  <c r="AH105" i="7"/>
  <c r="R105" i="7"/>
  <c r="E105" i="7"/>
  <c r="AN104" i="7"/>
  <c r="AA104" i="7"/>
  <c r="K104" i="7"/>
  <c r="AW103" i="7"/>
  <c r="AJ103" i="7"/>
  <c r="V103" i="7"/>
  <c r="J103" i="7"/>
  <c r="AW102" i="7"/>
  <c r="AK102" i="7"/>
  <c r="W102" i="7"/>
  <c r="K102" i="7"/>
  <c r="AX101" i="7"/>
  <c r="AL101" i="7"/>
  <c r="Y101" i="7"/>
  <c r="N101" i="7"/>
  <c r="C101" i="7"/>
  <c r="AQ100" i="7"/>
  <c r="AF100" i="7"/>
  <c r="U100" i="7"/>
  <c r="J100" i="7"/>
  <c r="AX99" i="7"/>
  <c r="AL99" i="7"/>
  <c r="AA99" i="7"/>
  <c r="P99" i="7"/>
  <c r="E99" i="7"/>
  <c r="AS98" i="7"/>
  <c r="AH98" i="7"/>
  <c r="W98" i="7"/>
  <c r="L98" i="7"/>
  <c r="AZ97" i="7"/>
  <c r="AN97" i="7"/>
  <c r="AC97" i="7"/>
  <c r="R97" i="7"/>
  <c r="G97" i="7"/>
  <c r="AU96" i="7"/>
  <c r="AJ96" i="7"/>
  <c r="Y96" i="7"/>
  <c r="N96" i="7"/>
  <c r="C96" i="7"/>
  <c r="AP95" i="7"/>
  <c r="AE95" i="7"/>
  <c r="T95" i="7"/>
  <c r="I95" i="7"/>
  <c r="AW94" i="7"/>
  <c r="AL94" i="7"/>
  <c r="AA94" i="7"/>
  <c r="P94" i="7"/>
  <c r="E94" i="7"/>
  <c r="AR93" i="7"/>
  <c r="AG93" i="7"/>
  <c r="V93" i="7"/>
  <c r="K93" i="7"/>
  <c r="AY92" i="7"/>
  <c r="AN92" i="7"/>
  <c r="AC92" i="7"/>
  <c r="R92" i="7"/>
  <c r="G92" i="7"/>
  <c r="AT91" i="7"/>
  <c r="AI91" i="7"/>
  <c r="X91" i="7"/>
  <c r="M91" i="7"/>
  <c r="BA90" i="7"/>
  <c r="AP90" i="7"/>
  <c r="AE90" i="7"/>
  <c r="T90" i="7"/>
  <c r="I90" i="7"/>
  <c r="AV89" i="7"/>
  <c r="AL89" i="7"/>
  <c r="AB89" i="7"/>
  <c r="R89" i="7"/>
  <c r="H89" i="7"/>
  <c r="AW88" i="7"/>
  <c r="AM88" i="7"/>
  <c r="AC88" i="7"/>
  <c r="S88" i="7"/>
  <c r="I88" i="7"/>
  <c r="AX87" i="7"/>
  <c r="AN87" i="7"/>
  <c r="AD87" i="7"/>
  <c r="T87" i="7"/>
  <c r="J87" i="7"/>
  <c r="AY86" i="7"/>
  <c r="AO86" i="7"/>
  <c r="AE86" i="7"/>
  <c r="U86" i="7"/>
  <c r="K86" i="7"/>
  <c r="AZ85" i="7"/>
  <c r="AP85" i="7"/>
  <c r="AF85" i="7"/>
  <c r="V85" i="7"/>
  <c r="L85" i="7"/>
  <c r="BA84" i="7"/>
  <c r="AQ84" i="7"/>
  <c r="AG84" i="7"/>
  <c r="W84" i="7"/>
  <c r="M84" i="7"/>
  <c r="C84" i="7"/>
  <c r="AR83" i="7"/>
  <c r="AH83" i="7"/>
  <c r="X83" i="7"/>
  <c r="N83" i="7"/>
  <c r="D83" i="7"/>
  <c r="AS82" i="7"/>
  <c r="AI82" i="7"/>
  <c r="Y82" i="7"/>
  <c r="O82" i="7"/>
  <c r="E82" i="7"/>
  <c r="AT81" i="7"/>
  <c r="AU211" i="7"/>
  <c r="AD184" i="7"/>
  <c r="I171" i="7"/>
  <c r="N162" i="7"/>
  <c r="AK155" i="7"/>
  <c r="W152" i="7"/>
  <c r="AX148" i="7"/>
  <c r="AS145" i="7"/>
  <c r="N142" i="7"/>
  <c r="AK139" i="7"/>
  <c r="D137" i="7"/>
  <c r="N135" i="7"/>
  <c r="R133" i="7"/>
  <c r="AD131" i="7"/>
  <c r="AE129" i="7"/>
  <c r="AU127" i="7"/>
  <c r="AF126" i="7"/>
  <c r="W125" i="7"/>
  <c r="N124" i="7"/>
  <c r="J123" i="7"/>
  <c r="AV121" i="7"/>
  <c r="AZ120" i="7"/>
  <c r="C120" i="7"/>
  <c r="M119" i="7"/>
  <c r="U118" i="7"/>
  <c r="AG117" i="7"/>
  <c r="AL116" i="7"/>
  <c r="AX115" i="7"/>
  <c r="F115" i="7"/>
  <c r="R114" i="7"/>
  <c r="Z113" i="7"/>
  <c r="AL112" i="7"/>
  <c r="AW111" i="7"/>
  <c r="N111" i="7"/>
  <c r="AF110" i="7"/>
  <c r="E110" i="7"/>
  <c r="AD109" i="7"/>
  <c r="AY108" i="7"/>
  <c r="X108" i="7"/>
  <c r="AU107" i="7"/>
  <c r="W107" i="7"/>
  <c r="BA106" i="7"/>
  <c r="AA106" i="7"/>
  <c r="C106" i="7"/>
  <c r="AD105" i="7"/>
  <c r="G105" i="7"/>
  <c r="AE104" i="7"/>
  <c r="J104" i="7"/>
  <c r="AL103" i="7"/>
  <c r="P103" i="7"/>
  <c r="AV102" i="7"/>
  <c r="AA102" i="7"/>
  <c r="C102" i="7"/>
  <c r="AI101" i="7"/>
  <c r="P101" i="7"/>
  <c r="AU100" i="7"/>
  <c r="AE100" i="7"/>
  <c r="L100" i="7"/>
  <c r="AQ99" i="7"/>
  <c r="Z99" i="7"/>
  <c r="G99" i="7"/>
  <c r="AL98" i="7"/>
  <c r="V98" i="7"/>
  <c r="C98" i="7"/>
  <c r="AH97" i="7"/>
  <c r="Q97" i="7"/>
  <c r="AW96" i="7"/>
  <c r="AC96" i="7"/>
  <c r="M96" i="7"/>
  <c r="AS95" i="7"/>
  <c r="Y95" i="7"/>
  <c r="H95" i="7"/>
  <c r="AN94" i="7"/>
  <c r="T94" i="7"/>
  <c r="C94" i="7"/>
  <c r="AJ93" i="7"/>
  <c r="P93" i="7"/>
  <c r="AX92" i="7"/>
  <c r="AE92" i="7"/>
  <c r="K92" i="7"/>
  <c r="AS91" i="7"/>
  <c r="Z91" i="7"/>
  <c r="F91" i="7"/>
  <c r="AO90" i="7"/>
  <c r="V90" i="7"/>
  <c r="BA89" i="7"/>
  <c r="AK89" i="7"/>
  <c r="T89" i="7"/>
  <c r="BA88" i="7"/>
  <c r="AL88" i="7"/>
  <c r="U88" i="7"/>
  <c r="C88" i="7"/>
  <c r="AM87" i="7"/>
  <c r="V87" i="7"/>
  <c r="D87" i="7"/>
  <c r="AN86" i="7"/>
  <c r="W86" i="7"/>
  <c r="E86" i="7"/>
  <c r="AO85" i="7"/>
  <c r="X85" i="7"/>
  <c r="F85" i="7"/>
  <c r="AP84" i="7"/>
  <c r="Y84" i="7"/>
  <c r="G84" i="7"/>
  <c r="AQ83" i="7"/>
  <c r="Z83" i="7"/>
  <c r="H83" i="7"/>
  <c r="AR82" i="7"/>
  <c r="AA82" i="7"/>
  <c r="K82" i="7"/>
  <c r="AW81" i="7"/>
  <c r="AJ81" i="7"/>
  <c r="V81" i="7"/>
  <c r="J81" i="7"/>
  <c r="AW80" i="7"/>
  <c r="AK80" i="7"/>
  <c r="W80" i="7"/>
  <c r="K80" i="7"/>
  <c r="AX79" i="7"/>
  <c r="AL79" i="7"/>
  <c r="AA79" i="7"/>
  <c r="O79" i="7"/>
  <c r="D79" i="7"/>
  <c r="AR78" i="7"/>
  <c r="AG78" i="7"/>
  <c r="V78" i="7"/>
  <c r="K78" i="7"/>
  <c r="AY77" i="7"/>
  <c r="AN77" i="7"/>
  <c r="AC77" i="7"/>
  <c r="Q77" i="7"/>
  <c r="F77" i="7"/>
  <c r="AT76" i="7"/>
  <c r="AI76" i="7"/>
  <c r="X76" i="7"/>
  <c r="M76" i="7"/>
  <c r="BA75" i="7"/>
  <c r="AP75" i="7"/>
  <c r="AE75" i="7"/>
  <c r="S75" i="7"/>
  <c r="H75" i="7"/>
  <c r="AV74" i="7"/>
  <c r="AK74" i="7"/>
  <c r="Z74" i="7"/>
  <c r="O74" i="7"/>
  <c r="D74" i="7"/>
  <c r="AR73" i="7"/>
  <c r="AG73" i="7"/>
  <c r="U73" i="7"/>
  <c r="J73" i="7"/>
  <c r="AX72" i="7"/>
  <c r="AM72" i="7"/>
  <c r="AB72" i="7"/>
  <c r="Q72" i="7"/>
  <c r="F72" i="7"/>
  <c r="AT71" i="7"/>
  <c r="AI71" i="7"/>
  <c r="W71" i="7"/>
  <c r="L71" i="7"/>
  <c r="AZ70" i="7"/>
  <c r="AO70" i="7"/>
  <c r="AD70" i="7"/>
  <c r="S70" i="7"/>
  <c r="H70" i="7"/>
  <c r="AV69" i="7"/>
  <c r="AK69" i="7"/>
  <c r="Y69" i="7"/>
  <c r="N69" i="7"/>
  <c r="C69" i="7"/>
  <c r="AQ68" i="7"/>
  <c r="AF68" i="7"/>
  <c r="U68" i="7"/>
  <c r="K68" i="7"/>
  <c r="AZ67" i="7"/>
  <c r="AP67" i="7"/>
  <c r="AF67" i="7"/>
  <c r="V67" i="7"/>
  <c r="L67" i="7"/>
  <c r="BA66" i="7"/>
  <c r="AQ66" i="7"/>
  <c r="AG66" i="7"/>
  <c r="W66" i="7"/>
  <c r="M66" i="7"/>
  <c r="C66" i="7"/>
  <c r="AR65" i="7"/>
  <c r="AH65" i="7"/>
  <c r="X65" i="7"/>
  <c r="N65" i="7"/>
  <c r="D65" i="7"/>
  <c r="D211" i="7"/>
  <c r="AF181" i="7"/>
  <c r="I170" i="7"/>
  <c r="Y160" i="7"/>
  <c r="AB155" i="7"/>
  <c r="Y151" i="7"/>
  <c r="AE148" i="7"/>
  <c r="AZ144" i="7"/>
  <c r="F142" i="7"/>
  <c r="AY138" i="7"/>
  <c r="C137" i="7"/>
  <c r="AN134" i="7"/>
  <c r="G133" i="7"/>
  <c r="I131" i="7"/>
  <c r="V129" i="7"/>
  <c r="AG127" i="7"/>
  <c r="AE126" i="7"/>
  <c r="H125" i="7"/>
  <c r="G124" i="7"/>
  <c r="AU122" i="7"/>
  <c r="AT121" i="7"/>
  <c r="AO120" i="7"/>
  <c r="BA119" i="7"/>
  <c r="C119" i="7"/>
  <c r="Q118" i="7"/>
  <c r="W117" i="7"/>
  <c r="AJ116" i="7"/>
  <c r="AN115" i="7"/>
  <c r="E115" i="7"/>
  <c r="H114" i="7"/>
  <c r="V113" i="7"/>
  <c r="AB112" i="7"/>
  <c r="AR111" i="7"/>
  <c r="K111" i="7"/>
  <c r="AD110" i="7"/>
  <c r="AY109" i="7"/>
  <c r="Z109" i="7"/>
  <c r="AU108" i="7"/>
  <c r="Q108" i="7"/>
  <c r="AT107" i="7"/>
  <c r="V107" i="7"/>
  <c r="AT106" i="7"/>
  <c r="Z106" i="7"/>
  <c r="AX105" i="7"/>
  <c r="Z105" i="7"/>
  <c r="F105" i="7"/>
  <c r="AD104" i="7"/>
  <c r="F104" i="7"/>
  <c r="AK103" i="7"/>
  <c r="M103" i="7"/>
  <c r="AP102" i="7"/>
  <c r="X102" i="7"/>
  <c r="BA101" i="7"/>
  <c r="AE101" i="7"/>
  <c r="O101" i="7"/>
  <c r="AT100" i="7"/>
  <c r="Z100" i="7"/>
  <c r="K100" i="7"/>
  <c r="AP99" i="7"/>
  <c r="V99" i="7"/>
  <c r="F99" i="7"/>
  <c r="AK98" i="7"/>
  <c r="Q98" i="7"/>
  <c r="BA97" i="7"/>
  <c r="AG97" i="7"/>
  <c r="M97" i="7"/>
  <c r="AV96" i="7"/>
  <c r="AB96" i="7"/>
  <c r="H96" i="7"/>
  <c r="AR95" i="7"/>
  <c r="X95" i="7"/>
  <c r="D95" i="7"/>
  <c r="AM94" i="7"/>
  <c r="S94" i="7"/>
  <c r="AX93" i="7"/>
  <c r="AH93" i="7"/>
  <c r="N93" i="7"/>
  <c r="AS92" i="7"/>
  <c r="AD92" i="7"/>
  <c r="J92" i="7"/>
  <c r="AO91" i="7"/>
  <c r="Y91" i="7"/>
  <c r="E91" i="7"/>
  <c r="AJ90" i="7"/>
  <c r="U90" i="7"/>
  <c r="AZ89" i="7"/>
  <c r="AG89" i="7"/>
  <c r="S89" i="7"/>
  <c r="AZ88" i="7"/>
  <c r="AH88" i="7"/>
  <c r="T88" i="7"/>
  <c r="BA87" i="7"/>
  <c r="AI87" i="7"/>
  <c r="U87" i="7"/>
  <c r="C87" i="7"/>
  <c r="AJ86" i="7"/>
  <c r="V86" i="7"/>
  <c r="D86" i="7"/>
  <c r="AK85" i="7"/>
  <c r="W85" i="7"/>
  <c r="E85" i="7"/>
  <c r="AL84" i="7"/>
  <c r="X84" i="7"/>
  <c r="F84" i="7"/>
  <c r="AM83" i="7"/>
  <c r="Y83" i="7"/>
  <c r="G83" i="7"/>
  <c r="AN82" i="7"/>
  <c r="Z82" i="7"/>
  <c r="J82" i="7"/>
  <c r="AV81" i="7"/>
  <c r="AI81" i="7"/>
  <c r="U81" i="7"/>
  <c r="I81" i="7"/>
  <c r="AV80" i="7"/>
  <c r="AJ80" i="7"/>
  <c r="V80" i="7"/>
  <c r="J80" i="7"/>
  <c r="AW79" i="7"/>
  <c r="AK79" i="7"/>
  <c r="Y79" i="7"/>
  <c r="N79" i="7"/>
  <c r="C79" i="7"/>
  <c r="AQ78" i="7"/>
  <c r="AF78" i="7"/>
  <c r="U78" i="7"/>
  <c r="J78" i="7"/>
  <c r="AX77" i="7"/>
  <c r="AM77" i="7"/>
  <c r="AA77" i="7"/>
  <c r="P77" i="7"/>
  <c r="E77" i="7"/>
  <c r="AS76" i="7"/>
  <c r="AH76" i="7"/>
  <c r="W76" i="7"/>
  <c r="L76" i="7"/>
  <c r="AZ75" i="7"/>
  <c r="AO75" i="7"/>
  <c r="AC75" i="7"/>
  <c r="R75" i="7"/>
  <c r="G75" i="7"/>
  <c r="AU74" i="7"/>
  <c r="AJ74" i="7"/>
  <c r="Y74" i="7"/>
  <c r="N74" i="7"/>
  <c r="C74" i="7"/>
  <c r="AQ73" i="7"/>
  <c r="AE73" i="7"/>
  <c r="T73" i="7"/>
  <c r="I73" i="7"/>
  <c r="AW72" i="7"/>
  <c r="AL72" i="7"/>
  <c r="AA72" i="7"/>
  <c r="P72" i="7"/>
  <c r="E72" i="7"/>
  <c r="AS71" i="7"/>
  <c r="AG71" i="7"/>
  <c r="V71" i="7"/>
  <c r="K71" i="7"/>
  <c r="AY70" i="7"/>
  <c r="AN70" i="7"/>
  <c r="AC70" i="7"/>
  <c r="R70" i="7"/>
  <c r="G70" i="7"/>
  <c r="AU69" i="7"/>
  <c r="AI69" i="7"/>
  <c r="X69" i="7"/>
  <c r="M69" i="7"/>
  <c r="BA68" i="7"/>
  <c r="AP68" i="7"/>
  <c r="AE68" i="7"/>
  <c r="T68" i="7"/>
  <c r="J68" i="7"/>
  <c r="AY67" i="7"/>
  <c r="AO67" i="7"/>
  <c r="AE67" i="7"/>
  <c r="U67" i="7"/>
  <c r="K67" i="7"/>
  <c r="AZ66" i="7"/>
  <c r="AP66" i="7"/>
  <c r="AF66" i="7"/>
  <c r="V66" i="7"/>
  <c r="L66" i="7"/>
  <c r="BA65" i="7"/>
  <c r="AQ65" i="7"/>
  <c r="AG65" i="7"/>
  <c r="W65" i="7"/>
  <c r="M65" i="7"/>
  <c r="C65" i="7"/>
  <c r="O205" i="7"/>
  <c r="N180" i="7"/>
  <c r="AN169" i="7"/>
  <c r="X160" i="7"/>
  <c r="F155" i="7"/>
  <c r="U151" i="7"/>
  <c r="M148" i="7"/>
  <c r="AV144" i="7"/>
  <c r="AY141" i="7"/>
  <c r="AX138" i="7"/>
  <c r="AR136" i="7"/>
  <c r="AM134" i="7"/>
  <c r="D133" i="7"/>
  <c r="H131" i="7"/>
  <c r="T129" i="7"/>
  <c r="AF127" i="7"/>
  <c r="V126" i="7"/>
  <c r="G125" i="7"/>
  <c r="D124" i="7"/>
  <c r="AS122" i="7"/>
  <c r="AP121" i="7"/>
  <c r="AN120" i="7"/>
  <c r="AV119" i="7"/>
  <c r="BA118" i="7"/>
  <c r="N118" i="7"/>
  <c r="V117" i="7"/>
  <c r="AH116" i="7"/>
  <c r="AM115" i="7"/>
  <c r="AY114" i="7"/>
  <c r="G114" i="7"/>
  <c r="S113" i="7"/>
  <c r="AA112" i="7"/>
  <c r="AQ111" i="7"/>
  <c r="J111" i="7"/>
  <c r="AC110" i="7"/>
  <c r="AX109" i="7"/>
  <c r="W109" i="7"/>
  <c r="AT108" i="7"/>
  <c r="P108" i="7"/>
  <c r="AR107" i="7"/>
  <c r="R107" i="7"/>
  <c r="AS106" i="7"/>
  <c r="X106" i="7"/>
  <c r="AW105" i="7"/>
  <c r="Y105" i="7"/>
  <c r="D105" i="7"/>
  <c r="AC104" i="7"/>
  <c r="E104" i="7"/>
  <c r="AG103" i="7"/>
  <c r="L103" i="7"/>
  <c r="AO102" i="7"/>
  <c r="V102" i="7"/>
  <c r="AZ101" i="7"/>
  <c r="AD101" i="7"/>
  <c r="M101" i="7"/>
  <c r="AS100" i="7"/>
  <c r="Y100" i="7"/>
  <c r="I100" i="7"/>
  <c r="AO99" i="7"/>
  <c r="U99" i="7"/>
  <c r="D99" i="7"/>
  <c r="AJ98" i="7"/>
  <c r="P98" i="7"/>
  <c r="AX97" i="7"/>
  <c r="AF97" i="7"/>
  <c r="L97" i="7"/>
  <c r="AT96" i="7"/>
  <c r="AA96" i="7"/>
  <c r="G96" i="7"/>
  <c r="AO95" i="7"/>
  <c r="V95" i="7"/>
  <c r="BA94" i="7"/>
  <c r="AK94" i="7"/>
  <c r="R94" i="7"/>
  <c r="AW93" i="7"/>
  <c r="AF93" i="7"/>
  <c r="M93" i="7"/>
  <c r="AR92" i="7"/>
  <c r="AB92" i="7"/>
  <c r="I92" i="7"/>
  <c r="AN91" i="7"/>
  <c r="W91" i="7"/>
  <c r="D91" i="7"/>
  <c r="AI90" i="7"/>
  <c r="S90" i="7"/>
  <c r="AY89" i="7"/>
  <c r="AF89" i="7"/>
  <c r="Q89" i="7"/>
  <c r="AY88" i="7"/>
  <c r="AG88" i="7"/>
  <c r="R88" i="7"/>
  <c r="AZ87" i="7"/>
  <c r="AH87" i="7"/>
  <c r="S87" i="7"/>
  <c r="BA86" i="7"/>
  <c r="AI86" i="7"/>
  <c r="T86" i="7"/>
  <c r="C86" i="7"/>
  <c r="AJ85" i="7"/>
  <c r="U85" i="7"/>
  <c r="D85" i="7"/>
  <c r="AK84" i="7"/>
  <c r="V84" i="7"/>
  <c r="E84" i="7"/>
  <c r="AL83" i="7"/>
  <c r="W83" i="7"/>
  <c r="F83" i="7"/>
  <c r="AM82" i="7"/>
  <c r="X82" i="7"/>
  <c r="I82" i="7"/>
  <c r="AU81" i="7"/>
  <c r="AF81" i="7"/>
  <c r="T81" i="7"/>
  <c r="H81" i="7"/>
  <c r="AU80" i="7"/>
  <c r="AG80" i="7"/>
  <c r="U80" i="7"/>
  <c r="I80" i="7"/>
  <c r="AV79" i="7"/>
  <c r="AI79" i="7"/>
  <c r="X79" i="7"/>
  <c r="M79" i="7"/>
  <c r="BA78" i="7"/>
  <c r="AP78" i="7"/>
  <c r="AE78" i="7"/>
  <c r="T78" i="7"/>
  <c r="I78" i="7"/>
  <c r="AW77" i="7"/>
  <c r="AK77" i="7"/>
  <c r="Z77" i="7"/>
  <c r="O77" i="7"/>
  <c r="D77" i="7"/>
  <c r="AR76" i="7"/>
  <c r="AG76" i="7"/>
  <c r="V76" i="7"/>
  <c r="K76" i="7"/>
  <c r="AY75" i="7"/>
  <c r="AM75" i="7"/>
  <c r="AB75" i="7"/>
  <c r="Q75" i="7"/>
  <c r="F75" i="7"/>
  <c r="AT74" i="7"/>
  <c r="AI74" i="7"/>
  <c r="X74" i="7"/>
  <c r="M74" i="7"/>
  <c r="BA73" i="7"/>
  <c r="AO73" i="7"/>
  <c r="AD73" i="7"/>
  <c r="S73" i="7"/>
  <c r="H73" i="7"/>
  <c r="AV72" i="7"/>
  <c r="AK72" i="7"/>
  <c r="Z72" i="7"/>
  <c r="O72" i="7"/>
  <c r="D72" i="7"/>
  <c r="AQ71" i="7"/>
  <c r="AF71" i="7"/>
  <c r="U71" i="7"/>
  <c r="J71" i="7"/>
  <c r="AX70" i="7"/>
  <c r="AM70" i="7"/>
  <c r="AB70" i="7"/>
  <c r="Q70" i="7"/>
  <c r="F70" i="7"/>
  <c r="AS69" i="7"/>
  <c r="AH69" i="7"/>
  <c r="W69" i="7"/>
  <c r="L69" i="7"/>
  <c r="AZ68" i="7"/>
  <c r="AO68" i="7"/>
  <c r="AD68" i="7"/>
  <c r="S68" i="7"/>
  <c r="I68" i="7"/>
  <c r="AX67" i="7"/>
  <c r="AN67" i="7"/>
  <c r="AD67" i="7"/>
  <c r="T67" i="7"/>
  <c r="J67" i="7"/>
  <c r="AY66" i="7"/>
  <c r="AO66" i="7"/>
  <c r="AE66" i="7"/>
  <c r="U66" i="7"/>
  <c r="K66" i="7"/>
  <c r="AZ65" i="7"/>
  <c r="AP65" i="7"/>
  <c r="AF65" i="7"/>
  <c r="V65" i="7"/>
  <c r="L65" i="7"/>
  <c r="E8" i="7"/>
  <c r="Q195" i="7"/>
  <c r="BA179" i="7"/>
  <c r="L167" i="7"/>
  <c r="E160" i="7"/>
  <c r="U154" i="7"/>
  <c r="T151" i="7"/>
  <c r="AF147" i="7"/>
  <c r="AR144" i="7"/>
  <c r="Q141" i="7"/>
  <c r="AP138" i="7"/>
  <c r="P136" i="7"/>
  <c r="AI134" i="7"/>
  <c r="AD132" i="7"/>
  <c r="AV130" i="7"/>
  <c r="AX128" i="7"/>
  <c r="AD127" i="7"/>
  <c r="G126" i="7"/>
  <c r="E125" i="7"/>
  <c r="AN123" i="7"/>
  <c r="AN122" i="7"/>
  <c r="AC121" i="7"/>
  <c r="AL120" i="7"/>
  <c r="AK119" i="7"/>
  <c r="AZ118" i="7"/>
  <c r="D118" i="7"/>
  <c r="R117" i="7"/>
  <c r="X116" i="7"/>
  <c r="AK115" i="7"/>
  <c r="AO114" i="7"/>
  <c r="F114" i="7"/>
  <c r="I113" i="7"/>
  <c r="W112" i="7"/>
  <c r="AO111" i="7"/>
  <c r="I111" i="7"/>
  <c r="Y110" i="7"/>
  <c r="AT109" i="7"/>
  <c r="P109" i="7"/>
  <c r="AR108" i="7"/>
  <c r="N108" i="7"/>
  <c r="AK107" i="7"/>
  <c r="Q107" i="7"/>
  <c r="AR106" i="7"/>
  <c r="Q106" i="7"/>
  <c r="AV105" i="7"/>
  <c r="X105" i="7"/>
  <c r="AV104" i="7"/>
  <c r="AB104" i="7"/>
  <c r="AZ103" i="7"/>
  <c r="AC103" i="7"/>
  <c r="K103" i="7"/>
  <c r="AN102" i="7"/>
  <c r="R102" i="7"/>
  <c r="AY101" i="7"/>
  <c r="AC101" i="7"/>
  <c r="I101" i="7"/>
  <c r="AR100" i="7"/>
  <c r="X100" i="7"/>
  <c r="D100" i="7"/>
  <c r="AN99" i="7"/>
  <c r="T99" i="7"/>
  <c r="AY98" i="7"/>
  <c r="AI98" i="7"/>
  <c r="O98" i="7"/>
  <c r="AT97" i="7"/>
  <c r="AD97" i="7"/>
  <c r="J97" i="7"/>
  <c r="AO96" i="7"/>
  <c r="Z96" i="7"/>
  <c r="F96" i="7"/>
  <c r="AK95" i="7"/>
  <c r="U95" i="7"/>
  <c r="AZ94" i="7"/>
  <c r="AF94" i="7"/>
  <c r="Q94" i="7"/>
  <c r="AV93" i="7"/>
  <c r="AB93" i="7"/>
  <c r="L93" i="7"/>
  <c r="AQ92" i="7"/>
  <c r="W92" i="7"/>
  <c r="H92" i="7"/>
  <c r="AM91" i="7"/>
  <c r="S91" i="7"/>
  <c r="C91" i="7"/>
  <c r="AH90" i="7"/>
  <c r="N90" i="7"/>
  <c r="AX89" i="7"/>
  <c r="AE89" i="7"/>
  <c r="M89" i="7"/>
  <c r="AX88" i="7"/>
  <c r="AF88" i="7"/>
  <c r="N88" i="7"/>
  <c r="V257" i="7"/>
  <c r="AQ186" i="7"/>
  <c r="AW173" i="7"/>
  <c r="F163" i="7"/>
  <c r="N157" i="7"/>
  <c r="AV152" i="7"/>
  <c r="AM149" i="7"/>
  <c r="M146" i="7"/>
  <c r="E143" i="7"/>
  <c r="F140" i="7"/>
  <c r="AH137" i="7"/>
  <c r="AB135" i="7"/>
  <c r="AN133" i="7"/>
  <c r="AO131" i="7"/>
  <c r="BA129" i="7"/>
  <c r="H128" i="7"/>
  <c r="AV126" i="7"/>
  <c r="AH125" i="7"/>
  <c r="AB124" i="7"/>
  <c r="O123" i="7"/>
  <c r="K122" i="7"/>
  <c r="H121" i="7"/>
  <c r="P120" i="7"/>
  <c r="T119" i="7"/>
  <c r="AF118" i="7"/>
  <c r="AK117" i="7"/>
  <c r="AW116" i="7"/>
  <c r="E116" i="7"/>
  <c r="Q115" i="7"/>
  <c r="Y114" i="7"/>
  <c r="AK113" i="7"/>
  <c r="AP112" i="7"/>
  <c r="H112" i="7"/>
  <c r="X111" i="7"/>
  <c r="AP110" i="7"/>
  <c r="K110" i="7"/>
  <c r="AF109" i="7"/>
  <c r="F109" i="7"/>
  <c r="AE108" i="7"/>
  <c r="AZ107" i="7"/>
  <c r="AB107" i="7"/>
  <c r="E107" i="7"/>
  <c r="AC106" i="7"/>
  <c r="H106" i="7"/>
  <c r="AJ105" i="7"/>
  <c r="I105" i="7"/>
  <c r="AM104" i="7"/>
  <c r="P104" i="7"/>
  <c r="AN103" i="7"/>
  <c r="U103" i="7"/>
  <c r="AY102" i="7"/>
  <c r="AC102" i="7"/>
  <c r="J102" i="7"/>
  <c r="AN101" i="7"/>
  <c r="S101" i="7"/>
  <c r="BA100" i="7"/>
  <c r="AH100" i="7"/>
  <c r="N100" i="7"/>
  <c r="AV99" i="7"/>
  <c r="AD99" i="7"/>
  <c r="J99" i="7"/>
  <c r="AR98" i="7"/>
  <c r="Y98" i="7"/>
  <c r="E98" i="7"/>
  <c r="AM97" i="7"/>
  <c r="T97" i="7"/>
  <c r="AY96" i="7"/>
  <c r="AI96" i="7"/>
  <c r="P96" i="7"/>
  <c r="AU95" i="7"/>
  <c r="AD95" i="7"/>
  <c r="K95" i="7"/>
  <c r="AP94" i="7"/>
  <c r="Z94" i="7"/>
  <c r="G94" i="7"/>
  <c r="AL93" i="7"/>
  <c r="U93" i="7"/>
  <c r="BA92" i="7"/>
  <c r="AG92" i="7"/>
  <c r="Q92" i="7"/>
  <c r="AW91" i="7"/>
  <c r="AC91" i="7"/>
  <c r="L91" i="7"/>
  <c r="AR90" i="7"/>
  <c r="X90" i="7"/>
  <c r="G90" i="7"/>
  <c r="AN89" i="7"/>
  <c r="V89" i="7"/>
  <c r="G89" i="7"/>
  <c r="AO88" i="7"/>
  <c r="W88" i="7"/>
  <c r="H88" i="7"/>
  <c r="AP87" i="7"/>
  <c r="X87" i="7"/>
  <c r="I87" i="7"/>
  <c r="AQ86" i="7"/>
  <c r="Y86" i="7"/>
  <c r="J86" i="7"/>
  <c r="AR85" i="7"/>
  <c r="Z85" i="7"/>
  <c r="K85" i="7"/>
  <c r="AS84" i="7"/>
  <c r="AA84" i="7"/>
  <c r="L84" i="7"/>
  <c r="AT83" i="7"/>
  <c r="AB83" i="7"/>
  <c r="M83" i="7"/>
  <c r="AU82" i="7"/>
  <c r="AC82" i="7"/>
  <c r="P82" i="7"/>
  <c r="AY81" i="7"/>
  <c r="AL81" i="7"/>
  <c r="Z81" i="7"/>
  <c r="L81" i="7"/>
  <c r="AY80" i="7"/>
  <c r="AM80" i="7"/>
  <c r="AA80" i="7"/>
  <c r="M80" i="7"/>
  <c r="AZ79" i="7"/>
  <c r="AN79" i="7"/>
  <c r="AC79" i="7"/>
  <c r="R79" i="7"/>
  <c r="G79" i="7"/>
  <c r="AT78" i="7"/>
  <c r="AI78" i="7"/>
  <c r="X78" i="7"/>
  <c r="M78" i="7"/>
  <c r="BA77" i="7"/>
  <c r="AP77" i="7"/>
  <c r="AE77" i="7"/>
  <c r="T77" i="7"/>
  <c r="I77" i="7"/>
  <c r="AV76" i="7"/>
  <c r="AK76" i="7"/>
  <c r="Z76" i="7"/>
  <c r="O76" i="7"/>
  <c r="D76" i="7"/>
  <c r="AR75" i="7"/>
  <c r="AG75" i="7"/>
  <c r="V75" i="7"/>
  <c r="K75" i="7"/>
  <c r="AX74" i="7"/>
  <c r="AM74" i="7"/>
  <c r="AB74" i="7"/>
  <c r="Q74" i="7"/>
  <c r="F74" i="7"/>
  <c r="AT73" i="7"/>
  <c r="AI73" i="7"/>
  <c r="X73" i="7"/>
  <c r="M73" i="7"/>
  <c r="AZ72" i="7"/>
  <c r="AO72" i="7"/>
  <c r="AD72" i="7"/>
  <c r="S72" i="7"/>
  <c r="H72" i="7"/>
  <c r="AV71" i="7"/>
  <c r="AK71" i="7"/>
  <c r="Z71" i="7"/>
  <c r="O71" i="7"/>
  <c r="C71" i="7"/>
  <c r="AQ70" i="7"/>
  <c r="AF70" i="7"/>
  <c r="U70" i="7"/>
  <c r="J70" i="7"/>
  <c r="AX69" i="7"/>
  <c r="AM69" i="7"/>
  <c r="AB69" i="7"/>
  <c r="Q69" i="7"/>
  <c r="E69" i="7"/>
  <c r="AS68" i="7"/>
  <c r="AH68" i="7"/>
  <c r="W68" i="7"/>
  <c r="M68" i="7"/>
  <c r="C68" i="7"/>
  <c r="AR67" i="7"/>
  <c r="AH67" i="7"/>
  <c r="X67" i="7"/>
  <c r="N67" i="7"/>
  <c r="D67" i="7"/>
  <c r="AS66" i="7"/>
  <c r="AI66" i="7"/>
  <c r="Y66" i="7"/>
  <c r="O66" i="7"/>
  <c r="E66" i="7"/>
  <c r="AT65" i="7"/>
  <c r="AJ65" i="7"/>
  <c r="Z65" i="7"/>
  <c r="P65" i="7"/>
  <c r="F65" i="7"/>
  <c r="N218" i="7"/>
  <c r="AO184" i="7"/>
  <c r="J171" i="7"/>
  <c r="D163" i="7"/>
  <c r="AL155" i="7"/>
  <c r="AD152" i="7"/>
  <c r="C149" i="7"/>
  <c r="AU145" i="7"/>
  <c r="T142" i="7"/>
  <c r="AX139" i="7"/>
  <c r="I137" i="7"/>
  <c r="Q135" i="7"/>
  <c r="S133" i="7"/>
  <c r="AF131" i="7"/>
  <c r="AF129" i="7"/>
  <c r="F128" i="7"/>
  <c r="AG126" i="7"/>
  <c r="Z125" i="7"/>
  <c r="O124" i="7"/>
  <c r="M123" i="7"/>
  <c r="AW121" i="7"/>
  <c r="G121" i="7"/>
  <c r="E120" i="7"/>
  <c r="P119" i="7"/>
  <c r="V118" i="7"/>
  <c r="AI117" i="7"/>
  <c r="AM116" i="7"/>
  <c r="D116" i="7"/>
  <c r="G115" i="7"/>
  <c r="U114" i="7"/>
  <c r="AA113" i="7"/>
  <c r="AN112" i="7"/>
  <c r="C112" i="7"/>
  <c r="U111" i="7"/>
  <c r="AN110" i="7"/>
  <c r="J110" i="7"/>
  <c r="AE109" i="7"/>
  <c r="AZ108" i="7"/>
  <c r="AA108" i="7"/>
  <c r="AV107" i="7"/>
  <c r="X107" i="7"/>
  <c r="D107" i="7"/>
  <c r="AB106" i="7"/>
  <c r="D106" i="7"/>
  <c r="AI105" i="7"/>
  <c r="H105" i="7"/>
  <c r="AI104" i="7"/>
  <c r="O104" i="7"/>
  <c r="AM103" i="7"/>
  <c r="Q103" i="7"/>
  <c r="AX102" i="7"/>
  <c r="AB102" i="7"/>
  <c r="D102" i="7"/>
  <c r="AM101" i="7"/>
  <c r="R101" i="7"/>
  <c r="AW100" i="7"/>
  <c r="AG100" i="7"/>
  <c r="M100" i="7"/>
  <c r="AR99" i="7"/>
  <c r="AB99" i="7"/>
  <c r="H99" i="7"/>
  <c r="AM98" i="7"/>
  <c r="X98" i="7"/>
  <c r="D98" i="7"/>
  <c r="AI97" i="7"/>
  <c r="S97" i="7"/>
  <c r="AX96" i="7"/>
  <c r="AD96" i="7"/>
  <c r="O96" i="7"/>
  <c r="AT95" i="7"/>
  <c r="Z95" i="7"/>
  <c r="J95" i="7"/>
  <c r="AO94" i="7"/>
  <c r="U94" i="7"/>
  <c r="F94" i="7"/>
  <c r="AK93" i="7"/>
  <c r="Q93" i="7"/>
  <c r="AZ92" i="7"/>
  <c r="AF92" i="7"/>
  <c r="L92" i="7"/>
  <c r="AV91" i="7"/>
  <c r="AB91" i="7"/>
  <c r="H91" i="7"/>
  <c r="AQ90" i="7"/>
  <c r="W90" i="7"/>
  <c r="Q65" i="7"/>
  <c r="AE65" i="7"/>
  <c r="AW65" i="7"/>
  <c r="P66" i="7"/>
  <c r="AD66" i="7"/>
  <c r="AV66" i="7"/>
  <c r="O67" i="7"/>
  <c r="AC67" i="7"/>
  <c r="AU67" i="7"/>
  <c r="N68" i="7"/>
  <c r="AC68" i="7"/>
  <c r="AW68" i="7"/>
  <c r="R69" i="7"/>
  <c r="BA69" i="7"/>
  <c r="V70" i="7"/>
  <c r="AL70" i="7"/>
  <c r="G71" i="7"/>
  <c r="AA71" i="7"/>
  <c r="AP71" i="7"/>
  <c r="K72" i="7"/>
  <c r="AE72" i="7"/>
  <c r="AU72" i="7"/>
  <c r="P73" i="7"/>
  <c r="AJ73" i="7"/>
  <c r="AY73" i="7"/>
  <c r="T74" i="7"/>
  <c r="AN74" i="7"/>
  <c r="E75" i="7"/>
  <c r="Y75" i="7"/>
  <c r="AS75" i="7"/>
  <c r="J76" i="7"/>
  <c r="AD76" i="7"/>
  <c r="N77" i="7"/>
  <c r="AH77" i="7"/>
  <c r="C78" i="7"/>
  <c r="S78" i="7"/>
  <c r="AM78" i="7"/>
  <c r="H79" i="7"/>
  <c r="W79" i="7"/>
  <c r="AQ79" i="7"/>
  <c r="P80" i="7"/>
  <c r="AF80" i="7"/>
  <c r="E81" i="7"/>
  <c r="AA81" i="7"/>
  <c r="AS81" i="7"/>
  <c r="S82" i="7"/>
  <c r="AV82" i="7"/>
  <c r="S83" i="7"/>
  <c r="AW83" i="7"/>
  <c r="AB84" i="7"/>
  <c r="C85" i="7"/>
  <c r="AG85" i="7"/>
  <c r="L86" i="7"/>
  <c r="AH86" i="7"/>
  <c r="M87" i="7"/>
  <c r="AQ87" i="7"/>
  <c r="V88" i="7"/>
  <c r="C89" i="7"/>
  <c r="AM89" i="7"/>
  <c r="Y90" i="7"/>
  <c r="P91" i="7"/>
  <c r="S92" i="7"/>
  <c r="F93" i="7"/>
  <c r="H94" i="7"/>
  <c r="AX94" i="7"/>
  <c r="AV95" i="7"/>
  <c r="AM96" i="7"/>
  <c r="AP97" i="7"/>
  <c r="AB98" i="7"/>
  <c r="AE99" i="7"/>
  <c r="V100" i="7"/>
  <c r="T101" i="7"/>
  <c r="N102" i="7"/>
  <c r="W103" i="7"/>
  <c r="S104" i="7"/>
  <c r="AK105" i="7"/>
  <c r="AM106" i="7"/>
  <c r="BA107" i="7"/>
  <c r="M109" i="7"/>
  <c r="AR110" i="7"/>
  <c r="M112" i="7"/>
  <c r="Z114" i="7"/>
  <c r="S116" i="7"/>
  <c r="AH118" i="7"/>
  <c r="Y120" i="7"/>
  <c r="P123" i="7"/>
  <c r="C126" i="7"/>
  <c r="N130" i="7"/>
  <c r="BA133" i="7"/>
  <c r="H140" i="7"/>
  <c r="O147" i="7"/>
  <c r="AG157" i="7"/>
  <c r="AJ175" i="7"/>
  <c r="E33" i="5"/>
  <c r="E13" i="6"/>
  <c r="E6" i="7"/>
  <c r="R65" i="7"/>
  <c r="AI65" i="7"/>
  <c r="AX65" i="7"/>
  <c r="Q66" i="7"/>
  <c r="AH66" i="7"/>
  <c r="AW66" i="7"/>
  <c r="P67" i="7"/>
  <c r="AG67" i="7"/>
  <c r="AV67" i="7"/>
  <c r="O68" i="7"/>
  <c r="AG68" i="7"/>
  <c r="AX68" i="7"/>
  <c r="S69" i="7"/>
  <c r="AL69" i="7"/>
  <c r="C70" i="7"/>
  <c r="W70" i="7"/>
  <c r="AP70" i="7"/>
  <c r="H71" i="7"/>
  <c r="AB71" i="7"/>
  <c r="AU71" i="7"/>
  <c r="L72" i="7"/>
  <c r="AF72" i="7"/>
  <c r="AY72" i="7"/>
  <c r="Q73" i="7"/>
  <c r="AK73" i="7"/>
  <c r="E74" i="7"/>
  <c r="V74" i="7"/>
  <c r="AP74" i="7"/>
  <c r="I75" i="7"/>
  <c r="Z75" i="7"/>
  <c r="AT75" i="7"/>
  <c r="N76" i="7"/>
  <c r="AE76" i="7"/>
  <c r="AY76" i="7"/>
  <c r="S77" i="7"/>
  <c r="AI77" i="7"/>
  <c r="D78" i="7"/>
  <c r="W78" i="7"/>
  <c r="AN78" i="7"/>
  <c r="I79" i="7"/>
  <c r="AB79" i="7"/>
  <c r="AR79" i="7"/>
  <c r="Q80" i="7"/>
  <c r="AL80" i="7"/>
  <c r="F81" i="7"/>
  <c r="AB81" i="7"/>
  <c r="AX81" i="7"/>
  <c r="T82" i="7"/>
  <c r="AW82" i="7"/>
  <c r="AA83" i="7"/>
  <c r="BA83" i="7"/>
  <c r="AF84" i="7"/>
  <c r="G85" i="7"/>
  <c r="AH85" i="7"/>
  <c r="M86" i="7"/>
  <c r="AP86" i="7"/>
  <c r="N87" i="7"/>
  <c r="AR87" i="7"/>
  <c r="X88" i="7"/>
  <c r="I89" i="7"/>
  <c r="AO89" i="7"/>
  <c r="AD90" i="7"/>
  <c r="R91" i="7"/>
  <c r="T92" i="7"/>
  <c r="J93" i="7"/>
  <c r="I94" i="7"/>
  <c r="AY94" i="7"/>
  <c r="AZ95" i="7"/>
  <c r="AN96" i="7"/>
  <c r="AQ97" i="7"/>
  <c r="AG98" i="7"/>
  <c r="AF99" i="7"/>
  <c r="W100" i="7"/>
  <c r="X101" i="7"/>
  <c r="Q102" i="7"/>
  <c r="Z103" i="7"/>
  <c r="Z104" i="7"/>
  <c r="AL105" i="7"/>
  <c r="AQ106" i="7"/>
  <c r="G108" i="7"/>
  <c r="O109" i="7"/>
  <c r="AS110" i="7"/>
  <c r="T112" i="7"/>
  <c r="AJ114" i="7"/>
  <c r="W116" i="7"/>
  <c r="AJ118" i="7"/>
  <c r="AJ120" i="7"/>
  <c r="AE123" i="7"/>
  <c r="F126" i="7"/>
  <c r="P130" i="7"/>
  <c r="W134" i="7"/>
  <c r="AM140" i="7"/>
  <c r="AE147" i="7"/>
  <c r="F158" i="7"/>
  <c r="AU178" i="7"/>
  <c r="AG69" i="7"/>
  <c r="E7" i="7"/>
  <c r="S65" i="7"/>
  <c r="AK65" i="7"/>
  <c r="AY65" i="7"/>
  <c r="R66" i="7"/>
  <c r="AJ66" i="7"/>
  <c r="AX66" i="7"/>
  <c r="Q67" i="7"/>
  <c r="AI67" i="7"/>
  <c r="AW67" i="7"/>
  <c r="P68" i="7"/>
  <c r="AI68" i="7"/>
  <c r="AY68" i="7"/>
  <c r="T69" i="7"/>
  <c r="AN69" i="7"/>
  <c r="D70" i="7"/>
  <c r="X70" i="7"/>
  <c r="AR70" i="7"/>
  <c r="I71" i="7"/>
  <c r="AC71" i="7"/>
  <c r="AW71" i="7"/>
  <c r="N72" i="7"/>
  <c r="AH72" i="7"/>
  <c r="C73" i="7"/>
  <c r="R73" i="7"/>
  <c r="AL73" i="7"/>
  <c r="G74" i="7"/>
  <c r="W74" i="7"/>
  <c r="AQ74" i="7"/>
  <c r="L75" i="7"/>
  <c r="AA75" i="7"/>
  <c r="AU75" i="7"/>
  <c r="P76" i="7"/>
  <c r="AF76" i="7"/>
  <c r="AZ76" i="7"/>
  <c r="U77" i="7"/>
  <c r="AJ77" i="7"/>
  <c r="E78" i="7"/>
  <c r="Y78" i="7"/>
  <c r="AO78" i="7"/>
  <c r="J79" i="7"/>
  <c r="AD79" i="7"/>
  <c r="AU79" i="7"/>
  <c r="R80" i="7"/>
  <c r="AN80" i="7"/>
  <c r="G81" i="7"/>
  <c r="AC81" i="7"/>
  <c r="AZ81" i="7"/>
  <c r="U82" i="7"/>
  <c r="AX82" i="7"/>
  <c r="AC83" i="7"/>
  <c r="D84" i="7"/>
  <c r="AH84" i="7"/>
  <c r="M85" i="7"/>
  <c r="AI85" i="7"/>
  <c r="N86" i="7"/>
  <c r="AR86" i="7"/>
  <c r="O87" i="7"/>
  <c r="AS87" i="7"/>
  <c r="AB88" i="7"/>
  <c r="J89" i="7"/>
  <c r="AP89" i="7"/>
  <c r="AF90" i="7"/>
  <c r="AD91" i="7"/>
  <c r="U92" i="7"/>
  <c r="W93" i="7"/>
  <c r="J94" i="7"/>
  <c r="L95" i="7"/>
  <c r="D96" i="7"/>
  <c r="BA96" i="7"/>
  <c r="AR97" i="7"/>
  <c r="AT98" i="7"/>
  <c r="AG99" i="7"/>
  <c r="AI100" i="7"/>
  <c r="Z101" i="7"/>
  <c r="AD102" i="7"/>
  <c r="AA103" i="7"/>
  <c r="AO104" i="7"/>
  <c r="AM105" i="7"/>
  <c r="F107" i="7"/>
  <c r="L108" i="7"/>
  <c r="AG109" i="7"/>
  <c r="AX110" i="7"/>
  <c r="AQ112" i="7"/>
  <c r="AL114" i="7"/>
  <c r="C117" i="7"/>
  <c r="AK118" i="7"/>
  <c r="I121" i="7"/>
  <c r="AK123" i="7"/>
  <c r="C127" i="7"/>
  <c r="Q130" i="7"/>
  <c r="AG135" i="7"/>
  <c r="AZ140" i="7"/>
  <c r="AW149" i="7"/>
  <c r="O158" i="7"/>
  <c r="AZ186" i="7"/>
  <c r="E65" i="7"/>
  <c r="T65" i="7"/>
  <c r="AL65" i="7"/>
  <c r="D66" i="7"/>
  <c r="S66" i="7"/>
  <c r="AK66" i="7"/>
  <c r="C67" i="7"/>
  <c r="R67" i="7"/>
  <c r="AJ67" i="7"/>
  <c r="BA67" i="7"/>
  <c r="Q68" i="7"/>
  <c r="AJ68" i="7"/>
  <c r="D69" i="7"/>
  <c r="U69" i="7"/>
  <c r="AO69" i="7"/>
  <c r="I70" i="7"/>
  <c r="Z70" i="7"/>
  <c r="AT70" i="7"/>
  <c r="M71" i="7"/>
  <c r="AD71" i="7"/>
  <c r="AX71" i="7"/>
  <c r="R72" i="7"/>
  <c r="AI72" i="7"/>
  <c r="D73" i="7"/>
  <c r="W73" i="7"/>
  <c r="AM73" i="7"/>
  <c r="H74" i="7"/>
  <c r="AA74" i="7"/>
  <c r="AR74" i="7"/>
  <c r="M75" i="7"/>
  <c r="AF75" i="7"/>
  <c r="AV75" i="7"/>
  <c r="Q76" i="7"/>
  <c r="AJ76" i="7"/>
  <c r="BA76" i="7"/>
  <c r="V77" i="7"/>
  <c r="AO77" i="7"/>
  <c r="F78" i="7"/>
  <c r="Z78" i="7"/>
  <c r="AS78" i="7"/>
  <c r="K79" i="7"/>
  <c r="AE79" i="7"/>
  <c r="AY79" i="7"/>
  <c r="S80" i="7"/>
  <c r="AO80" i="7"/>
  <c r="K81" i="7"/>
  <c r="AD81" i="7"/>
  <c r="D82" i="7"/>
  <c r="AB82" i="7"/>
  <c r="C83" i="7"/>
  <c r="AG83" i="7"/>
  <c r="H84" i="7"/>
  <c r="AI84" i="7"/>
  <c r="N85" i="7"/>
  <c r="AQ85" i="7"/>
  <c r="O86" i="7"/>
  <c r="AS86" i="7"/>
  <c r="W87" i="7"/>
  <c r="AW87" i="7"/>
  <c r="AD88" i="7"/>
  <c r="K89" i="7"/>
  <c r="AQ89" i="7"/>
  <c r="AG90" i="7"/>
  <c r="AH91" i="7"/>
  <c r="V92" i="7"/>
  <c r="X93" i="7"/>
  <c r="O94" i="7"/>
  <c r="N95" i="7"/>
  <c r="E96" i="7"/>
  <c r="F97" i="7"/>
  <c r="AS97" i="7"/>
  <c r="AU98" i="7"/>
  <c r="AK99" i="7"/>
  <c r="AJ100" i="7"/>
  <c r="AB101" i="7"/>
  <c r="AH102" i="7"/>
  <c r="AB103" i="7"/>
  <c r="AS104" i="7"/>
  <c r="AT105" i="7"/>
  <c r="G107" i="7"/>
  <c r="M108" i="7"/>
  <c r="AO109" i="7"/>
  <c r="D111" i="7"/>
  <c r="BA112" i="7"/>
  <c r="AN114" i="7"/>
  <c r="D117" i="7"/>
  <c r="AU118" i="7"/>
  <c r="T121" i="7"/>
  <c r="AL123" i="7"/>
  <c r="I127" i="7"/>
  <c r="AR130" i="7"/>
  <c r="AY135" i="7"/>
  <c r="O141" i="7"/>
  <c r="F150" i="7"/>
  <c r="U159" i="7"/>
  <c r="AK191" i="7"/>
  <c r="E10" i="5" l="1"/>
  <c r="E34" i="5"/>
  <c r="E38" i="5"/>
</calcChain>
</file>

<file path=xl/sharedStrings.xml><?xml version="1.0" encoding="utf-8"?>
<sst xmlns="http://schemas.openxmlformats.org/spreadsheetml/2006/main" count="479" uniqueCount="335">
  <si>
    <t>SDS188 A1S2 · Automated Excel Training Companion</t>
  </si>
  <si>
    <t>Use the blank paper for route/logic/control. Use this workbook for calculations. Keep full precision in Excel and only format the final submitted answer as instructed by EMSLearn.</t>
  </si>
  <si>
    <t>EXAM-DAY WORKFLOW</t>
  </si>
  <si>
    <t>1</t>
  </si>
  <si>
    <t>READ</t>
  </si>
  <si>
    <t>Identify exactly what the question asks.</t>
  </si>
  <si>
    <t>2</t>
  </si>
  <si>
    <t>CLASSIFY</t>
  </si>
  <si>
    <t>On paper: object/parameter, route/distribution, tail, required output.</t>
  </si>
  <si>
    <t>3</t>
  </si>
  <si>
    <t>EXCEL</t>
  </si>
  <si>
    <t>Use the correct calculator tab; do not round intermediate cells.</t>
  </si>
  <si>
    <t>4</t>
  </si>
  <si>
    <t>SENSE-CHECK</t>
  </si>
  <si>
    <t>Check sign, tail, scale, df, σ versus s, π0 versus p.</t>
  </si>
  <si>
    <t>5</t>
  </si>
  <si>
    <t>ENTER</t>
  </si>
  <si>
    <t>Transfer only the requested result to EMSLearn.</t>
  </si>
  <si>
    <t>6</t>
  </si>
  <si>
    <t>TRACK</t>
  </si>
  <si>
    <t>Mark the question as entered; park flagged questions for a return pass.</t>
  </si>
  <si>
    <t>WHICH TAB?</t>
  </si>
  <si>
    <t>Chapter 6</t>
  </si>
  <si>
    <t>CH6_DISTRIBUTIONS</t>
  </si>
  <si>
    <t>Normal, inverse normal, uniform, exponential.</t>
  </si>
  <si>
    <t>Chapter 7</t>
  </si>
  <si>
    <t>CH7_SAMPLING</t>
  </si>
  <si>
    <t>Sample means, proportions, two means, FPC, exponential sample mean.</t>
  </si>
  <si>
    <t>Chapter 8</t>
  </si>
  <si>
    <t>CH8_CI_SAMPLE_SIZE</t>
  </si>
  <si>
    <t>Confidence intervals, sample size, FPC, population totals.</t>
  </si>
  <si>
    <t>BOOTSTRAP_AUTO</t>
  </si>
  <si>
    <t>Practice bootstrap resampling template; use supplied assessment resamples if provided.</t>
  </si>
  <si>
    <t>Chapter 9</t>
  </si>
  <si>
    <t>CH9_HYPOTHESIS</t>
  </si>
  <si>
    <t>Mean Z/t tests, one-proportion Z, p-values, critical values, power.</t>
  </si>
  <si>
    <t>Tutorial 9</t>
  </si>
  <si>
    <t>T9_PRIORITY</t>
  </si>
  <si>
    <t>Lecturer-confirmed questions 1,2,3,4,7,8,10,14,15.</t>
  </si>
  <si>
    <t>Tutorial 9 Q14</t>
  </si>
  <si>
    <t>T9_Q14_RAW</t>
  </si>
  <si>
    <t>Raw-data Student-t worked Excel route.</t>
  </si>
  <si>
    <t>All questions</t>
  </si>
  <si>
    <t>EXAM_TRACKER</t>
  </si>
  <si>
    <t>Question tracker + revisit/entered control.</t>
  </si>
  <si>
    <t>NON-NEGOTIABLE CHECKS</t>
  </si>
  <si>
    <t>σ known?</t>
  </si>
  <si>
    <t>Mean test/CI uses Z. If σ unknown and s is supplied, use Student t.</t>
  </si>
  <si>
    <t>Tail?</t>
  </si>
  <si>
    <t>H1 chooses lower / upper / two-tail. Do not let the sign of the statistic change the tail.</t>
  </si>
  <si>
    <t>Sample mean?</t>
  </si>
  <si>
    <t>Use SE = σ/√n (or s/√n for t), not σ.</t>
  </si>
  <si>
    <t>Proportion test?</t>
  </si>
  <si>
    <t>Test SE uses π0 under H0; CI SE uses observed p.</t>
  </si>
  <si>
    <t>Finite population?</t>
  </si>
  <si>
    <t>Only apply FPC for sampling without replacement when n/N &gt; 0.05.</t>
  </si>
  <si>
    <t>Rounding?</t>
  </si>
  <si>
    <t>Keep full precision in formulas. The practice test used 4 decimals; follow the real A1S2 instruction shown on screen.</t>
  </si>
  <si>
    <t>ASSESSMENT PERMISSION NOTE: This workbook is a rehearsal/training tool. The latest clarification says Excel is encouraged for calculations, but it does not by itself confirm that a pre-built personal workbook may be opened in A1S2. In the real assessment, use only the Excel files/resources permitted or provided by the instructions. Train here until you can reproduce the routes quickly in a blank workbook.</t>
  </si>
  <si>
    <t>A1S2 Question Control Sheet</t>
  </si>
  <si>
    <t>Mirror the blank-paper tracker here if useful. 'Entered?' is the control that the answer has actually been transferred to EMSLearn.</t>
  </si>
  <si>
    <t>Q</t>
  </si>
  <si>
    <t>Chapter</t>
  </si>
  <si>
    <t>Method / route</t>
  </si>
  <si>
    <t>Tail</t>
  </si>
  <si>
    <t>Key inputs / warning</t>
  </si>
  <si>
    <t>Final answer</t>
  </si>
  <si>
    <t>Entered?</t>
  </si>
  <si>
    <t>Revisit?</t>
  </si>
  <si>
    <t>Reason / check</t>
  </si>
  <si>
    <t>Done</t>
  </si>
  <si>
    <t>CONTROL</t>
  </si>
  <si>
    <t>COUNT</t>
  </si>
  <si>
    <t>No</t>
  </si>
  <si>
    <t>Entered</t>
  </si>
  <si>
    <t>Revisit</t>
  </si>
  <si>
    <t>Remaining</t>
  </si>
  <si>
    <t>Chapter 6 · Distribution Calculators</t>
  </si>
  <si>
    <t>Separate calculators reduce wrong-route errors. Enter only the grey input cells.</t>
  </si>
  <si>
    <t>A. NORMAL DISTRIBUTION</t>
  </si>
  <si>
    <t>Mean μ</t>
  </si>
  <si>
    <t>P(X ≤ x)</t>
  </si>
  <si>
    <t>Standard deviation σ</t>
  </si>
  <si>
    <t>P(X &gt; x)</t>
  </si>
  <si>
    <t>Boundary x</t>
  </si>
  <si>
    <t>P(a &lt; X &lt; b)</t>
  </si>
  <si>
    <t>Lower a</t>
  </si>
  <si>
    <t>x from left area A</t>
  </si>
  <si>
    <t>Upper b</t>
  </si>
  <si>
    <t>x with right-tail area A</t>
  </si>
  <si>
    <t>Left-tail probability A</t>
  </si>
  <si>
    <t>Central lower bound</t>
  </si>
  <si>
    <t>Central area C</t>
  </si>
  <si>
    <t>Central upper bound</t>
  </si>
  <si>
    <t>B. UNIFORM DISTRIBUTION</t>
  </si>
  <si>
    <t>Minimum a</t>
  </si>
  <si>
    <t>P(c &lt; X &lt; d)</t>
  </si>
  <si>
    <t>Maximum b</t>
  </si>
  <si>
    <t>Mean</t>
  </si>
  <si>
    <t>Interval lower c</t>
  </si>
  <si>
    <t>Variance</t>
  </si>
  <si>
    <t>Interval upper d</t>
  </si>
  <si>
    <t>Standard deviation</t>
  </si>
  <si>
    <t>C. EXPONENTIAL DISTRIBUTION</t>
  </si>
  <si>
    <t>Rate λ</t>
  </si>
  <si>
    <t>Mean = 1/λ</t>
  </si>
  <si>
    <t>P(X &lt; x)</t>
  </si>
  <si>
    <t>Rate and time must use consistent units. For a continuous variable, P(X=x)=0; interval endpoint equality does not change the probability.</t>
  </si>
  <si>
    <t>Chapter 7 · Sampling Distribution Calculators</t>
  </si>
  <si>
    <t>Write the centre and standard error before using a probability formula. Apply FPC only when the stated sampling conditions require it.</t>
  </si>
  <si>
    <t>A. SAMPLE MEAN X̄</t>
  </si>
  <si>
    <t>Population mean μ</t>
  </si>
  <si>
    <t>Centre μX̄</t>
  </si>
  <si>
    <t>Population SD σ</t>
  </si>
  <si>
    <t>SE = σ/√n</t>
  </si>
  <si>
    <t>Sample size n</t>
  </si>
  <si>
    <t>P(X̄ &lt; lower)</t>
  </si>
  <si>
    <t>Lower X̄</t>
  </si>
  <si>
    <t>P(lower &lt; X̄ &lt; upper)</t>
  </si>
  <si>
    <t>Upper X̄</t>
  </si>
  <si>
    <t>P(X̄ &gt; upper)</t>
  </si>
  <si>
    <t>Left-tail area A</t>
  </si>
  <si>
    <t>X̄ boundary from area A</t>
  </si>
  <si>
    <t>B. SAMPLE PROPORTION p</t>
  </si>
  <si>
    <t>Population proportion π</t>
  </si>
  <si>
    <t>Centre π</t>
  </si>
  <si>
    <t>SE</t>
  </si>
  <si>
    <t>Lower p</t>
  </si>
  <si>
    <t>nπ</t>
  </si>
  <si>
    <t>Upper p</t>
  </si>
  <si>
    <t>n(1-π)</t>
  </si>
  <si>
    <t>Normal approx check</t>
  </si>
  <si>
    <t>P(lower &lt; p &lt; upper)</t>
  </si>
  <si>
    <t>C. DIFFERENCE BETWEEN TWO INDEPENDENT SAMPLE MEANS</t>
  </si>
  <si>
    <t>μ1</t>
  </si>
  <si>
    <t>Centre μ1-μ2</t>
  </si>
  <si>
    <t>μ2</t>
  </si>
  <si>
    <t>SE difference</t>
  </si>
  <si>
    <t>σ1</t>
  </si>
  <si>
    <t>P(lower &lt; diff &lt; upper)</t>
  </si>
  <si>
    <t>σ2</t>
  </si>
  <si>
    <t>n1</t>
  </si>
  <si>
    <t>n2</t>
  </si>
  <si>
    <t>Lower difference</t>
  </si>
  <si>
    <t>Upper difference</t>
  </si>
  <si>
    <t>D. FINITE-POPULATION CORRECTION</t>
  </si>
  <si>
    <t>Population size N</t>
  </si>
  <si>
    <t>Sampling fraction n/N</t>
  </si>
  <si>
    <t>FPC factor</t>
  </si>
  <si>
    <t>Base SE before FPC</t>
  </si>
  <si>
    <t>Corrected SE</t>
  </si>
  <si>
    <t>Sampling without replacement?</t>
  </si>
  <si>
    <t>Yes</t>
  </si>
  <si>
    <t>Use FPC?</t>
  </si>
  <si>
    <t>E. SAMPLE MEAN OF EXPONENTIAL WAITING TIMES (NORMAL APPROXIMATION)</t>
  </si>
  <si>
    <t>Population mean 1/λ</t>
  </si>
  <si>
    <t>SE of X̄</t>
  </si>
  <si>
    <t>Boundary mean time</t>
  </si>
  <si>
    <t>P(X̄ &gt; boundary)</t>
  </si>
  <si>
    <t>Use consistent time units. The normal approximation for a mean of exponential observations depends on the sample-size/CLT justification taught in Chapter 7.</t>
  </si>
  <si>
    <t>Chapter 8 · Confidence Intervals &amp; Sample Size</t>
  </si>
  <si>
    <t>Input confidence as a decimal, e.g. 0.95. Required sample sizes are rounded upward.</t>
  </si>
  <si>
    <t>A. CI FOR μ · σ KNOWN</t>
  </si>
  <si>
    <t>Sample mean X̄</t>
  </si>
  <si>
    <t>α</t>
  </si>
  <si>
    <t>z*</t>
  </si>
  <si>
    <t>Confidence C</t>
  </si>
  <si>
    <t>Margin of error</t>
  </si>
  <si>
    <t>Lower CI</t>
  </si>
  <si>
    <t>Upper CI</t>
  </si>
  <si>
    <t>B. CI FOR μ · σ UNKNOWN → STUDENT t</t>
  </si>
  <si>
    <t>df</t>
  </si>
  <si>
    <t>Sample SD s</t>
  </si>
  <si>
    <t>t*</t>
  </si>
  <si>
    <t>C. CI FOR POPULATION PROPORTION π</t>
  </si>
  <si>
    <t>Success count x</t>
  </si>
  <si>
    <t>p = x/n</t>
  </si>
  <si>
    <t>Estimated SE</t>
  </si>
  <si>
    <t>D. REQUIRED SAMPLE SIZE</t>
  </si>
  <si>
    <t>Margin of error e</t>
  </si>
  <si>
    <t>Mean n0 (unrounded)</t>
  </si>
  <si>
    <t>Population SD σ (mean case)</t>
  </si>
  <si>
    <t>Mean minimum n</t>
  </si>
  <si>
    <t>Prior p (use 0.5 if none)</t>
  </si>
  <si>
    <t>Proportion n0 (unrounded)</t>
  </si>
  <si>
    <t>Finite population N (optional)</t>
  </si>
  <si>
    <t>Proportion minimum n</t>
  </si>
  <si>
    <t>Finite-pop adjusted prop n</t>
  </si>
  <si>
    <t>Finite-pop adjusted mean n</t>
  </si>
  <si>
    <t>E. POPULATION TOTAL · MEAN-BASED ESTIMATE WITH FPC</t>
  </si>
  <si>
    <t>Point estimate N×X̄</t>
  </si>
  <si>
    <t>FPC</t>
  </si>
  <si>
    <t>Half-width for total</t>
  </si>
  <si>
    <t>Lower total CI</t>
  </si>
  <si>
    <t>Upper total CI</t>
  </si>
  <si>
    <t>Chapter 9 · Automated Hypothesis Tests</t>
  </si>
  <si>
    <t>Choose the tail from H1 before looking at the test statistic. Decisions use 'Reject H0' or 'Do not reject H0'.</t>
  </si>
  <si>
    <t>A. MEAN Z TEST · σ KNOWN</t>
  </si>
  <si>
    <t>Null mean μ0</t>
  </si>
  <si>
    <t>Zcalc</t>
  </si>
  <si>
    <t>p-value</t>
  </si>
  <si>
    <t>Decision</t>
  </si>
  <si>
    <t>Lower critical Z</t>
  </si>
  <si>
    <t>Two-tail</t>
  </si>
  <si>
    <t>Upper critical Z</t>
  </si>
  <si>
    <t>Lower critical X̄</t>
  </si>
  <si>
    <t>Upper critical X̄</t>
  </si>
  <si>
    <t>Same-level CI lower</t>
  </si>
  <si>
    <t>Same-level CI upper</t>
  </si>
  <si>
    <t>B. MEAN t TEST · σ UNKNOWN</t>
  </si>
  <si>
    <t>Tcalc</t>
  </si>
  <si>
    <t>Upper</t>
  </si>
  <si>
    <t>Lower critical t</t>
  </si>
  <si>
    <t>Upper critical t</t>
  </si>
  <si>
    <t>C. ONE-PROPORTION Z TEST</t>
  </si>
  <si>
    <t>Null proportion π0</t>
  </si>
  <si>
    <t>Sample p</t>
  </si>
  <si>
    <t>Null SE</t>
  </si>
  <si>
    <t>nπ0</t>
  </si>
  <si>
    <t>n(1-π0)</t>
  </si>
  <si>
    <t>Approximation check</t>
  </si>
  <si>
    <t>D. POWER FOR A KNOWN-σ MEAN TEST</t>
  </si>
  <si>
    <t>True mean μ1</t>
  </si>
  <si>
    <t>Lower rejection boundary</t>
  </si>
  <si>
    <t>Upper rejection boundary</t>
  </si>
  <si>
    <t>Power</t>
  </si>
  <si>
    <t>β = 1 - power</t>
  </si>
  <si>
    <t>Lower</t>
  </si>
  <si>
    <t>Chapter 8 · Bootstrap Practice Automation</t>
  </si>
  <si>
    <t>Paste one original sample in B10:B59. This practice template creates up to 200 with-replacement resamples. If the assessment supplies its own resamples, use those supplied values instead of generating new ones.</t>
  </si>
  <si>
    <t>n</t>
  </si>
  <si>
    <t>Resamples</t>
  </si>
  <si>
    <t>Tail rank</t>
  </si>
  <si>
    <t>Bootstrap lower</t>
  </si>
  <si>
    <t>Bootstrap upper</t>
  </si>
  <si>
    <t>#</t>
  </si>
  <si>
    <t>ORIGINAL SAMPLE</t>
  </si>
  <si>
    <t>Resample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</si>
  <si>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</si>
  <si>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</si>
  <si>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</si>
  <si>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</si>
  <si>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</si>
  <si>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</si>
  <si>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</si>
  <si>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</si>
  <si>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</si>
  <si>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</si>
  <si>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</si>
  <si>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</si>
  <si>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</si>
  <si>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</si>
  <si>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</si>
  <si>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</si>
  <si>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</si>
  <si>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</si>
  <si>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</si>
  <si>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</si>
  <si>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</si>
  <si>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</si>
  <si>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</si>
  <si>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</si>
  <si>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</si>
  <si>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</si>
  <si>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</si>
  <si>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</si>
  <si>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</si>
  <si>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</si>
  <si>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</si>
  <si>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</si>
  <si>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</si>
  <si>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</si>
  <si>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</si>
  <si>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</si>
  <si>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</si>
  <si>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</si>
  <si>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</si>
  <si>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</si>
  <si>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</si>
  <si>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</si>
  <si>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</si>
  <si>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</si>
  <si>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</si>
  <si>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</si>
  <si>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</si>
  <si>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</si>
  <si>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</si>
  <si>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</si>
  <si>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Tutorial 9 · Lecturer-Confirmed Priority Questions</t>
  </si>
  <si>
    <t>Confirmed priority: Questions 1, 2, 3, 4, 7, 8, 10, 14 and 15. Use this as a route map, then do the actual tutorial questions.</t>
  </si>
  <si>
    <t>Core skill</t>
  </si>
  <si>
    <t>What you must decide/do</t>
  </si>
  <si>
    <t>Best workbook tab</t>
  </si>
  <si>
    <t>Key Excel route</t>
  </si>
  <si>
    <t>Type I error</t>
  </si>
  <si>
    <t>Explain why H0 can be rejected when H0 is actually true.</t>
  </si>
  <si>
    <t>Concept / paper</t>
  </si>
  <si>
    <t>Type I probability = α</t>
  </si>
  <si>
    <t>α versus β</t>
  </si>
  <si>
    <t>For fixed n, explain what happens to β when α is reduced.</t>
  </si>
  <si>
    <t>Smaller α → larger β (all else fixed)</t>
  </si>
  <si>
    <t>β and distance from μ0</t>
  </si>
  <si>
    <t>Explain why a true mean closer to the null is harder to detect.</t>
  </si>
  <si>
    <t>Closer alternative → larger β</t>
  </si>
  <si>
    <t>Two-tail Z critical rule</t>
  </si>
  <si>
    <t>Build the α=.10 two-tail rejection region.</t>
  </si>
  <si>
    <t>critical Z = ±NORM.S.INV(1-α/2)</t>
  </si>
  <si>
    <t>Two-tail Z p-value</t>
  </si>
  <si>
    <t>Given Z=2.00, calculate p and decide at α=.05.</t>
  </si>
  <si>
    <t>2*(1-NORM.S.DIST(ABS(z),TRUE))</t>
  </si>
  <si>
    <t>Given Z=-1.38, calculate p and decide at α=.01.</t>
  </si>
  <si>
    <t>Known-σ mean test + p + 99% CI</t>
  </si>
  <si>
    <t>Paint-can two-tail Z test; connect test and same-level CI.</t>
  </si>
  <si>
    <t>Zcalc, p-value, z-CI</t>
  </si>
  <si>
    <t>Raw-data t test</t>
  </si>
  <si>
    <t>Calculate X̄ and s from 50 raw bottle fills, then t, p and decision.</t>
  </si>
  <si>
    <t>T9_Q14_RAW / CH9_HYPOTHESIS</t>
  </si>
  <si>
    <t>AVERAGE, STDEV.S, T.DIST.2T</t>
  </si>
  <si>
    <t>Population-proportion CI</t>
  </si>
  <si>
    <t>n=200, x=50; construct 95% CI for π.</t>
  </si>
  <si>
    <t>p=x/n; p ± z*SQRT(p(1-p)/n)</t>
  </si>
  <si>
    <t>REAL-A1S2 RULE: use the supplied/permitted Excel environment. This automated file is for rehearsal and speed-building unless the assessment instructions explicitly allow you to open it.</t>
  </si>
  <si>
    <t>Tutorial 9 Q14 · Raw-Data Student-t Route</t>
  </si>
  <si>
    <t>Source question: test H0: μ=2 versus H1: μ≠2 at α=.05 using the 50 consecutive bottle-fill observations.</t>
  </si>
  <si>
    <t>Obs</t>
  </si>
  <si>
    <t>Fill (L)</t>
  </si>
  <si>
    <t>CALCULATION</t>
  </si>
  <si>
    <t>RESULT</t>
  </si>
  <si>
    <t>X̄</t>
  </si>
  <si>
    <t>s</t>
  </si>
  <si>
    <t>μ0</t>
  </si>
  <si>
    <t>Two-tail p</t>
  </si>
  <si>
    <t>Interpretation control: because this is a two-tail test, compare the two-tail p-value with α or compare |Tcalc| with t*. Use 'Do not reject H0' if the evidence is insufficient; do not write 'accept H0'.</t>
  </si>
  <si>
    <t>Point estimate: +/-(cv)(standard error)</t>
  </si>
  <si>
    <t>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</si>
</sst>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6">
    <font>
      <sz val="11"/>
      <name val="Carlito"/>
    </font>
    <font>
      <b/>
      <sz val="16"/>
      <color rgb="FFFFFFFF"/>
      <name val="Carlito"/>
    </font>
    <font>
      <i/>
      <sz val="11"/>
      <color rgb="FF222222"/>
      <name val="Carlito"/>
    </font>
    <font>
      <b/>
      <sz val="11"/>
      <color rgb="FFFFFFFF"/>
      <name val="Carlito"/>
    </font>
    <font>
      <b/>
      <sz val="11"/>
      <color rgb="FF222222"/>
      <name val="Carlito"/>
    </font>
    <font>
      <sz val="11"/>
      <color rgb="FF222222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22222"/>
      </patternFill>
    </fill>
    <fill>
      <patternFill patternType="solid">
        <fgColor rgb="FFF5F5F5"/>
      </patternFill>
    </fill>
    <fill>
      <patternFill patternType="solid">
        <fgColor rgb="FF666666"/>
      </patternFill>
    </fill>
    <fill>
      <patternFill patternType="solid">
        <fgColor rgb="FFFFFFFF"/>
      </patternFill>
    </fill>
    <fill>
      <patternFill patternType="solid">
        <fgColor rgb="FFE7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wrapText="1"/>
    </xf>
    <xf numFmtId="0" fontId="4" fillId="5" borderId="0" xfId="0" applyFont="1" applyFill="1"/>
    <xf numFmtId="164" fontId="0" fillId="0" borderId="0" xfId="0" applyNumberFormat="1"/>
    <xf numFmtId="0" fontId="0" fillId="0" borderId="0" xfId="0" applyAlignment="1">
      <alignment vertical="top"/>
    </xf>
    <xf numFmtId="0" fontId="3" fillId="4" borderId="0" xfId="0" applyFont="1" applyFill="1" applyAlignment="1">
      <alignment horizontal="center" vertical="top"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5" borderId="0" xfId="0" applyFont="1" applyFill="1" applyAlignment="1">
      <alignment vertical="top" wrapText="1"/>
    </xf>
    <xf numFmtId="164" fontId="5" fillId="6" borderId="0" xfId="0" applyNumberFormat="1" applyFont="1" applyFill="1" applyAlignment="1">
      <alignment vertical="top"/>
    </xf>
    <xf numFmtId="164" fontId="4" fillId="5" borderId="0" xfId="0" applyNumberFormat="1" applyFont="1" applyFill="1" applyAlignment="1">
      <alignment vertical="top"/>
    </xf>
    <xf numFmtId="0" fontId="5" fillId="6" borderId="0" xfId="0" applyFont="1" applyFill="1" applyAlignment="1">
      <alignment vertical="top"/>
    </xf>
    <xf numFmtId="2" fontId="4" fillId="5" borderId="0" xfId="0" applyNumberFormat="1" applyFont="1" applyFill="1" applyAlignment="1">
      <alignment vertical="top"/>
    </xf>
    <xf numFmtId="49" fontId="4" fillId="5" borderId="0" xfId="0" applyNumberFormat="1" applyFont="1" applyFill="1" applyAlignment="1">
      <alignment vertical="top"/>
    </xf>
    <xf numFmtId="1" fontId="4" fillId="5" borderId="0" xfId="0" applyNumberFormat="1" applyFont="1" applyFill="1" applyAlignment="1">
      <alignment vertical="top"/>
    </xf>
    <xf numFmtId="0" fontId="4" fillId="5" borderId="0" xfId="0" applyFont="1" applyFill="1" applyAlignment="1">
      <alignment vertical="top"/>
    </xf>
    <xf numFmtId="164" fontId="4" fillId="6" borderId="0" xfId="0" applyNumberFormat="1" applyFont="1" applyFill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4" fillId="5" borderId="0" xfId="0" applyNumberFormat="1" applyFont="1" applyFill="1" applyAlignment="1">
      <alignment vertical="top"/>
    </xf>
    <xf numFmtId="0" fontId="4" fillId="6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top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0"/>
  <sheetViews>
    <sheetView topLeftCell="A18" zoomScale="150" workbookViewId="0">
      <selection activeCell="D24" sqref="D24"/>
    </sheetView>
  </sheetViews>
  <sheetFormatPr baseColWidth="10" defaultColWidth="8.83203125" defaultRowHeight="15"/>
  <cols>
    <col min="1" max="1" width="20" customWidth="1"/>
    <col min="2" max="2" width="24" customWidth="1"/>
    <col min="3" max="3" width="34" customWidth="1"/>
    <col min="4" max="4" width="24" customWidth="1"/>
    <col min="5" max="5" width="30" customWidth="1"/>
    <col min="6" max="10" width="18" customWidth="1"/>
  </cols>
  <sheetData>
    <row r="1" spans="1:10" ht="37.2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50.7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9.25" customHeight="1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ht="16">
      <c r="A5" s="6" t="s">
        <v>3</v>
      </c>
      <c r="B5" s="7" t="s">
        <v>4</v>
      </c>
      <c r="C5" s="8" t="s">
        <v>5</v>
      </c>
      <c r="D5" s="5"/>
      <c r="E5" s="5"/>
      <c r="F5" s="5"/>
      <c r="G5" s="5"/>
      <c r="H5" s="5"/>
      <c r="I5" s="5"/>
      <c r="J5" s="5"/>
    </row>
    <row r="6" spans="1:10" ht="32">
      <c r="A6" s="6" t="s">
        <v>6</v>
      </c>
      <c r="B6" s="7" t="s">
        <v>7</v>
      </c>
      <c r="C6" s="8" t="s">
        <v>8</v>
      </c>
      <c r="D6" s="5"/>
      <c r="E6" s="5"/>
      <c r="F6" s="5"/>
      <c r="G6" s="5"/>
      <c r="H6" s="5"/>
      <c r="I6" s="5"/>
      <c r="J6" s="5"/>
    </row>
    <row r="7" spans="1:10" ht="32">
      <c r="A7" s="6" t="s">
        <v>9</v>
      </c>
      <c r="B7" s="7" t="s">
        <v>10</v>
      </c>
      <c r="C7" s="8" t="s">
        <v>11</v>
      </c>
      <c r="D7" s="5"/>
      <c r="E7" s="5"/>
      <c r="F7" s="5"/>
      <c r="G7" s="5"/>
      <c r="H7" s="5"/>
      <c r="I7" s="5"/>
      <c r="J7" s="5"/>
    </row>
    <row r="8" spans="1:10" ht="32">
      <c r="A8" s="6" t="s">
        <v>12</v>
      </c>
      <c r="B8" s="7" t="s">
        <v>13</v>
      </c>
      <c r="C8" s="8" t="s">
        <v>14</v>
      </c>
      <c r="D8" s="5"/>
      <c r="E8" s="5"/>
      <c r="F8" s="5"/>
      <c r="G8" s="5"/>
      <c r="H8" s="5"/>
      <c r="I8" s="5"/>
      <c r="J8" s="5"/>
    </row>
    <row r="9" spans="1:10" ht="32">
      <c r="A9" s="6" t="s">
        <v>15</v>
      </c>
      <c r="B9" s="7" t="s">
        <v>16</v>
      </c>
      <c r="C9" s="8" t="s">
        <v>17</v>
      </c>
      <c r="D9" s="5"/>
      <c r="E9" s="5"/>
      <c r="F9" s="5"/>
      <c r="G9" s="5"/>
      <c r="H9" s="5"/>
      <c r="I9" s="5"/>
      <c r="J9" s="5"/>
    </row>
    <row r="10" spans="1:10" ht="32">
      <c r="A10" s="6" t="s">
        <v>18</v>
      </c>
      <c r="B10" s="7" t="s">
        <v>19</v>
      </c>
      <c r="C10" s="8" t="s">
        <v>20</v>
      </c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29.25" customHeight="1">
      <c r="A12" s="24" t="s">
        <v>21</v>
      </c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32">
      <c r="A13" s="6" t="s">
        <v>22</v>
      </c>
      <c r="B13" s="6" t="s">
        <v>23</v>
      </c>
      <c r="C13" s="6" t="s">
        <v>24</v>
      </c>
      <c r="D13" s="5"/>
      <c r="E13" s="5"/>
      <c r="F13" s="5"/>
      <c r="G13" s="5"/>
      <c r="H13" s="5"/>
      <c r="I13" s="5"/>
      <c r="J13" s="5"/>
    </row>
    <row r="14" spans="1:10" ht="32">
      <c r="A14" s="8" t="s">
        <v>25</v>
      </c>
      <c r="B14" s="8" t="s">
        <v>26</v>
      </c>
      <c r="C14" s="8" t="s">
        <v>27</v>
      </c>
      <c r="D14" s="5"/>
      <c r="E14" s="5"/>
      <c r="F14" s="5"/>
      <c r="G14" s="5"/>
      <c r="H14" s="5"/>
      <c r="I14" s="5"/>
      <c r="J14" s="5"/>
    </row>
    <row r="15" spans="1:10" ht="32">
      <c r="A15" s="8" t="s">
        <v>28</v>
      </c>
      <c r="B15" s="8" t="s">
        <v>29</v>
      </c>
      <c r="C15" s="8" t="s">
        <v>30</v>
      </c>
      <c r="D15" s="5"/>
      <c r="E15" s="5"/>
      <c r="F15" s="5"/>
      <c r="G15" s="5"/>
      <c r="H15" s="5"/>
      <c r="I15" s="5"/>
      <c r="J15" s="5"/>
    </row>
    <row r="16" spans="1:10" ht="48">
      <c r="A16" s="8" t="s">
        <v>28</v>
      </c>
      <c r="B16" s="8" t="s">
        <v>31</v>
      </c>
      <c r="C16" s="8" t="s">
        <v>32</v>
      </c>
      <c r="D16" s="5"/>
      <c r="E16" s="5"/>
      <c r="F16" s="5"/>
      <c r="G16" s="5"/>
      <c r="H16" s="5"/>
      <c r="I16" s="5"/>
      <c r="J16" s="5"/>
    </row>
    <row r="17" spans="1:10" ht="32">
      <c r="A17" s="8" t="s">
        <v>33</v>
      </c>
      <c r="B17" s="8" t="s">
        <v>34</v>
      </c>
      <c r="C17" s="8" t="s">
        <v>35</v>
      </c>
      <c r="D17" s="5"/>
      <c r="E17" s="5"/>
      <c r="F17" s="5"/>
      <c r="G17" s="5"/>
      <c r="H17" s="5"/>
      <c r="I17" s="5"/>
      <c r="J17" s="5"/>
    </row>
    <row r="18" spans="1:10" ht="32">
      <c r="A18" s="8" t="s">
        <v>36</v>
      </c>
      <c r="B18" s="8" t="s">
        <v>37</v>
      </c>
      <c r="C18" s="8" t="s">
        <v>38</v>
      </c>
      <c r="D18" s="5"/>
      <c r="E18" s="5"/>
      <c r="F18" s="5"/>
      <c r="G18" s="5"/>
      <c r="H18" s="5"/>
      <c r="I18" s="5"/>
      <c r="J18" s="5"/>
    </row>
    <row r="19" spans="1:10" ht="32">
      <c r="A19" s="8" t="s">
        <v>39</v>
      </c>
      <c r="B19" s="8" t="s">
        <v>40</v>
      </c>
      <c r="C19" s="8" t="s">
        <v>41</v>
      </c>
      <c r="D19" s="5"/>
      <c r="E19" s="5"/>
      <c r="F19" s="5"/>
      <c r="G19" s="5"/>
      <c r="H19" s="5"/>
      <c r="I19" s="5"/>
      <c r="J19" s="5"/>
    </row>
    <row r="20" spans="1:10" ht="32">
      <c r="A20" s="8" t="s">
        <v>42</v>
      </c>
      <c r="B20" s="8" t="s">
        <v>43</v>
      </c>
      <c r="C20" s="8" t="s">
        <v>44</v>
      </c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29.25" customHeight="1">
      <c r="A22" s="24" t="s">
        <v>45</v>
      </c>
      <c r="B22" s="24"/>
      <c r="C22" s="24"/>
      <c r="D22" s="24"/>
      <c r="E22" s="24"/>
      <c r="F22" s="24"/>
      <c r="G22" s="24"/>
      <c r="H22" s="24"/>
      <c r="I22" s="24"/>
      <c r="J22" s="24"/>
    </row>
    <row r="23" spans="1:10" ht="48">
      <c r="A23" s="7" t="s">
        <v>46</v>
      </c>
      <c r="B23" s="8" t="s">
        <v>47</v>
      </c>
      <c r="C23" s="5"/>
      <c r="D23" s="5"/>
      <c r="E23" s="5"/>
      <c r="F23" s="5"/>
      <c r="G23" s="5"/>
      <c r="H23" s="5"/>
      <c r="I23" s="5"/>
      <c r="J23" s="5"/>
    </row>
    <row r="24" spans="1:10" ht="64">
      <c r="A24" s="7" t="s">
        <v>48</v>
      </c>
      <c r="B24" s="8" t="s">
        <v>49</v>
      </c>
      <c r="C24" s="5"/>
      <c r="D24" s="5"/>
      <c r="E24" s="5"/>
      <c r="F24" s="5"/>
      <c r="G24" s="5"/>
      <c r="H24" s="5"/>
      <c r="I24" s="5"/>
      <c r="J24" s="5"/>
    </row>
    <row r="25" spans="1:10" ht="32">
      <c r="A25" s="7" t="s">
        <v>50</v>
      </c>
      <c r="B25" s="8" t="s">
        <v>51</v>
      </c>
      <c r="C25" s="5"/>
      <c r="D25" s="5"/>
      <c r="E25" s="5"/>
      <c r="F25" s="5"/>
      <c r="G25" s="5"/>
      <c r="H25" s="5"/>
      <c r="I25" s="5"/>
      <c r="J25" s="5"/>
    </row>
    <row r="26" spans="1:10" ht="32">
      <c r="A26" s="7" t="s">
        <v>52</v>
      </c>
      <c r="B26" s="8" t="s">
        <v>53</v>
      </c>
      <c r="C26" s="5"/>
      <c r="D26" s="5"/>
      <c r="E26" s="5"/>
      <c r="F26" s="5"/>
      <c r="G26" s="5"/>
      <c r="H26" s="5"/>
      <c r="I26" s="5"/>
      <c r="J26" s="5"/>
    </row>
    <row r="27" spans="1:10" ht="64">
      <c r="A27" s="7" t="s">
        <v>54</v>
      </c>
      <c r="B27" s="8" t="s">
        <v>55</v>
      </c>
      <c r="C27" s="5"/>
      <c r="D27" s="5"/>
      <c r="E27" s="5"/>
      <c r="F27" s="5"/>
      <c r="G27" s="5"/>
      <c r="H27" s="5"/>
      <c r="I27" s="5"/>
      <c r="J27" s="5"/>
    </row>
    <row r="28" spans="1:10" ht="80">
      <c r="A28" s="7" t="s">
        <v>56</v>
      </c>
      <c r="B28" s="8" t="s">
        <v>57</v>
      </c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40" customHeight="1">
      <c r="A30" s="21" t="s">
        <v>58</v>
      </c>
      <c r="B30" s="21"/>
      <c r="C30" s="21"/>
      <c r="D30" s="21"/>
      <c r="E30" s="21"/>
      <c r="F30" s="21"/>
      <c r="G30" s="21"/>
      <c r="H30" s="21"/>
      <c r="I30" s="21"/>
      <c r="J30" s="21"/>
    </row>
    <row r="31" spans="1:10" ht="40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 ht="40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mergeCells count="6">
    <mergeCell ref="A30:J32"/>
    <mergeCell ref="A1:J1"/>
    <mergeCell ref="A2:J2"/>
    <mergeCell ref="A4:J4"/>
    <mergeCell ref="A12:J12"/>
    <mergeCell ref="A22:J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80"/>
  <sheetViews>
    <sheetView workbookViewId="0">
      <selection sqref="A1:J1"/>
    </sheetView>
  </sheetViews>
  <sheetFormatPr baseColWidth="10" defaultColWidth="8.83203125" defaultRowHeight="15"/>
  <cols>
    <col min="1" max="1" width="8" customWidth="1"/>
    <col min="2" max="2" width="12" customWidth="1"/>
    <col min="3" max="3" width="24" customWidth="1"/>
    <col min="4" max="4" width="14" customWidth="1"/>
    <col min="5" max="5" width="28" customWidth="1"/>
    <col min="6" max="6" width="18" customWidth="1"/>
    <col min="7" max="8" width="13" customWidth="1"/>
    <col min="9" max="9" width="30" customWidth="1"/>
    <col min="10" max="10" width="12" customWidth="1"/>
  </cols>
  <sheetData>
    <row r="1" spans="1:13" ht="37.25" customHeight="1">
      <c r="A1" s="22" t="s">
        <v>59</v>
      </c>
      <c r="B1" s="22"/>
      <c r="C1" s="22"/>
      <c r="D1" s="22"/>
      <c r="E1" s="22"/>
      <c r="F1" s="22"/>
      <c r="G1" s="22"/>
      <c r="H1" s="22"/>
      <c r="I1" s="22"/>
      <c r="J1" s="22"/>
    </row>
    <row r="2" spans="1:13" ht="50.75" customHeight="1">
      <c r="A2" s="23" t="s">
        <v>60</v>
      </c>
      <c r="B2" s="23"/>
      <c r="C2" s="23"/>
      <c r="D2" s="23"/>
      <c r="E2" s="23"/>
      <c r="F2" s="23"/>
      <c r="G2" s="23"/>
      <c r="H2" s="23"/>
      <c r="I2" s="23"/>
      <c r="J2" s="23"/>
    </row>
    <row r="3" spans="1:1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3" ht="32">
      <c r="A4" s="6" t="s">
        <v>61</v>
      </c>
      <c r="B4" s="6" t="s">
        <v>62</v>
      </c>
      <c r="C4" s="6" t="s">
        <v>63</v>
      </c>
      <c r="D4" s="6" t="s">
        <v>64</v>
      </c>
      <c r="E4" s="6" t="s">
        <v>65</v>
      </c>
      <c r="F4" s="6" t="s">
        <v>66</v>
      </c>
      <c r="G4" s="6" t="s">
        <v>67</v>
      </c>
      <c r="H4" s="6" t="s">
        <v>68</v>
      </c>
      <c r="I4" s="6" t="s">
        <v>69</v>
      </c>
      <c r="J4" s="6" t="s">
        <v>70</v>
      </c>
      <c r="L4" s="1" t="s">
        <v>71</v>
      </c>
      <c r="M4" s="1" t="s">
        <v>72</v>
      </c>
    </row>
    <row r="5" spans="1:13" ht="16">
      <c r="A5" s="8">
        <v>1</v>
      </c>
      <c r="B5" s="8"/>
      <c r="C5" s="8"/>
      <c r="D5" s="8"/>
      <c r="E5" s="8"/>
      <c r="F5" s="8"/>
      <c r="G5" s="8" t="s">
        <v>73</v>
      </c>
      <c r="H5" s="8" t="s">
        <v>73</v>
      </c>
      <c r="I5" s="8"/>
      <c r="J5" s="9" t="str">
        <f t="shared" ref="J5:J34" si="0">IF(G5="Yes","✓","")</f>
        <v/>
      </c>
      <c r="L5" s="2" t="s">
        <v>74</v>
      </c>
      <c r="M5" s="3">
        <f>COUNTIF(G5:G34,"Yes")</f>
        <v>0</v>
      </c>
    </row>
    <row r="6" spans="1:13" ht="16">
      <c r="A6" s="8">
        <v>2</v>
      </c>
      <c r="B6" s="8"/>
      <c r="C6" s="8"/>
      <c r="D6" s="8"/>
      <c r="E6" s="8"/>
      <c r="F6" s="8"/>
      <c r="G6" s="8" t="s">
        <v>73</v>
      </c>
      <c r="H6" s="8" t="s">
        <v>73</v>
      </c>
      <c r="I6" s="8"/>
      <c r="J6" s="9" t="str">
        <f t="shared" si="0"/>
        <v/>
      </c>
      <c r="L6" s="2" t="s">
        <v>75</v>
      </c>
      <c r="M6" s="3">
        <f>COUNTIF(H5:H34,"Yes")</f>
        <v>0</v>
      </c>
    </row>
    <row r="7" spans="1:13" ht="32">
      <c r="A7" s="8">
        <v>3</v>
      </c>
      <c r="B7" s="8"/>
      <c r="C7" s="8"/>
      <c r="D7" s="8"/>
      <c r="E7" s="8"/>
      <c r="F7" s="8"/>
      <c r="G7" s="8" t="s">
        <v>73</v>
      </c>
      <c r="H7" s="8" t="s">
        <v>73</v>
      </c>
      <c r="I7" s="8"/>
      <c r="J7" s="9" t="str">
        <f t="shared" si="0"/>
        <v/>
      </c>
      <c r="L7" s="2" t="s">
        <v>76</v>
      </c>
      <c r="M7" s="3">
        <f>COUNTIF(G5:G34,"No")</f>
        <v>30</v>
      </c>
    </row>
    <row r="8" spans="1:13" ht="16">
      <c r="A8" s="8">
        <v>4</v>
      </c>
      <c r="B8" s="8"/>
      <c r="C8" s="8"/>
      <c r="D8" s="8"/>
      <c r="E8" s="8"/>
      <c r="F8" s="8"/>
      <c r="G8" s="8" t="s">
        <v>73</v>
      </c>
      <c r="H8" s="8" t="s">
        <v>73</v>
      </c>
      <c r="I8" s="8"/>
      <c r="J8" s="9" t="str">
        <f t="shared" si="0"/>
        <v/>
      </c>
    </row>
    <row r="9" spans="1:13" ht="16">
      <c r="A9" s="8">
        <v>5</v>
      </c>
      <c r="B9" s="8"/>
      <c r="C9" s="8"/>
      <c r="D9" s="8"/>
      <c r="E9" s="8"/>
      <c r="F9" s="8"/>
      <c r="G9" s="8" t="s">
        <v>73</v>
      </c>
      <c r="H9" s="8" t="s">
        <v>73</v>
      </c>
      <c r="I9" s="8"/>
      <c r="J9" s="9" t="str">
        <f t="shared" si="0"/>
        <v/>
      </c>
    </row>
    <row r="10" spans="1:13" ht="16">
      <c r="A10" s="8">
        <v>6</v>
      </c>
      <c r="B10" s="8"/>
      <c r="C10" s="8"/>
      <c r="D10" s="8"/>
      <c r="E10" s="8"/>
      <c r="F10" s="8"/>
      <c r="G10" s="8" t="s">
        <v>73</v>
      </c>
      <c r="H10" s="8" t="s">
        <v>73</v>
      </c>
      <c r="I10" s="8"/>
      <c r="J10" s="9" t="str">
        <f t="shared" si="0"/>
        <v/>
      </c>
    </row>
    <row r="11" spans="1:13" ht="16">
      <c r="A11" s="8">
        <v>7</v>
      </c>
      <c r="B11" s="8"/>
      <c r="C11" s="8"/>
      <c r="D11" s="8"/>
      <c r="E11" s="8"/>
      <c r="F11" s="8"/>
      <c r="G11" s="8" t="s">
        <v>73</v>
      </c>
      <c r="H11" s="8" t="s">
        <v>73</v>
      </c>
      <c r="I11" s="8"/>
      <c r="J11" s="9" t="str">
        <f t="shared" si="0"/>
        <v/>
      </c>
    </row>
    <row r="12" spans="1:13" ht="16">
      <c r="A12" s="8">
        <v>8</v>
      </c>
      <c r="B12" s="8"/>
      <c r="C12" s="8"/>
      <c r="D12" s="8"/>
      <c r="E12" s="8"/>
      <c r="F12" s="8"/>
      <c r="G12" s="8" t="s">
        <v>73</v>
      </c>
      <c r="H12" s="8" t="s">
        <v>73</v>
      </c>
      <c r="I12" s="8"/>
      <c r="J12" s="9" t="str">
        <f t="shared" si="0"/>
        <v/>
      </c>
    </row>
    <row r="13" spans="1:13" ht="16">
      <c r="A13" s="8">
        <v>9</v>
      </c>
      <c r="B13" s="8"/>
      <c r="C13" s="8"/>
      <c r="D13" s="8"/>
      <c r="E13" s="8"/>
      <c r="F13" s="8"/>
      <c r="G13" s="8" t="s">
        <v>73</v>
      </c>
      <c r="H13" s="8" t="s">
        <v>73</v>
      </c>
      <c r="I13" s="8"/>
      <c r="J13" s="9" t="str">
        <f t="shared" si="0"/>
        <v/>
      </c>
    </row>
    <row r="14" spans="1:13" ht="16">
      <c r="A14" s="8">
        <v>10</v>
      </c>
      <c r="B14" s="8"/>
      <c r="C14" s="8"/>
      <c r="D14" s="8"/>
      <c r="E14" s="8"/>
      <c r="F14" s="8"/>
      <c r="G14" s="8" t="s">
        <v>73</v>
      </c>
      <c r="H14" s="8" t="s">
        <v>73</v>
      </c>
      <c r="I14" s="8"/>
      <c r="J14" s="9" t="str">
        <f t="shared" si="0"/>
        <v/>
      </c>
    </row>
    <row r="15" spans="1:13" ht="16">
      <c r="A15" s="8">
        <v>11</v>
      </c>
      <c r="B15" s="8"/>
      <c r="C15" s="8"/>
      <c r="D15" s="8"/>
      <c r="E15" s="8"/>
      <c r="F15" s="8"/>
      <c r="G15" s="8" t="s">
        <v>73</v>
      </c>
      <c r="H15" s="8" t="s">
        <v>73</v>
      </c>
      <c r="I15" s="8"/>
      <c r="J15" s="9" t="str">
        <f t="shared" si="0"/>
        <v/>
      </c>
    </row>
    <row r="16" spans="1:13" ht="16">
      <c r="A16" s="8">
        <v>12</v>
      </c>
      <c r="B16" s="8"/>
      <c r="C16" s="8"/>
      <c r="D16" s="8"/>
      <c r="E16" s="8"/>
      <c r="F16" s="8"/>
      <c r="G16" s="8" t="s">
        <v>73</v>
      </c>
      <c r="H16" s="8" t="s">
        <v>73</v>
      </c>
      <c r="I16" s="8"/>
      <c r="J16" s="9" t="str">
        <f t="shared" si="0"/>
        <v/>
      </c>
    </row>
    <row r="17" spans="1:10" ht="16">
      <c r="A17" s="8">
        <v>13</v>
      </c>
      <c r="B17" s="8"/>
      <c r="C17" s="8"/>
      <c r="D17" s="8"/>
      <c r="E17" s="8"/>
      <c r="F17" s="8"/>
      <c r="G17" s="8" t="s">
        <v>73</v>
      </c>
      <c r="H17" s="8" t="s">
        <v>73</v>
      </c>
      <c r="I17" s="8"/>
      <c r="J17" s="9" t="str">
        <f t="shared" si="0"/>
        <v/>
      </c>
    </row>
    <row r="18" spans="1:10" ht="16">
      <c r="A18" s="8">
        <v>14</v>
      </c>
      <c r="B18" s="8"/>
      <c r="C18" s="8"/>
      <c r="D18" s="8"/>
      <c r="E18" s="8"/>
      <c r="F18" s="8"/>
      <c r="G18" s="8" t="s">
        <v>73</v>
      </c>
      <c r="H18" s="8" t="s">
        <v>73</v>
      </c>
      <c r="I18" s="8"/>
      <c r="J18" s="9" t="str">
        <f t="shared" si="0"/>
        <v/>
      </c>
    </row>
    <row r="19" spans="1:10" ht="16">
      <c r="A19" s="8">
        <v>15</v>
      </c>
      <c r="B19" s="8"/>
      <c r="C19" s="8"/>
      <c r="D19" s="8"/>
      <c r="E19" s="8"/>
      <c r="F19" s="8"/>
      <c r="G19" s="8" t="s">
        <v>73</v>
      </c>
      <c r="H19" s="8" t="s">
        <v>73</v>
      </c>
      <c r="I19" s="8"/>
      <c r="J19" s="9" t="str">
        <f t="shared" si="0"/>
        <v/>
      </c>
    </row>
    <row r="20" spans="1:10" ht="16">
      <c r="A20" s="8">
        <v>16</v>
      </c>
      <c r="B20" s="8"/>
      <c r="C20" s="8"/>
      <c r="D20" s="8"/>
      <c r="E20" s="8"/>
      <c r="F20" s="8"/>
      <c r="G20" s="8" t="s">
        <v>73</v>
      </c>
      <c r="H20" s="8" t="s">
        <v>73</v>
      </c>
      <c r="I20" s="8"/>
      <c r="J20" s="9" t="str">
        <f t="shared" si="0"/>
        <v/>
      </c>
    </row>
    <row r="21" spans="1:10" ht="16">
      <c r="A21" s="8">
        <v>17</v>
      </c>
      <c r="B21" s="8"/>
      <c r="C21" s="8"/>
      <c r="D21" s="8"/>
      <c r="E21" s="8"/>
      <c r="F21" s="8"/>
      <c r="G21" s="8" t="s">
        <v>73</v>
      </c>
      <c r="H21" s="8" t="s">
        <v>73</v>
      </c>
      <c r="I21" s="8"/>
      <c r="J21" s="9" t="str">
        <f t="shared" si="0"/>
        <v/>
      </c>
    </row>
    <row r="22" spans="1:10" ht="16">
      <c r="A22" s="8">
        <v>18</v>
      </c>
      <c r="B22" s="8"/>
      <c r="C22" s="8"/>
      <c r="D22" s="8"/>
      <c r="E22" s="8"/>
      <c r="F22" s="8"/>
      <c r="G22" s="8" t="s">
        <v>73</v>
      </c>
      <c r="H22" s="8" t="s">
        <v>73</v>
      </c>
      <c r="I22" s="8"/>
      <c r="J22" s="9" t="str">
        <f t="shared" si="0"/>
        <v/>
      </c>
    </row>
    <row r="23" spans="1:10" ht="16">
      <c r="A23" s="8">
        <v>19</v>
      </c>
      <c r="B23" s="8"/>
      <c r="C23" s="8"/>
      <c r="D23" s="8"/>
      <c r="E23" s="8"/>
      <c r="F23" s="8"/>
      <c r="G23" s="8" t="s">
        <v>73</v>
      </c>
      <c r="H23" s="8" t="s">
        <v>73</v>
      </c>
      <c r="I23" s="8"/>
      <c r="J23" s="9" t="str">
        <f t="shared" si="0"/>
        <v/>
      </c>
    </row>
    <row r="24" spans="1:10" ht="16">
      <c r="A24" s="8">
        <v>20</v>
      </c>
      <c r="B24" s="8"/>
      <c r="C24" s="8"/>
      <c r="D24" s="8"/>
      <c r="E24" s="8"/>
      <c r="F24" s="8"/>
      <c r="G24" s="8" t="s">
        <v>73</v>
      </c>
      <c r="H24" s="8" t="s">
        <v>73</v>
      </c>
      <c r="I24" s="8"/>
      <c r="J24" s="9" t="str">
        <f t="shared" si="0"/>
        <v/>
      </c>
    </row>
    <row r="25" spans="1:10" ht="16">
      <c r="A25" s="8">
        <v>21</v>
      </c>
      <c r="B25" s="8"/>
      <c r="C25" s="8"/>
      <c r="D25" s="8"/>
      <c r="E25" s="8"/>
      <c r="F25" s="8"/>
      <c r="G25" s="8" t="s">
        <v>73</v>
      </c>
      <c r="H25" s="8" t="s">
        <v>73</v>
      </c>
      <c r="I25" s="8"/>
      <c r="J25" s="9" t="str">
        <f t="shared" si="0"/>
        <v/>
      </c>
    </row>
    <row r="26" spans="1:10" ht="16">
      <c r="A26" s="8">
        <v>22</v>
      </c>
      <c r="B26" s="8"/>
      <c r="C26" s="8"/>
      <c r="D26" s="8"/>
      <c r="E26" s="8"/>
      <c r="F26" s="8"/>
      <c r="G26" s="8" t="s">
        <v>73</v>
      </c>
      <c r="H26" s="8" t="s">
        <v>73</v>
      </c>
      <c r="I26" s="8"/>
      <c r="J26" s="9" t="str">
        <f t="shared" si="0"/>
        <v/>
      </c>
    </row>
    <row r="27" spans="1:10" ht="16">
      <c r="A27" s="8">
        <v>23</v>
      </c>
      <c r="B27" s="8"/>
      <c r="C27" s="8"/>
      <c r="D27" s="8"/>
      <c r="E27" s="8"/>
      <c r="F27" s="8"/>
      <c r="G27" s="8" t="s">
        <v>73</v>
      </c>
      <c r="H27" s="8" t="s">
        <v>73</v>
      </c>
      <c r="I27" s="8"/>
      <c r="J27" s="9" t="str">
        <f t="shared" si="0"/>
        <v/>
      </c>
    </row>
    <row r="28" spans="1:10" ht="16">
      <c r="A28" s="8">
        <v>24</v>
      </c>
      <c r="B28" s="8"/>
      <c r="C28" s="8"/>
      <c r="D28" s="8"/>
      <c r="E28" s="8"/>
      <c r="F28" s="8"/>
      <c r="G28" s="8" t="s">
        <v>73</v>
      </c>
      <c r="H28" s="8" t="s">
        <v>73</v>
      </c>
      <c r="I28" s="8"/>
      <c r="J28" s="9" t="str">
        <f t="shared" si="0"/>
        <v/>
      </c>
    </row>
    <row r="29" spans="1:10" ht="16">
      <c r="A29" s="8">
        <v>25</v>
      </c>
      <c r="B29" s="8"/>
      <c r="C29" s="8"/>
      <c r="D29" s="8"/>
      <c r="E29" s="8"/>
      <c r="F29" s="8"/>
      <c r="G29" s="8" t="s">
        <v>73</v>
      </c>
      <c r="H29" s="8" t="s">
        <v>73</v>
      </c>
      <c r="I29" s="8"/>
      <c r="J29" s="9" t="str">
        <f t="shared" si="0"/>
        <v/>
      </c>
    </row>
    <row r="30" spans="1:10" ht="16">
      <c r="A30" s="8">
        <v>26</v>
      </c>
      <c r="B30" s="8"/>
      <c r="C30" s="8"/>
      <c r="D30" s="8"/>
      <c r="E30" s="8"/>
      <c r="F30" s="8"/>
      <c r="G30" s="8" t="s">
        <v>73</v>
      </c>
      <c r="H30" s="8" t="s">
        <v>73</v>
      </c>
      <c r="I30" s="8"/>
      <c r="J30" s="9" t="str">
        <f t="shared" si="0"/>
        <v/>
      </c>
    </row>
    <row r="31" spans="1:10" ht="16">
      <c r="A31" s="8">
        <v>27</v>
      </c>
      <c r="B31" s="8"/>
      <c r="C31" s="8"/>
      <c r="D31" s="8"/>
      <c r="E31" s="8"/>
      <c r="F31" s="8"/>
      <c r="G31" s="8" t="s">
        <v>73</v>
      </c>
      <c r="H31" s="8" t="s">
        <v>73</v>
      </c>
      <c r="I31" s="8"/>
      <c r="J31" s="9" t="str">
        <f t="shared" si="0"/>
        <v/>
      </c>
    </row>
    <row r="32" spans="1:10" ht="16">
      <c r="A32" s="8">
        <v>28</v>
      </c>
      <c r="B32" s="8"/>
      <c r="C32" s="8"/>
      <c r="D32" s="8"/>
      <c r="E32" s="8"/>
      <c r="F32" s="8"/>
      <c r="G32" s="8" t="s">
        <v>73</v>
      </c>
      <c r="H32" s="8" t="s">
        <v>73</v>
      </c>
      <c r="I32" s="8"/>
      <c r="J32" s="9" t="str">
        <f t="shared" si="0"/>
        <v/>
      </c>
    </row>
    <row r="33" spans="1:10" ht="16">
      <c r="A33" s="8">
        <v>29</v>
      </c>
      <c r="B33" s="8"/>
      <c r="C33" s="8"/>
      <c r="D33" s="8"/>
      <c r="E33" s="8"/>
      <c r="F33" s="8"/>
      <c r="G33" s="8" t="s">
        <v>73</v>
      </c>
      <c r="H33" s="8" t="s">
        <v>73</v>
      </c>
      <c r="I33" s="8"/>
      <c r="J33" s="9" t="str">
        <f t="shared" si="0"/>
        <v/>
      </c>
    </row>
    <row r="34" spans="1:10" ht="16">
      <c r="A34" s="8">
        <v>30</v>
      </c>
      <c r="B34" s="8"/>
      <c r="C34" s="8"/>
      <c r="D34" s="8"/>
      <c r="E34" s="8"/>
      <c r="F34" s="8"/>
      <c r="G34" s="8" t="s">
        <v>73</v>
      </c>
      <c r="H34" s="8" t="s">
        <v>73</v>
      </c>
      <c r="I34" s="8"/>
      <c r="J34" s="9" t="str">
        <f t="shared" si="0"/>
        <v/>
      </c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mergeCells count="2">
    <mergeCell ref="A1:J1"/>
    <mergeCell ref="A2:J2"/>
  </mergeCells>
  <dataValidations count="1">
    <dataValidation type="list" sqref="G5:H34" xr:uid="{00000000-0002-0000-0100-000000000000}">
      <formula1>"No,Yes"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80"/>
  <sheetViews>
    <sheetView workbookViewId="0">
      <selection sqref="A1:J1"/>
    </sheetView>
  </sheetViews>
  <sheetFormatPr baseColWidth="10" defaultColWidth="8.83203125" defaultRowHeight="15"/>
  <cols>
    <col min="1" max="1" width="30" customWidth="1"/>
    <col min="2" max="2" width="16" customWidth="1"/>
    <col min="3" max="3" width="4" customWidth="1"/>
    <col min="4" max="4" width="32" customWidth="1"/>
    <col min="5" max="5" width="18" customWidth="1"/>
    <col min="6" max="6" width="4" customWidth="1"/>
    <col min="7" max="7" width="32" customWidth="1"/>
    <col min="8" max="10" width="18" customWidth="1"/>
  </cols>
  <sheetData>
    <row r="1" spans="1:10" ht="37.25" customHeight="1">
      <c r="A1" s="22" t="s">
        <v>77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50.75" customHeight="1">
      <c r="A2" s="23" t="s">
        <v>78</v>
      </c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9.25" customHeight="1">
      <c r="A4" s="24" t="s">
        <v>79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ht="16">
      <c r="A5" s="7" t="s">
        <v>80</v>
      </c>
      <c r="B5" s="10">
        <v>0</v>
      </c>
      <c r="C5" s="5"/>
      <c r="D5" s="7" t="s">
        <v>81</v>
      </c>
      <c r="E5" s="11" t="e">
        <f ca="1">IF(OR(B5="",B6="",B7=""),"",_xludf.NORM.DIST(B7,B5,B6,TRUE))</f>
        <v>#NAME?</v>
      </c>
      <c r="F5" s="5"/>
      <c r="G5" s="5"/>
      <c r="H5" s="5"/>
      <c r="I5" s="5"/>
      <c r="J5" s="5"/>
    </row>
    <row r="6" spans="1:10" ht="16">
      <c r="A6" s="7" t="s">
        <v>82</v>
      </c>
      <c r="B6" s="10">
        <v>1</v>
      </c>
      <c r="C6" s="5"/>
      <c r="D6" s="7" t="s">
        <v>83</v>
      </c>
      <c r="E6" s="11" t="e">
        <f ca="1">IF(E5="","",1-E5)</f>
        <v>#NAME?</v>
      </c>
      <c r="F6" s="5"/>
      <c r="G6" s="5"/>
      <c r="H6" s="5"/>
      <c r="I6" s="5"/>
      <c r="J6" s="5"/>
    </row>
    <row r="7" spans="1:10" ht="16">
      <c r="A7" s="7" t="s">
        <v>84</v>
      </c>
      <c r="B7" s="10">
        <v>0</v>
      </c>
      <c r="C7" s="5"/>
      <c r="D7" s="7" t="s">
        <v>85</v>
      </c>
      <c r="E7" s="11" t="e">
        <f ca="1">IF(OR(B5="",B6="",B8="",B9=""),"",_xludf.NORM.DIST(B9,B5,B6,TRUE)-_xludf.NORM.DIST(B8,B5,B6,TRUE))</f>
        <v>#NAME?</v>
      </c>
      <c r="F7" s="5"/>
      <c r="G7" s="5"/>
      <c r="H7" s="5"/>
      <c r="I7" s="5"/>
      <c r="J7" s="5"/>
    </row>
    <row r="8" spans="1:10" ht="16">
      <c r="A8" s="7" t="s">
        <v>86</v>
      </c>
      <c r="B8" s="10">
        <v>-1</v>
      </c>
      <c r="C8" s="5"/>
      <c r="D8" s="7" t="s">
        <v>87</v>
      </c>
      <c r="E8" s="11" t="e">
        <f ca="1">IF(OR(B5="",B6="",B10=""),"",_xludf.NORM.INV(B10,B5,B6))</f>
        <v>#NAME?</v>
      </c>
      <c r="F8" s="5"/>
      <c r="G8" s="5"/>
      <c r="H8" s="5"/>
      <c r="I8" s="5"/>
      <c r="J8" s="5"/>
    </row>
    <row r="9" spans="1:10" ht="16">
      <c r="A9" s="7" t="s">
        <v>88</v>
      </c>
      <c r="B9" s="10">
        <v>1</v>
      </c>
      <c r="C9" s="5"/>
      <c r="D9" s="7" t="s">
        <v>89</v>
      </c>
      <c r="E9" s="11" t="e">
        <f ca="1">IF(OR(B5="",B6="",B10=""),"",_xludf.NORM.INV(1-B10,B5,B6))</f>
        <v>#NAME?</v>
      </c>
      <c r="F9" s="5"/>
      <c r="G9" s="5"/>
      <c r="H9" s="5"/>
      <c r="I9" s="5"/>
      <c r="J9" s="5"/>
    </row>
    <row r="10" spans="1:10" ht="16">
      <c r="A10" s="7" t="s">
        <v>90</v>
      </c>
      <c r="B10" s="10">
        <v>0.95</v>
      </c>
      <c r="C10" s="5"/>
      <c r="D10" s="7" t="s">
        <v>91</v>
      </c>
      <c r="E10" s="11" t="e">
        <f ca="1">IF(OR(B5="",B6="",B11=""),"",_xludf.NORM.INV((1-B11)/2,B5,B6))</f>
        <v>#NAME?</v>
      </c>
      <c r="F10" s="5"/>
      <c r="G10" s="5"/>
      <c r="H10" s="5"/>
      <c r="I10" s="5"/>
      <c r="J10" s="5"/>
    </row>
    <row r="11" spans="1:10" ht="16">
      <c r="A11" s="7" t="s">
        <v>92</v>
      </c>
      <c r="B11" s="10">
        <v>0.95</v>
      </c>
      <c r="C11" s="5"/>
      <c r="D11" s="7" t="s">
        <v>93</v>
      </c>
      <c r="E11" s="11" t="e">
        <f ca="1">IF(OR(B5="",B6="",B11=""),"",_xludf.NORM.INV(1-(1-B11)/2,B5,B6))</f>
        <v>#NAME?</v>
      </c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ht="29.25" customHeight="1">
      <c r="A14" s="24" t="s">
        <v>94</v>
      </c>
      <c r="B14" s="24"/>
      <c r="C14" s="24"/>
      <c r="D14" s="24"/>
      <c r="E14" s="24"/>
      <c r="F14" s="24"/>
      <c r="G14" s="24"/>
      <c r="H14" s="24"/>
      <c r="I14" s="24"/>
      <c r="J14" s="24"/>
    </row>
    <row r="15" spans="1:10" ht="16">
      <c r="A15" s="7" t="s">
        <v>95</v>
      </c>
      <c r="B15" s="12">
        <v>0</v>
      </c>
      <c r="C15" s="5"/>
      <c r="D15" s="7" t="s">
        <v>96</v>
      </c>
      <c r="E15" s="11">
        <f>IF(OR(B15="",B16="",B17="",B18="",B16&lt;=B15),"",(B18-B17)/(B16-B15))</f>
        <v>0.1</v>
      </c>
      <c r="F15" s="5"/>
      <c r="G15" s="5"/>
      <c r="H15" s="5"/>
      <c r="I15" s="5"/>
      <c r="J15" s="5"/>
    </row>
    <row r="16" spans="1:10" ht="16">
      <c r="A16" s="7" t="s">
        <v>97</v>
      </c>
      <c r="B16" s="12">
        <v>10</v>
      </c>
      <c r="C16" s="5"/>
      <c r="D16" s="7" t="s">
        <v>98</v>
      </c>
      <c r="E16" s="11">
        <f>IF(OR(B15="",B16=""),"",(B15+B16)/2)</f>
        <v>5</v>
      </c>
      <c r="F16" s="5"/>
      <c r="G16" s="5"/>
      <c r="H16" s="5"/>
      <c r="I16" s="5"/>
      <c r="J16" s="5"/>
    </row>
    <row r="17" spans="1:10" ht="16">
      <c r="A17" s="7" t="s">
        <v>99</v>
      </c>
      <c r="B17" s="12">
        <v>2</v>
      </c>
      <c r="C17" s="5"/>
      <c r="D17" s="7" t="s">
        <v>100</v>
      </c>
      <c r="E17" s="11">
        <f>IF(OR(B15="",B16=""),"",(B16-B15)^2/12)</f>
        <v>8.3333333333333339</v>
      </c>
      <c r="F17" s="5"/>
      <c r="G17" s="5"/>
      <c r="H17" s="5"/>
      <c r="I17" s="5"/>
      <c r="J17" s="5"/>
    </row>
    <row r="18" spans="1:10" ht="16">
      <c r="A18" s="7" t="s">
        <v>101</v>
      </c>
      <c r="B18" s="12">
        <v>3</v>
      </c>
      <c r="C18" s="5"/>
      <c r="D18" s="7" t="s">
        <v>102</v>
      </c>
      <c r="E18" s="11">
        <f>IF(E17="","",SQRT(E17))</f>
        <v>2.8867513459481291</v>
      </c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29.25" customHeight="1">
      <c r="A21" s="24" t="s">
        <v>103</v>
      </c>
      <c r="B21" s="24"/>
      <c r="C21" s="24"/>
      <c r="D21" s="24"/>
      <c r="E21" s="24"/>
      <c r="F21" s="24"/>
      <c r="G21" s="24"/>
      <c r="H21" s="24"/>
      <c r="I21" s="24"/>
      <c r="J21" s="24"/>
    </row>
    <row r="22" spans="1:10" ht="16">
      <c r="A22" s="7" t="s">
        <v>104</v>
      </c>
      <c r="B22" s="12">
        <v>5</v>
      </c>
      <c r="C22" s="5"/>
      <c r="D22" s="7" t="s">
        <v>105</v>
      </c>
      <c r="E22" s="11">
        <f>IF(OR(B22="",B22&lt;=0),"",1/B22)</f>
        <v>0.2</v>
      </c>
      <c r="F22" s="5"/>
      <c r="G22" s="5"/>
      <c r="H22" s="5"/>
      <c r="I22" s="5"/>
      <c r="J22" s="5"/>
    </row>
    <row r="23" spans="1:10" ht="16">
      <c r="A23" s="7" t="s">
        <v>84</v>
      </c>
      <c r="B23" s="12">
        <v>0.3</v>
      </c>
      <c r="C23" s="5"/>
      <c r="D23" s="7" t="s">
        <v>102</v>
      </c>
      <c r="E23" s="11">
        <f>IF(E22="","",E22)</f>
        <v>0.2</v>
      </c>
      <c r="F23" s="5"/>
      <c r="G23" s="5"/>
      <c r="H23" s="5"/>
      <c r="I23" s="5"/>
      <c r="J23" s="5"/>
    </row>
    <row r="24" spans="1:10" ht="16">
      <c r="A24" s="7" t="s">
        <v>86</v>
      </c>
      <c r="B24" s="12">
        <v>0.1</v>
      </c>
      <c r="C24" s="5"/>
      <c r="D24" s="7" t="s">
        <v>106</v>
      </c>
      <c r="E24" s="11">
        <f>IF(OR(B22="",B23=""),"",1-EXP(-B22*B23))</f>
        <v>0.77686983985157021</v>
      </c>
      <c r="F24" s="5"/>
      <c r="G24" s="5"/>
      <c r="H24" s="5"/>
      <c r="I24" s="5"/>
      <c r="J24" s="5"/>
    </row>
    <row r="25" spans="1:10" ht="16">
      <c r="A25" s="7" t="s">
        <v>88</v>
      </c>
      <c r="B25" s="12">
        <v>0.2</v>
      </c>
      <c r="C25" s="5"/>
      <c r="D25" s="7" t="s">
        <v>83</v>
      </c>
      <c r="E25" s="11">
        <f>IF(OR(B22="",B23=""),"",EXP(-B22*B23))</f>
        <v>0.22313016014842982</v>
      </c>
      <c r="F25" s="5"/>
      <c r="G25" s="5"/>
      <c r="H25" s="5"/>
      <c r="I25" s="5"/>
      <c r="J25" s="5"/>
    </row>
    <row r="26" spans="1:10" ht="16">
      <c r="A26" s="5"/>
      <c r="B26" s="5"/>
      <c r="C26" s="5"/>
      <c r="D26" s="7" t="s">
        <v>85</v>
      </c>
      <c r="E26" s="11">
        <f>IF(OR(B22="",B24="",B25=""),"",EXP(-B22*B24)-EXP(-B22*B25))</f>
        <v>0.23865121854119109</v>
      </c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23" t="s">
        <v>107</v>
      </c>
      <c r="B28" s="23"/>
      <c r="C28" s="23"/>
      <c r="D28" s="23"/>
      <c r="E28" s="23"/>
      <c r="F28" s="23"/>
      <c r="G28" s="23"/>
      <c r="H28" s="23"/>
      <c r="I28" s="23"/>
      <c r="J28" s="23"/>
    </row>
    <row r="29" spans="1:10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mergeCells count="6">
    <mergeCell ref="A28:J29"/>
    <mergeCell ref="A1:J1"/>
    <mergeCell ref="A2:J2"/>
    <mergeCell ref="A4:J4"/>
    <mergeCell ref="A14:J14"/>
    <mergeCell ref="A21:J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80"/>
  <sheetViews>
    <sheetView workbookViewId="0">
      <selection sqref="A1:J1"/>
    </sheetView>
  </sheetViews>
  <sheetFormatPr baseColWidth="10" defaultColWidth="8.83203125" defaultRowHeight="15"/>
  <cols>
    <col min="1" max="1" width="31" customWidth="1"/>
    <col min="2" max="2" width="17" customWidth="1"/>
    <col min="3" max="3" width="4" customWidth="1"/>
    <col min="4" max="4" width="33" customWidth="1"/>
    <col min="5" max="5" width="19" customWidth="1"/>
    <col min="6" max="6" width="4" customWidth="1"/>
    <col min="7" max="7" width="30" customWidth="1"/>
    <col min="8" max="10" width="18" customWidth="1"/>
  </cols>
  <sheetData>
    <row r="1" spans="1:10" ht="37.25" customHeight="1">
      <c r="A1" s="22" t="s">
        <v>108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50.75" customHeight="1">
      <c r="A2" s="23" t="s">
        <v>109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9.25" customHeight="1">
      <c r="A4" s="24" t="s">
        <v>110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ht="16">
      <c r="A5" s="7" t="s">
        <v>111</v>
      </c>
      <c r="B5" s="12">
        <v>100</v>
      </c>
      <c r="C5" s="5"/>
      <c r="D5" s="7" t="s">
        <v>112</v>
      </c>
      <c r="E5" s="11">
        <f>IF(B5="","",B5)</f>
        <v>100</v>
      </c>
      <c r="F5" s="5"/>
      <c r="G5" s="5"/>
      <c r="H5" s="5"/>
      <c r="I5" s="5"/>
      <c r="J5" s="5"/>
    </row>
    <row r="6" spans="1:10" ht="16">
      <c r="A6" s="7" t="s">
        <v>113</v>
      </c>
      <c r="B6" s="12">
        <v>10</v>
      </c>
      <c r="C6" s="5"/>
      <c r="D6" s="7" t="s">
        <v>114</v>
      </c>
      <c r="E6" s="11">
        <f>IF(OR(B6="",B7="",B7&lt;=0),"",B6/SQRT(B7))</f>
        <v>2</v>
      </c>
      <c r="F6" s="5"/>
      <c r="G6" s="5"/>
      <c r="H6" s="5"/>
      <c r="I6" s="5"/>
      <c r="J6" s="5"/>
    </row>
    <row r="7" spans="1:10" ht="16">
      <c r="A7" s="7" t="s">
        <v>115</v>
      </c>
      <c r="B7" s="12">
        <v>25</v>
      </c>
      <c r="C7" s="5"/>
      <c r="D7" s="7" t="s">
        <v>116</v>
      </c>
      <c r="E7" s="11" t="e">
        <f ca="1">IF(OR(E6="",B8=""),"",_xludf.NORM.DIST(B8,B5,E6,TRUE))</f>
        <v>#NAME?</v>
      </c>
      <c r="F7" s="5"/>
      <c r="G7" s="5"/>
      <c r="H7" s="5"/>
      <c r="I7" s="5"/>
      <c r="J7" s="5"/>
    </row>
    <row r="8" spans="1:10" ht="16">
      <c r="A8" s="7" t="s">
        <v>117</v>
      </c>
      <c r="B8" s="12">
        <v>95</v>
      </c>
      <c r="C8" s="5"/>
      <c r="D8" s="7" t="s">
        <v>118</v>
      </c>
      <c r="E8" s="11" t="e">
        <f ca="1">IF(OR(E6="",B8="",B9=""),"",_xludf.NORM.DIST(B9,B5,E6,TRUE)-_xludf.NORM.DIST(B8,B5,E6,TRUE))</f>
        <v>#NAME?</v>
      </c>
      <c r="F8" s="5"/>
      <c r="G8" s="5"/>
      <c r="H8" s="5"/>
      <c r="I8" s="5"/>
      <c r="J8" s="5"/>
    </row>
    <row r="9" spans="1:10" ht="16">
      <c r="A9" s="7" t="s">
        <v>119</v>
      </c>
      <c r="B9" s="12">
        <v>97.5</v>
      </c>
      <c r="C9" s="5"/>
      <c r="D9" s="7" t="s">
        <v>120</v>
      </c>
      <c r="E9" s="11" t="e">
        <f ca="1">IF(OR(E6="",B9=""),"",1-_xludf.NORM.DIST(B9,B5,E6,TRUE))</f>
        <v>#NAME?</v>
      </c>
      <c r="F9" s="5"/>
      <c r="G9" s="5"/>
      <c r="H9" s="5"/>
      <c r="I9" s="5"/>
      <c r="J9" s="5"/>
    </row>
    <row r="10" spans="1:10" ht="16">
      <c r="A10" s="7" t="s">
        <v>121</v>
      </c>
      <c r="B10" s="12">
        <v>0.95</v>
      </c>
      <c r="C10" s="5"/>
      <c r="D10" s="7" t="s">
        <v>122</v>
      </c>
      <c r="E10" s="11" t="e">
        <f ca="1">IF(OR(E6="",B10=""),"",_xludf.NORM.INV(B10,B5,E6))</f>
        <v>#NAME?</v>
      </c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29.25" customHeight="1">
      <c r="A13" s="24" t="s">
        <v>123</v>
      </c>
      <c r="B13" s="24"/>
      <c r="C13" s="24"/>
      <c r="D13" s="24"/>
      <c r="E13" s="24"/>
      <c r="F13" s="24"/>
      <c r="G13" s="24"/>
      <c r="H13" s="24"/>
      <c r="I13" s="24"/>
      <c r="J13" s="24"/>
    </row>
    <row r="14" spans="1:10" ht="16">
      <c r="A14" s="7" t="s">
        <v>124</v>
      </c>
      <c r="B14" s="12">
        <v>0.7</v>
      </c>
      <c r="C14" s="5"/>
      <c r="D14" s="7" t="s">
        <v>125</v>
      </c>
      <c r="E14" s="11">
        <f>IF(B14="","",B14)</f>
        <v>0.7</v>
      </c>
      <c r="F14" s="5"/>
      <c r="G14" s="5"/>
      <c r="H14" s="5"/>
      <c r="I14" s="5"/>
      <c r="J14" s="5"/>
    </row>
    <row r="15" spans="1:10" ht="16">
      <c r="A15" s="7" t="s">
        <v>115</v>
      </c>
      <c r="B15" s="12">
        <v>64</v>
      </c>
      <c r="C15" s="5"/>
      <c r="D15" s="7" t="s">
        <v>126</v>
      </c>
      <c r="E15" s="11">
        <f>IF(OR(B14="",B15="",B15&lt;=0),"",SQRT(B14*(1-B14)/B15))</f>
        <v>5.7282196186948006E-2</v>
      </c>
      <c r="F15" s="5"/>
      <c r="G15" s="5"/>
      <c r="H15" s="5"/>
      <c r="I15" s="5"/>
      <c r="J15" s="5"/>
    </row>
    <row r="16" spans="1:10" ht="16">
      <c r="A16" s="7" t="s">
        <v>127</v>
      </c>
      <c r="B16" s="12">
        <v>0.6</v>
      </c>
      <c r="C16" s="5"/>
      <c r="D16" s="7" t="s">
        <v>128</v>
      </c>
      <c r="E16" s="13">
        <f>IF(OR(B14="",B15=""),"",B15*B14)</f>
        <v>44.8</v>
      </c>
      <c r="F16" s="5"/>
      <c r="G16" s="5"/>
      <c r="H16" s="5"/>
      <c r="I16" s="5"/>
      <c r="J16" s="5"/>
    </row>
    <row r="17" spans="1:10" ht="16">
      <c r="A17" s="7" t="s">
        <v>129</v>
      </c>
      <c r="B17" s="12">
        <v>0.8</v>
      </c>
      <c r="C17" s="5"/>
      <c r="D17" s="7" t="s">
        <v>130</v>
      </c>
      <c r="E17" s="13">
        <f>IF(OR(B14="",B15=""),"",B15*(1-B14))</f>
        <v>19.200000000000003</v>
      </c>
      <c r="F17" s="5"/>
      <c r="G17" s="5"/>
      <c r="H17" s="5"/>
      <c r="I17" s="5"/>
      <c r="J17" s="5"/>
    </row>
    <row r="18" spans="1:10" ht="16">
      <c r="A18" s="5"/>
      <c r="B18" s="5"/>
      <c r="C18" s="5"/>
      <c r="D18" s="7" t="s">
        <v>131</v>
      </c>
      <c r="E18" s="14" t="str">
        <f>IF(OR(E16="",E17=""),"",IF(AND(E16&gt;=5,E17&gt;=5),"PASS","CHECK"))</f>
        <v>PASS</v>
      </c>
      <c r="F18" s="5"/>
      <c r="G18" s="5"/>
      <c r="H18" s="5"/>
      <c r="I18" s="5"/>
      <c r="J18" s="5"/>
    </row>
    <row r="19" spans="1:10" ht="16">
      <c r="A19" s="5"/>
      <c r="B19" s="5"/>
      <c r="C19" s="5"/>
      <c r="D19" s="7" t="s">
        <v>132</v>
      </c>
      <c r="E19" s="11" t="e">
        <f ca="1">IF(OR(E15="",B16="",B17=""),"",_xludf.NORM.DIST(B17,B14,E15,TRUE)-_xludf.NORM.DIST(B16,B14,E15,TRUE))</f>
        <v>#NAME?</v>
      </c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29.25" customHeight="1">
      <c r="A22" s="24" t="s">
        <v>133</v>
      </c>
      <c r="B22" s="24"/>
      <c r="C22" s="24"/>
      <c r="D22" s="24"/>
      <c r="E22" s="24"/>
      <c r="F22" s="24"/>
      <c r="G22" s="24"/>
      <c r="H22" s="24"/>
      <c r="I22" s="24"/>
      <c r="J22" s="24"/>
    </row>
    <row r="23" spans="1:10" ht="16">
      <c r="A23" s="7" t="s">
        <v>134</v>
      </c>
      <c r="B23" s="12">
        <v>50</v>
      </c>
      <c r="C23" s="5"/>
      <c r="D23" s="7" t="s">
        <v>135</v>
      </c>
      <c r="E23" s="11">
        <f>IF(OR(B23="",B24=""),"",B23-B24)</f>
        <v>3</v>
      </c>
      <c r="F23" s="5"/>
      <c r="G23" s="5"/>
      <c r="H23" s="5"/>
      <c r="I23" s="5"/>
      <c r="J23" s="5"/>
    </row>
    <row r="24" spans="1:10" ht="16">
      <c r="A24" s="7" t="s">
        <v>136</v>
      </c>
      <c r="B24" s="12">
        <v>47</v>
      </c>
      <c r="C24" s="5"/>
      <c r="D24" s="7" t="s">
        <v>137</v>
      </c>
      <c r="E24" s="11">
        <f>IF(OR(B25="",B26="",B27="",B28=""),"",SQRT(B25^2/B27+B26^2/B28))</f>
        <v>1.6212869667555552</v>
      </c>
      <c r="F24" s="5"/>
      <c r="G24" s="5"/>
      <c r="H24" s="5"/>
      <c r="I24" s="5"/>
      <c r="J24" s="5"/>
    </row>
    <row r="25" spans="1:10" ht="16">
      <c r="A25" s="7" t="s">
        <v>138</v>
      </c>
      <c r="B25" s="12">
        <v>8</v>
      </c>
      <c r="C25" s="5"/>
      <c r="D25" s="7" t="s">
        <v>139</v>
      </c>
      <c r="E25" s="11" t="e">
        <f ca="1">IF(OR(E23="",E24="",B29="",B30=""),"",_xludf.NORM.DIST(B30,E23,E24,TRUE)-_xludf.NORM.DIST(B29,E23,E24,TRUE))</f>
        <v>#NAME?</v>
      </c>
      <c r="F25" s="5"/>
      <c r="G25" s="5"/>
      <c r="H25" s="5"/>
      <c r="I25" s="5"/>
      <c r="J25" s="5"/>
    </row>
    <row r="26" spans="1:10" ht="16">
      <c r="A26" s="7" t="s">
        <v>140</v>
      </c>
      <c r="B26" s="12">
        <v>6</v>
      </c>
      <c r="C26" s="5"/>
      <c r="D26" s="5"/>
      <c r="E26" s="5"/>
      <c r="F26" s="5"/>
      <c r="G26" s="5"/>
      <c r="H26" s="5"/>
      <c r="I26" s="5"/>
      <c r="J26" s="5"/>
    </row>
    <row r="27" spans="1:10" ht="16">
      <c r="A27" s="7" t="s">
        <v>141</v>
      </c>
      <c r="B27" s="12">
        <v>40</v>
      </c>
      <c r="C27" s="5"/>
      <c r="D27" s="5"/>
      <c r="E27" s="5"/>
      <c r="F27" s="5"/>
      <c r="G27" s="5"/>
      <c r="H27" s="5"/>
      <c r="I27" s="5"/>
      <c r="J27" s="5"/>
    </row>
    <row r="28" spans="1:10" ht="16">
      <c r="A28" s="7" t="s">
        <v>142</v>
      </c>
      <c r="B28" s="12">
        <v>35</v>
      </c>
      <c r="C28" s="5"/>
      <c r="D28" s="5"/>
      <c r="E28" s="5"/>
      <c r="F28" s="5"/>
      <c r="G28" s="5"/>
      <c r="H28" s="5"/>
      <c r="I28" s="5"/>
      <c r="J28" s="5"/>
    </row>
    <row r="29" spans="1:10" ht="16">
      <c r="A29" s="7" t="s">
        <v>143</v>
      </c>
      <c r="B29" s="12">
        <v>0</v>
      </c>
      <c r="C29" s="5"/>
      <c r="D29" s="5"/>
      <c r="E29" s="5"/>
      <c r="F29" s="5"/>
      <c r="G29" s="5"/>
      <c r="H29" s="5"/>
      <c r="I29" s="5"/>
      <c r="J29" s="5"/>
    </row>
    <row r="30" spans="1:10" ht="16">
      <c r="A30" s="7" t="s">
        <v>144</v>
      </c>
      <c r="B30" s="12">
        <v>5</v>
      </c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29.25" customHeight="1">
      <c r="A33" s="24" t="s">
        <v>145</v>
      </c>
      <c r="B33" s="24"/>
      <c r="C33" s="24"/>
      <c r="D33" s="24"/>
      <c r="E33" s="24"/>
      <c r="F33" s="24"/>
      <c r="G33" s="24"/>
      <c r="H33" s="24"/>
      <c r="I33" s="24"/>
      <c r="J33" s="24"/>
    </row>
    <row r="34" spans="1:10" ht="16">
      <c r="A34" s="7" t="s">
        <v>146</v>
      </c>
      <c r="B34" s="12">
        <v>1000</v>
      </c>
      <c r="C34" s="5"/>
      <c r="D34" s="7" t="s">
        <v>147</v>
      </c>
      <c r="E34" s="11">
        <f>IF(OR(B34="",B35=""),"",B35/B34)</f>
        <v>0.1</v>
      </c>
      <c r="F34" s="5"/>
      <c r="G34" s="5"/>
      <c r="H34" s="5"/>
      <c r="I34" s="5"/>
      <c r="J34" s="5"/>
    </row>
    <row r="35" spans="1:10" ht="16">
      <c r="A35" s="7" t="s">
        <v>115</v>
      </c>
      <c r="B35" s="12">
        <v>100</v>
      </c>
      <c r="C35" s="5"/>
      <c r="D35" s="7" t="s">
        <v>148</v>
      </c>
      <c r="E35" s="11">
        <f>IF(OR(B34="",B35="",B37=""),"",IF(AND(B37="Yes",B35/B34&gt;0.05),SQRT((B34-B35)/(B34-1)),1))</f>
        <v>0.94915799575249904</v>
      </c>
      <c r="F35" s="5"/>
      <c r="G35" s="5"/>
      <c r="H35" s="5"/>
      <c r="I35" s="5"/>
      <c r="J35" s="5"/>
    </row>
    <row r="36" spans="1:10" ht="16">
      <c r="A36" s="7" t="s">
        <v>149</v>
      </c>
      <c r="B36" s="12">
        <v>2</v>
      </c>
      <c r="C36" s="5"/>
      <c r="D36" s="7" t="s">
        <v>150</v>
      </c>
      <c r="E36" s="11">
        <f>IF(OR(B36="",E35=""),"",B36*E35)</f>
        <v>1.8983159915049981</v>
      </c>
      <c r="F36" s="5"/>
      <c r="G36" s="5"/>
      <c r="H36" s="5"/>
      <c r="I36" s="5"/>
      <c r="J36" s="5"/>
    </row>
    <row r="37" spans="1:10" ht="16">
      <c r="A37" s="7" t="s">
        <v>151</v>
      </c>
      <c r="B37" s="12" t="s">
        <v>152</v>
      </c>
      <c r="C37" s="5"/>
      <c r="D37" s="7" t="s">
        <v>153</v>
      </c>
      <c r="E37" s="14" t="str">
        <f>IF(OR(B34="",B35="",B37=""),"",IF(AND(B37="Yes",B35/B34&gt;0.05),"YES","NO"))</f>
        <v>YES</v>
      </c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29.25" customHeight="1">
      <c r="A40" s="24" t="s">
        <v>154</v>
      </c>
      <c r="B40" s="24"/>
      <c r="C40" s="24"/>
      <c r="D40" s="24"/>
      <c r="E40" s="24"/>
      <c r="F40" s="24"/>
      <c r="G40" s="24"/>
      <c r="H40" s="24"/>
      <c r="I40" s="24"/>
      <c r="J40" s="24"/>
    </row>
    <row r="41" spans="1:10" ht="16">
      <c r="A41" s="7" t="s">
        <v>104</v>
      </c>
      <c r="B41" s="12">
        <v>400</v>
      </c>
      <c r="C41" s="5"/>
      <c r="D41" s="7" t="s">
        <v>155</v>
      </c>
      <c r="E41" s="11">
        <f>IF(OR(B41="",B41&lt;=0),"",1/B41)</f>
        <v>2.5000000000000001E-3</v>
      </c>
      <c r="F41" s="5"/>
      <c r="G41" s="5"/>
      <c r="H41" s="5"/>
      <c r="I41" s="5"/>
      <c r="J41" s="5"/>
    </row>
    <row r="42" spans="1:10" ht="16">
      <c r="A42" s="7" t="s">
        <v>115</v>
      </c>
      <c r="B42" s="12">
        <v>30</v>
      </c>
      <c r="C42" s="5"/>
      <c r="D42" s="7" t="s">
        <v>156</v>
      </c>
      <c r="E42" s="11">
        <f>IF(OR(E41="",B42="",B42&lt;=0),"",E41/SQRT(B42))</f>
        <v>4.5643546458763842E-4</v>
      </c>
      <c r="F42" s="5"/>
      <c r="G42" s="5"/>
      <c r="H42" s="5"/>
      <c r="I42" s="5"/>
      <c r="J42" s="5"/>
    </row>
    <row r="43" spans="1:10" ht="16">
      <c r="A43" s="7" t="s">
        <v>157</v>
      </c>
      <c r="B43" s="12">
        <v>3.3333333000000001E-3</v>
      </c>
      <c r="C43" s="5"/>
      <c r="D43" s="7" t="s">
        <v>158</v>
      </c>
      <c r="E43" s="11" t="e">
        <f ca="1">IF(OR(E41="",E42="",B43=""),"",1-_xludf.NORM.DIST(B43,E41,E42,TRUE))</f>
        <v>#NAME?</v>
      </c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23" t="s">
        <v>159</v>
      </c>
      <c r="B45" s="23"/>
      <c r="C45" s="23"/>
      <c r="D45" s="23"/>
      <c r="E45" s="23"/>
      <c r="F45" s="23"/>
      <c r="G45" s="23"/>
      <c r="H45" s="23"/>
      <c r="I45" s="23"/>
      <c r="J45" s="23"/>
    </row>
    <row r="46" spans="1:10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mergeCells count="8">
    <mergeCell ref="A33:J33"/>
    <mergeCell ref="A40:J40"/>
    <mergeCell ref="A45:J46"/>
    <mergeCell ref="A1:J1"/>
    <mergeCell ref="A2:J2"/>
    <mergeCell ref="A4:J4"/>
    <mergeCell ref="A13:J13"/>
    <mergeCell ref="A22:J22"/>
  </mergeCells>
  <dataValidations count="1">
    <dataValidation type="list" sqref="B37" xr:uid="{00000000-0002-0000-0300-000000000000}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80"/>
  <sheetViews>
    <sheetView zoomScale="139" workbookViewId="0">
      <selection activeCell="H7" sqref="H7"/>
    </sheetView>
  </sheetViews>
  <sheetFormatPr baseColWidth="10" defaultColWidth="8.83203125" defaultRowHeight="15"/>
  <cols>
    <col min="1" max="1" width="31" customWidth="1"/>
    <col min="2" max="2" width="18" customWidth="1"/>
    <col min="3" max="3" width="4" customWidth="1"/>
    <col min="4" max="4" width="34" customWidth="1"/>
    <col min="5" max="5" width="20" customWidth="1"/>
    <col min="6" max="6" width="4" customWidth="1"/>
    <col min="7" max="7" width="30" customWidth="1"/>
    <col min="8" max="10" width="18" customWidth="1"/>
  </cols>
  <sheetData>
    <row r="1" spans="1:10" ht="37.25" customHeight="1">
      <c r="A1" s="22" t="s">
        <v>160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50.75" customHeight="1">
      <c r="A2" s="23" t="s">
        <v>161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9.25" customHeight="1">
      <c r="A4" s="24" t="s">
        <v>162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ht="16">
      <c r="A5" s="7" t="s">
        <v>163</v>
      </c>
      <c r="B5" s="12">
        <v>85</v>
      </c>
      <c r="C5" s="5"/>
      <c r="D5" s="7" t="s">
        <v>164</v>
      </c>
      <c r="E5" s="11">
        <f>IF(B8="","",1-B8)</f>
        <v>5.0000000000000044E-2</v>
      </c>
      <c r="F5" s="5"/>
      <c r="G5" s="5"/>
      <c r="H5" s="5"/>
      <c r="I5" s="5"/>
      <c r="J5" s="5"/>
    </row>
    <row r="6" spans="1:10" ht="16">
      <c r="A6" s="7" t="s">
        <v>113</v>
      </c>
      <c r="B6" s="12">
        <v>8</v>
      </c>
      <c r="C6" s="5"/>
      <c r="D6" s="7" t="s">
        <v>165</v>
      </c>
      <c r="E6" s="11" t="e">
        <f ca="1">IF(E5="","",_xludf.NORM.S.INV(1-E5/2))</f>
        <v>#NAME?</v>
      </c>
      <c r="F6" s="5"/>
      <c r="G6" s="5" t="s">
        <v>333</v>
      </c>
      <c r="H6" s="5"/>
      <c r="I6" s="5"/>
      <c r="J6" s="5"/>
    </row>
    <row r="7" spans="1:10" ht="16">
      <c r="A7" s="7" t="s">
        <v>115</v>
      </c>
      <c r="B7" s="12">
        <v>64</v>
      </c>
      <c r="C7" s="5"/>
      <c r="D7" s="7" t="s">
        <v>126</v>
      </c>
      <c r="E7" s="11">
        <f>IF(OR(B6="",B7=""),"",B6/SQRT(B7))</f>
        <v>1</v>
      </c>
      <c r="F7" s="5"/>
      <c r="G7" s="5" t="s">
        <v>334</v>
      </c>
      <c r="H7" s="5"/>
      <c r="I7" s="5"/>
      <c r="J7" s="5"/>
    </row>
    <row r="8" spans="1:10" ht="16">
      <c r="A8" s="7" t="s">
        <v>166</v>
      </c>
      <c r="B8" s="12">
        <v>0.95</v>
      </c>
      <c r="C8" s="5"/>
      <c r="D8" s="7" t="s">
        <v>167</v>
      </c>
      <c r="E8" s="11" t="e">
        <f ca="1">IF(OR(E6="",E7=""),"",E6*E7)</f>
        <v>#NAME?</v>
      </c>
      <c r="F8" s="5"/>
      <c r="G8" s="5"/>
      <c r="H8" s="5"/>
      <c r="I8" s="5"/>
      <c r="J8" s="5"/>
    </row>
    <row r="9" spans="1:10" ht="16">
      <c r="A9" s="5"/>
      <c r="B9" s="5"/>
      <c r="C9" s="5"/>
      <c r="D9" s="7" t="s">
        <v>168</v>
      </c>
      <c r="E9" s="11" t="e">
        <f ca="1">IF(OR(B5="",E8=""),"",B5-E8)</f>
        <v>#NAME?</v>
      </c>
      <c r="F9" s="5"/>
      <c r="G9" s="5"/>
      <c r="H9" s="5"/>
      <c r="I9" s="5"/>
      <c r="J9" s="5"/>
    </row>
    <row r="10" spans="1:10" ht="16">
      <c r="A10" s="5"/>
      <c r="B10" s="5"/>
      <c r="C10" s="5"/>
      <c r="D10" s="7" t="s">
        <v>169</v>
      </c>
      <c r="E10" s="11" t="e">
        <f ca="1">IF(OR(B5="",E8=""),"",B5+E8)</f>
        <v>#NAME?</v>
      </c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29.25" customHeight="1">
      <c r="A13" s="24" t="s">
        <v>170</v>
      </c>
      <c r="B13" s="24"/>
      <c r="C13" s="24"/>
      <c r="D13" s="24"/>
      <c r="E13" s="24"/>
      <c r="F13" s="24"/>
      <c r="G13" s="24"/>
      <c r="H13" s="24"/>
      <c r="I13" s="24"/>
      <c r="J13" s="24"/>
    </row>
    <row r="14" spans="1:10" ht="16">
      <c r="A14" s="7" t="s">
        <v>163</v>
      </c>
      <c r="B14" s="12">
        <v>141.30000000000001</v>
      </c>
      <c r="C14" s="5"/>
      <c r="D14" s="7" t="s">
        <v>171</v>
      </c>
      <c r="E14" s="15">
        <f>IF(OR(B16="",B16&lt;2),"",B16-1)</f>
        <v>23</v>
      </c>
      <c r="F14" s="5"/>
      <c r="G14" s="5"/>
      <c r="H14" s="5"/>
      <c r="I14" s="5"/>
      <c r="J14" s="5"/>
    </row>
    <row r="15" spans="1:10" ht="16">
      <c r="A15" s="7" t="s">
        <v>172</v>
      </c>
      <c r="B15" s="12">
        <v>19.100000000000001</v>
      </c>
      <c r="C15" s="5"/>
      <c r="D15" s="7" t="s">
        <v>164</v>
      </c>
      <c r="E15" s="11">
        <f>IF(B17="","",1-B17)</f>
        <v>9.9999999999999978E-2</v>
      </c>
      <c r="F15" s="5"/>
      <c r="G15" s="5"/>
      <c r="H15" s="5"/>
      <c r="I15" s="5"/>
      <c r="J15" s="5"/>
    </row>
    <row r="16" spans="1:10" ht="16">
      <c r="A16" s="7" t="s">
        <v>115</v>
      </c>
      <c r="B16" s="12">
        <v>24</v>
      </c>
      <c r="C16" s="5"/>
      <c r="D16" s="7" t="s">
        <v>173</v>
      </c>
      <c r="E16" s="11" t="e">
        <f ca="1">IF(OR(E14="",E15=""),"",_xludf.T.INV(1-E15/2,E14))</f>
        <v>#NAME?</v>
      </c>
      <c r="F16" s="5"/>
      <c r="G16" s="5"/>
      <c r="H16" s="5"/>
      <c r="I16" s="5"/>
      <c r="J16" s="5"/>
    </row>
    <row r="17" spans="1:10" ht="16">
      <c r="A17" s="7" t="s">
        <v>166</v>
      </c>
      <c r="B17" s="12">
        <v>0.9</v>
      </c>
      <c r="C17" s="5"/>
      <c r="D17" s="7" t="s">
        <v>126</v>
      </c>
      <c r="E17" s="11">
        <f>IF(OR(B15="",B16=""),"",B15/SQRT(B16))</f>
        <v>3.8987711739298923</v>
      </c>
      <c r="F17" s="5"/>
      <c r="G17" s="5"/>
      <c r="H17" s="5"/>
      <c r="I17" s="5"/>
      <c r="J17" s="5"/>
    </row>
    <row r="18" spans="1:10" ht="16">
      <c r="A18" s="5"/>
      <c r="B18" s="5"/>
      <c r="C18" s="5"/>
      <c r="D18" s="7" t="s">
        <v>167</v>
      </c>
      <c r="E18" s="11" t="e">
        <f ca="1">IF(OR(E16="",E17=""),"",E16*E17)</f>
        <v>#NAME?</v>
      </c>
      <c r="F18" s="5"/>
      <c r="G18" s="5"/>
      <c r="H18" s="5"/>
      <c r="I18" s="5"/>
      <c r="J18" s="5"/>
    </row>
    <row r="19" spans="1:10" ht="16">
      <c r="A19" s="5"/>
      <c r="B19" s="5"/>
      <c r="C19" s="5"/>
      <c r="D19" s="7" t="s">
        <v>168</v>
      </c>
      <c r="E19" s="11" t="e">
        <f ca="1">IF(OR(B14="",E18=""),"",B14-E18)</f>
        <v>#NAME?</v>
      </c>
      <c r="F19" s="5"/>
      <c r="G19" s="5"/>
      <c r="H19" s="5"/>
      <c r="I19" s="5"/>
      <c r="J19" s="5"/>
    </row>
    <row r="20" spans="1:10" ht="16">
      <c r="A20" s="5"/>
      <c r="B20" s="5"/>
      <c r="C20" s="5"/>
      <c r="D20" s="7" t="s">
        <v>169</v>
      </c>
      <c r="E20" s="11" t="e">
        <f ca="1">IF(OR(B14="",E18=""),"",B14+E18)</f>
        <v>#NAME?</v>
      </c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29.25" customHeight="1">
      <c r="A23" s="24" t="s">
        <v>174</v>
      </c>
      <c r="B23" s="24"/>
      <c r="C23" s="24"/>
      <c r="D23" s="24"/>
      <c r="E23" s="24"/>
      <c r="F23" s="24"/>
      <c r="G23" s="24"/>
      <c r="H23" s="24"/>
      <c r="I23" s="24"/>
      <c r="J23" s="24"/>
    </row>
    <row r="24" spans="1:10" ht="16">
      <c r="A24" s="7" t="s">
        <v>175</v>
      </c>
      <c r="B24" s="12">
        <v>50</v>
      </c>
      <c r="C24" s="5"/>
      <c r="D24" s="7" t="s">
        <v>176</v>
      </c>
      <c r="E24" s="11">
        <f>IF(OR(B24="",B25="",B25&lt;=0),"",B24/B25)</f>
        <v>0.25</v>
      </c>
      <c r="F24" s="5"/>
      <c r="G24" s="5"/>
      <c r="H24" s="5"/>
      <c r="I24" s="5"/>
      <c r="J24" s="5"/>
    </row>
    <row r="25" spans="1:10" ht="16">
      <c r="A25" s="7" t="s">
        <v>115</v>
      </c>
      <c r="B25" s="12">
        <v>200</v>
      </c>
      <c r="C25" s="5"/>
      <c r="D25" s="7" t="s">
        <v>177</v>
      </c>
      <c r="E25" s="11">
        <f>IF(E24="","",SQRT(E24*(1-E24)/B25))</f>
        <v>3.0618621784789725E-2</v>
      </c>
      <c r="F25" s="5"/>
      <c r="G25" s="5"/>
      <c r="H25" s="5"/>
      <c r="I25" s="5"/>
      <c r="J25" s="5"/>
    </row>
    <row r="26" spans="1:10" ht="16">
      <c r="A26" s="7" t="s">
        <v>166</v>
      </c>
      <c r="B26" s="12">
        <v>0.95</v>
      </c>
      <c r="C26" s="5"/>
      <c r="D26" s="7" t="s">
        <v>165</v>
      </c>
      <c r="E26" s="11" t="e">
        <f ca="1">IF(B26="","",_xludf.NORM.S.INV((1+B26)/2))</f>
        <v>#NAME?</v>
      </c>
      <c r="F26" s="5"/>
      <c r="G26" s="5"/>
      <c r="H26" s="5"/>
      <c r="I26" s="5"/>
      <c r="J26" s="5"/>
    </row>
    <row r="27" spans="1:10" ht="16">
      <c r="A27" s="5"/>
      <c r="B27" s="5"/>
      <c r="C27" s="5"/>
      <c r="D27" s="7" t="s">
        <v>168</v>
      </c>
      <c r="E27" s="11" t="e">
        <f ca="1">IF(OR(E24="",E25="",E26=""),"",E24-E26*E25)</f>
        <v>#NAME?</v>
      </c>
      <c r="F27" s="5"/>
      <c r="G27" s="5"/>
      <c r="H27" s="5"/>
      <c r="I27" s="5"/>
      <c r="J27" s="5"/>
    </row>
    <row r="28" spans="1:10" ht="16">
      <c r="A28" s="5"/>
      <c r="B28" s="5"/>
      <c r="C28" s="5"/>
      <c r="D28" s="7" t="s">
        <v>169</v>
      </c>
      <c r="E28" s="11" t="e">
        <f ca="1">IF(OR(E24="",E25="",E26=""),"",E24+E26*E25)</f>
        <v>#NAME?</v>
      </c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ht="29.25" customHeight="1">
      <c r="A31" s="24" t="s">
        <v>178</v>
      </c>
      <c r="B31" s="24"/>
      <c r="C31" s="24"/>
      <c r="D31" s="24"/>
      <c r="E31" s="24"/>
      <c r="F31" s="24"/>
      <c r="G31" s="24"/>
      <c r="H31" s="24"/>
      <c r="I31" s="24"/>
      <c r="J31" s="24"/>
    </row>
    <row r="32" spans="1:10" ht="16">
      <c r="A32" s="7" t="s">
        <v>166</v>
      </c>
      <c r="B32" s="12">
        <v>0.95</v>
      </c>
      <c r="C32" s="5"/>
      <c r="D32" s="7" t="s">
        <v>165</v>
      </c>
      <c r="E32" s="11" t="e">
        <f ca="1">IF(B32="","",_xludf.NORM.S.INV((1+B32)/2))</f>
        <v>#NAME?</v>
      </c>
      <c r="F32" s="5"/>
      <c r="G32" s="5"/>
      <c r="H32" s="5"/>
      <c r="I32" s="5"/>
      <c r="J32" s="5"/>
    </row>
    <row r="33" spans="1:10" ht="16">
      <c r="A33" s="7" t="s">
        <v>179</v>
      </c>
      <c r="B33" s="12">
        <v>0.05</v>
      </c>
      <c r="C33" s="5"/>
      <c r="D33" s="7" t="s">
        <v>180</v>
      </c>
      <c r="E33" s="11" t="e">
        <f ca="1">IF(OR(E32="",B33="",B34=""),"",(E32^2*B34^2)/(B33^2))</f>
        <v>#NAME?</v>
      </c>
      <c r="F33" s="5"/>
      <c r="G33" s="5"/>
      <c r="H33" s="5"/>
      <c r="I33" s="5"/>
      <c r="J33" s="5"/>
    </row>
    <row r="34" spans="1:10" ht="16">
      <c r="A34" s="7" t="s">
        <v>181</v>
      </c>
      <c r="B34" s="12">
        <v>15</v>
      </c>
      <c r="C34" s="5"/>
      <c r="D34" s="7" t="s">
        <v>182</v>
      </c>
      <c r="E34" s="15" t="e">
        <f ca="1">IF(E33="","",ROUNDUP(E33,0))</f>
        <v>#NAME?</v>
      </c>
      <c r="F34" s="5"/>
      <c r="G34" s="5"/>
      <c r="H34" s="5"/>
      <c r="I34" s="5"/>
      <c r="J34" s="5"/>
    </row>
    <row r="35" spans="1:10" ht="16">
      <c r="A35" s="7" t="s">
        <v>183</v>
      </c>
      <c r="B35" s="12">
        <v>0.5</v>
      </c>
      <c r="C35" s="5"/>
      <c r="D35" s="7" t="s">
        <v>184</v>
      </c>
      <c r="E35" s="11" t="e">
        <f ca="1">IF(OR(E32="",B33="",B35=""),"",(E32^2*B35*(1-B35))/(B33^2))</f>
        <v>#NAME?</v>
      </c>
      <c r="F35" s="5"/>
      <c r="G35" s="5"/>
      <c r="H35" s="5"/>
      <c r="I35" s="5"/>
      <c r="J35" s="5"/>
    </row>
    <row r="36" spans="1:10" ht="16">
      <c r="A36" s="7" t="s">
        <v>185</v>
      </c>
      <c r="B36" s="12">
        <v>2400</v>
      </c>
      <c r="C36" s="5"/>
      <c r="D36" s="7" t="s">
        <v>186</v>
      </c>
      <c r="E36" s="15" t="e">
        <f ca="1">IF(E35="","",ROUNDUP(E35,0))</f>
        <v>#NAME?</v>
      </c>
      <c r="F36" s="5"/>
      <c r="G36" s="5"/>
      <c r="H36" s="5"/>
      <c r="I36" s="5"/>
      <c r="J36" s="5"/>
    </row>
    <row r="37" spans="1:10" ht="16">
      <c r="A37" s="5"/>
      <c r="B37" s="5"/>
      <c r="C37" s="5"/>
      <c r="D37" s="7" t="s">
        <v>187</v>
      </c>
      <c r="E37" s="15" t="e">
        <f ca="1">IF(OR(E35="",B36=""),"",ROUNDUP((E35*B36)/(E35+(B36-1)),0))</f>
        <v>#NAME?</v>
      </c>
      <c r="F37" s="5"/>
      <c r="G37" s="5"/>
      <c r="H37" s="5"/>
      <c r="I37" s="5"/>
      <c r="J37" s="5"/>
    </row>
    <row r="38" spans="1:10" ht="16">
      <c r="A38" s="5"/>
      <c r="B38" s="5"/>
      <c r="C38" s="5"/>
      <c r="D38" s="7" t="s">
        <v>188</v>
      </c>
      <c r="E38" s="15" t="e">
        <f ca="1">IF(OR(E33="",B36=""),"",ROUNDUP((E33*B36)/(E33+(B36-1)),0))</f>
        <v>#NAME?</v>
      </c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29.25" customHeight="1">
      <c r="A41" s="24" t="s">
        <v>189</v>
      </c>
      <c r="B41" s="24"/>
      <c r="C41" s="24"/>
      <c r="D41" s="24"/>
      <c r="E41" s="24"/>
      <c r="F41" s="24"/>
      <c r="G41" s="24"/>
      <c r="H41" s="24"/>
      <c r="I41" s="24"/>
      <c r="J41" s="24"/>
    </row>
    <row r="42" spans="1:10" ht="16">
      <c r="A42" s="7" t="s">
        <v>146</v>
      </c>
      <c r="B42" s="12">
        <v>1000</v>
      </c>
      <c r="C42" s="5"/>
      <c r="D42" s="7" t="s">
        <v>190</v>
      </c>
      <c r="E42" s="13">
        <f>IF(OR(B42="",B43=""),"",B42*B43)</f>
        <v>1076390</v>
      </c>
      <c r="F42" s="5"/>
      <c r="G42" s="5"/>
      <c r="H42" s="5"/>
      <c r="I42" s="5"/>
      <c r="J42" s="5"/>
    </row>
    <row r="43" spans="1:10" ht="16">
      <c r="A43" s="7" t="s">
        <v>163</v>
      </c>
      <c r="B43" s="12">
        <v>1076.3900000000001</v>
      </c>
      <c r="C43" s="5"/>
      <c r="D43" s="7" t="s">
        <v>171</v>
      </c>
      <c r="E43" s="15">
        <f>IF(B45="","",B45-1)</f>
        <v>49</v>
      </c>
      <c r="F43" s="5"/>
      <c r="G43" s="5"/>
      <c r="H43" s="5"/>
      <c r="I43" s="5"/>
      <c r="J43" s="5"/>
    </row>
    <row r="44" spans="1:10" ht="16">
      <c r="A44" s="7" t="s">
        <v>172</v>
      </c>
      <c r="B44" s="12">
        <v>273.62</v>
      </c>
      <c r="C44" s="5"/>
      <c r="D44" s="7" t="s">
        <v>173</v>
      </c>
      <c r="E44" s="11" t="e">
        <f ca="1">IF(OR(B46="",E43=""),"",_xludf.T.INV((1+B46)/2,E43))</f>
        <v>#NAME?</v>
      </c>
      <c r="F44" s="5"/>
      <c r="G44" s="5"/>
      <c r="H44" s="5"/>
      <c r="I44" s="5"/>
      <c r="J44" s="5"/>
    </row>
    <row r="45" spans="1:10" ht="16">
      <c r="A45" s="7" t="s">
        <v>115</v>
      </c>
      <c r="B45" s="12">
        <v>50</v>
      </c>
      <c r="C45" s="5"/>
      <c r="D45" s="7" t="s">
        <v>191</v>
      </c>
      <c r="E45" s="11">
        <f>IF(OR(B42="",B45=""),"",SQRT((B42-B45)/(B42-1)))</f>
        <v>0.97516714000777882</v>
      </c>
      <c r="F45" s="5"/>
      <c r="G45" s="5"/>
      <c r="H45" s="5"/>
      <c r="I45" s="5"/>
      <c r="J45" s="5"/>
    </row>
    <row r="46" spans="1:10" ht="16">
      <c r="A46" s="7" t="s">
        <v>166</v>
      </c>
      <c r="B46" s="12">
        <v>0.95</v>
      </c>
      <c r="C46" s="5"/>
      <c r="D46" s="7" t="s">
        <v>192</v>
      </c>
      <c r="E46" s="13" t="e">
        <f ca="1">IF(OR(B42="",B44="",B45="",E44="",E45=""),"",B42*E44*(B44/SQRT(B45))*E45)</f>
        <v>#NAME?</v>
      </c>
      <c r="F46" s="5"/>
      <c r="G46" s="5"/>
      <c r="H46" s="5"/>
      <c r="I46" s="5"/>
      <c r="J46" s="5"/>
    </row>
    <row r="47" spans="1:10" ht="16">
      <c r="A47" s="5"/>
      <c r="B47" s="5"/>
      <c r="C47" s="5"/>
      <c r="D47" s="7" t="s">
        <v>193</v>
      </c>
      <c r="E47" s="13" t="e">
        <f ca="1">IF(OR(E42="",E46=""),"",E42-E46)</f>
        <v>#NAME?</v>
      </c>
      <c r="F47" s="5"/>
      <c r="G47" s="5"/>
      <c r="H47" s="5"/>
      <c r="I47" s="5"/>
      <c r="J47" s="5"/>
    </row>
    <row r="48" spans="1:10" ht="16">
      <c r="A48" s="5"/>
      <c r="B48" s="5"/>
      <c r="C48" s="5"/>
      <c r="D48" s="7" t="s">
        <v>194</v>
      </c>
      <c r="E48" s="13" t="e">
        <f ca="1">IF(OR(E42="",E46=""),"",E42+E46)</f>
        <v>#NAME?</v>
      </c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mergeCells count="7">
    <mergeCell ref="A31:J31"/>
    <mergeCell ref="A41:J41"/>
    <mergeCell ref="A1:J1"/>
    <mergeCell ref="A2:J2"/>
    <mergeCell ref="A4:J4"/>
    <mergeCell ref="A13:J13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80"/>
  <sheetViews>
    <sheetView topLeftCell="A2" zoomScale="171" workbookViewId="0">
      <selection activeCell="E11" sqref="E11"/>
    </sheetView>
  </sheetViews>
  <sheetFormatPr baseColWidth="10" defaultColWidth="8.83203125" defaultRowHeight="15"/>
  <cols>
    <col min="1" max="1" width="31" customWidth="1"/>
    <col min="2" max="2" width="18" customWidth="1"/>
    <col min="3" max="3" width="4" customWidth="1"/>
    <col min="4" max="4" width="34" customWidth="1"/>
    <col min="5" max="5" width="20" customWidth="1"/>
    <col min="6" max="6" width="4" customWidth="1"/>
    <col min="7" max="7" width="31" customWidth="1"/>
    <col min="8" max="8" width="20" customWidth="1"/>
    <col min="9" max="10" width="18" customWidth="1"/>
  </cols>
  <sheetData>
    <row r="1" spans="1:10" ht="37.25" customHeight="1">
      <c r="A1" s="22" t="s">
        <v>195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50.75" customHeight="1">
      <c r="A2" s="23" t="s">
        <v>196</v>
      </c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9.25" customHeight="1">
      <c r="A4" s="24" t="s">
        <v>197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ht="16">
      <c r="A5" s="7" t="s">
        <v>198</v>
      </c>
      <c r="B5" s="12">
        <v>3.75</v>
      </c>
      <c r="C5" s="5"/>
      <c r="D5" s="7" t="s">
        <v>126</v>
      </c>
      <c r="E5" s="11">
        <f>IF(OR(B7="",B8=""),"",B7/SQRT(B8))</f>
        <v>1.131370849898476E-2</v>
      </c>
      <c r="F5" s="5"/>
      <c r="G5" s="5"/>
      <c r="H5" s="5"/>
      <c r="I5" s="5"/>
      <c r="J5" s="5"/>
    </row>
    <row r="6" spans="1:10" ht="16">
      <c r="A6" s="7" t="s">
        <v>163</v>
      </c>
      <c r="B6" s="12">
        <v>3.73</v>
      </c>
      <c r="C6" s="5"/>
      <c r="D6" s="7" t="s">
        <v>199</v>
      </c>
      <c r="E6" s="11">
        <f>IF(OR(B5="",B6="",E5=""),"",(B6-B5)/E5)</f>
        <v>-1.7677669529663704</v>
      </c>
      <c r="F6" s="5"/>
      <c r="G6" s="5"/>
      <c r="H6" s="5"/>
      <c r="I6" s="5"/>
      <c r="J6" s="5"/>
    </row>
    <row r="7" spans="1:10" ht="16">
      <c r="A7" s="7" t="s">
        <v>113</v>
      </c>
      <c r="B7" s="12">
        <v>0.08</v>
      </c>
      <c r="C7" s="5"/>
      <c r="D7" s="7" t="s">
        <v>200</v>
      </c>
      <c r="E7" s="11" t="e">
        <f ca="1">IF(OR(E6="",B10=""),"",IF(B10="Two-tail",2*(1-_xludf.NORM.S.DIST(ABS(E6),TRUE)),IF(B10="Upper",1-_xludf.NORM.S.DIST(E6,TRUE),_xludf.NORM.S.DIST(E6,TRUE))))</f>
        <v>#NAME?</v>
      </c>
      <c r="F7" s="5"/>
      <c r="G7" s="5"/>
      <c r="H7" s="5"/>
      <c r="I7" s="5"/>
      <c r="J7" s="5"/>
    </row>
    <row r="8" spans="1:10" ht="16">
      <c r="A8" s="7" t="s">
        <v>115</v>
      </c>
      <c r="B8" s="12">
        <v>50</v>
      </c>
      <c r="C8" s="5"/>
      <c r="D8" s="7" t="s">
        <v>201</v>
      </c>
      <c r="E8" s="14" t="e">
        <f ca="1">IF(OR(E7="",B9=""),"",IF(E7&lt;=B9,"Reject H0","Do not reject H0"))</f>
        <v>#NAME?</v>
      </c>
      <c r="F8" s="5"/>
      <c r="G8" s="5"/>
      <c r="H8" s="5"/>
      <c r="I8" s="5"/>
      <c r="J8" s="5"/>
    </row>
    <row r="9" spans="1:10" ht="16">
      <c r="A9" s="7" t="s">
        <v>164</v>
      </c>
      <c r="B9" s="12">
        <v>0.01</v>
      </c>
      <c r="C9" s="5"/>
      <c r="D9" s="7" t="s">
        <v>202</v>
      </c>
      <c r="E9" s="11" t="e">
        <f ca="1">IF(OR(B9="",B10=""),"",IF(B10="Two-tail",_xludf.NORM.S.INV(B9/2),IF(B10="Lower",_xludf.NORM.S.INV(B9),"")))</f>
        <v>#NAME?</v>
      </c>
      <c r="F9" s="5"/>
      <c r="G9" s="5"/>
      <c r="H9" s="5"/>
      <c r="I9" s="5"/>
      <c r="J9" s="5"/>
    </row>
    <row r="10" spans="1:10" ht="16">
      <c r="A10" s="7" t="s">
        <v>64</v>
      </c>
      <c r="B10" s="12" t="s">
        <v>203</v>
      </c>
      <c r="C10" s="5"/>
      <c r="D10" s="7" t="s">
        <v>204</v>
      </c>
      <c r="E10" s="11" t="e">
        <f ca="1">IF(OR(B9="",B10=""),"",IF(B10="Two-tail",_xludf.NORM.S.INV(1-B9/2),IF(B10="Upper",_xludf.NORM.S.INV(1-B9),"")))</f>
        <v>#NAME?</v>
      </c>
      <c r="F10" s="5"/>
      <c r="G10" s="5"/>
      <c r="H10" s="5"/>
      <c r="I10" s="5"/>
      <c r="J10" s="5"/>
    </row>
    <row r="11" spans="1:10" ht="16">
      <c r="A11" s="5"/>
      <c r="B11" s="5"/>
      <c r="C11" s="5"/>
      <c r="D11" s="7" t="s">
        <v>205</v>
      </c>
      <c r="E11" s="11" t="e">
        <f ca="1">IF(OR(E9="",E5="",B5=""),"",B5+E9*E5)</f>
        <v>#NAME?</v>
      </c>
      <c r="F11" s="5"/>
      <c r="G11" s="5"/>
      <c r="H11" s="5"/>
      <c r="I11" s="5"/>
      <c r="J11" s="5"/>
    </row>
    <row r="12" spans="1:10" ht="16">
      <c r="A12" s="5"/>
      <c r="B12" s="5"/>
      <c r="C12" s="5"/>
      <c r="D12" s="7" t="s">
        <v>206</v>
      </c>
      <c r="E12" s="11" t="e">
        <f ca="1">IF(OR(E10="",E5="",B5=""),"",B5+E10*E5)</f>
        <v>#NAME?</v>
      </c>
      <c r="F12" s="5"/>
      <c r="G12" s="5"/>
      <c r="H12" s="5"/>
      <c r="I12" s="5"/>
      <c r="J12" s="5"/>
    </row>
    <row r="13" spans="1:10" ht="16">
      <c r="A13" s="5"/>
      <c r="B13" s="5"/>
      <c r="C13" s="5"/>
      <c r="D13" s="7" t="s">
        <v>207</v>
      </c>
      <c r="E13" s="11" t="e">
        <f ca="1">IF(OR(B6="",B9="",E5=""),"",B6-_xludf.NORM.S.INV(1-B9/2)*E5)</f>
        <v>#NAME?</v>
      </c>
      <c r="F13" s="5"/>
      <c r="G13" s="5"/>
      <c r="H13" s="5"/>
      <c r="I13" s="5"/>
      <c r="J13" s="5"/>
    </row>
    <row r="14" spans="1:10" ht="16">
      <c r="A14" s="5"/>
      <c r="B14" s="5"/>
      <c r="C14" s="5"/>
      <c r="D14" s="7" t="s">
        <v>208</v>
      </c>
      <c r="E14" s="11" t="e">
        <f ca="1">IF(OR(B6="",B9="",E5=""),"",B6+_xludf.NORM.S.INV(1-B9/2)*E5)</f>
        <v>#NAME?</v>
      </c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29.25" customHeight="1">
      <c r="A17" s="24" t="s">
        <v>209</v>
      </c>
      <c r="B17" s="24"/>
      <c r="C17" s="24"/>
      <c r="D17" s="24"/>
      <c r="E17" s="24"/>
      <c r="F17" s="24"/>
      <c r="G17" s="24"/>
      <c r="H17" s="24"/>
      <c r="I17" s="24"/>
      <c r="J17" s="24"/>
    </row>
    <row r="18" spans="1:10" ht="16">
      <c r="A18" s="7" t="s">
        <v>198</v>
      </c>
      <c r="B18" s="12">
        <v>1500</v>
      </c>
      <c r="C18" s="5"/>
      <c r="D18" s="7" t="s">
        <v>171</v>
      </c>
      <c r="E18" s="15">
        <f>IF(OR(B21="",B21&lt;2),"",B21-1)</f>
        <v>24</v>
      </c>
      <c r="F18" s="5"/>
      <c r="G18" s="5"/>
      <c r="H18" s="5"/>
      <c r="I18" s="5"/>
      <c r="J18" s="5"/>
    </row>
    <row r="19" spans="1:10" ht="16">
      <c r="A19" s="7" t="s">
        <v>163</v>
      </c>
      <c r="B19" s="12">
        <v>1577</v>
      </c>
      <c r="C19" s="5"/>
      <c r="D19" s="7" t="s">
        <v>126</v>
      </c>
      <c r="E19" s="11">
        <f>IF(OR(B20="",B21=""),"",B20/SQRT(B21))</f>
        <v>43.2</v>
      </c>
      <c r="F19" s="5"/>
      <c r="G19" s="5"/>
      <c r="H19" s="5"/>
      <c r="I19" s="5"/>
      <c r="J19" s="5"/>
    </row>
    <row r="20" spans="1:10" ht="16">
      <c r="A20" s="7" t="s">
        <v>172</v>
      </c>
      <c r="B20" s="12">
        <v>216</v>
      </c>
      <c r="C20" s="5"/>
      <c r="D20" s="7" t="s">
        <v>210</v>
      </c>
      <c r="E20" s="11">
        <f>IF(OR(B18="",B19="",E19=""),"",(B19-B18)/E19)</f>
        <v>1.7824074074074072</v>
      </c>
      <c r="F20" s="5"/>
      <c r="G20" s="5"/>
      <c r="H20" s="5"/>
      <c r="I20" s="5"/>
      <c r="J20" s="5"/>
    </row>
    <row r="21" spans="1:10" ht="16">
      <c r="A21" s="7" t="s">
        <v>115</v>
      </c>
      <c r="B21" s="12">
        <v>25</v>
      </c>
      <c r="C21" s="5"/>
      <c r="D21" s="7" t="s">
        <v>200</v>
      </c>
      <c r="E21" s="11" t="str">
        <f ca="1">IFERROR(IF(B23="Two-tail",_xludf.T.DIST.2T(ABS(E20),E18),IF(B23="Upper",_xludf.T.DIST.RT(E20,E18),_xludf.T.DIST(E20,E18,TRUE))),"")</f>
        <v/>
      </c>
      <c r="F21" s="5"/>
      <c r="G21" s="5"/>
      <c r="H21" s="5"/>
      <c r="I21" s="5"/>
      <c r="J21" s="5"/>
    </row>
    <row r="22" spans="1:10" ht="16">
      <c r="A22" s="7" t="s">
        <v>164</v>
      </c>
      <c r="B22" s="12">
        <v>0.1</v>
      </c>
      <c r="C22" s="5"/>
      <c r="D22" s="7" t="s">
        <v>201</v>
      </c>
      <c r="E22" s="14" t="str">
        <f ca="1">IF(E21="","",IF(E21&lt;=B22,"Reject H0","Do not reject H0"))</f>
        <v/>
      </c>
      <c r="F22" s="5"/>
      <c r="G22" s="5"/>
      <c r="H22" s="5"/>
      <c r="I22" s="5"/>
      <c r="J22" s="5"/>
    </row>
    <row r="23" spans="1:10" ht="16">
      <c r="A23" s="7" t="s">
        <v>64</v>
      </c>
      <c r="B23" s="12" t="s">
        <v>211</v>
      </c>
      <c r="C23" s="5"/>
      <c r="D23" s="7" t="s">
        <v>212</v>
      </c>
      <c r="E23" s="11" t="str">
        <f>IF(OR(B22="",B23="",E18=""),"",IF(B23="Two-tail",_xludf.T.INV(B22/2,E18),IF(B23="Lower",_xludf.T.INV(B22,E18),"")))</f>
        <v/>
      </c>
      <c r="F23" s="5"/>
      <c r="G23" s="5"/>
      <c r="H23" s="5"/>
      <c r="I23" s="5"/>
      <c r="J23" s="5"/>
    </row>
    <row r="24" spans="1:10" ht="16">
      <c r="A24" s="5"/>
      <c r="B24" s="5"/>
      <c r="C24" s="5"/>
      <c r="D24" s="7" t="s">
        <v>213</v>
      </c>
      <c r="E24" s="11" t="e">
        <f ca="1">IF(OR(B22="",B23="",E18=""),"",IF(B23="Two-tail",_xludf.T.INV(1-B22/2,E18),IF(B23="Upper",_xludf.T.INV(1-B22,E18),"")))</f>
        <v>#NAME?</v>
      </c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ht="29.25" customHeight="1">
      <c r="A27" s="24" t="s">
        <v>214</v>
      </c>
      <c r="B27" s="24"/>
      <c r="C27" s="24"/>
      <c r="D27" s="24"/>
      <c r="E27" s="24"/>
      <c r="F27" s="24"/>
      <c r="G27" s="24"/>
      <c r="H27" s="24"/>
      <c r="I27" s="24"/>
      <c r="J27" s="24"/>
    </row>
    <row r="28" spans="1:10" ht="16">
      <c r="A28" s="7" t="s">
        <v>215</v>
      </c>
      <c r="B28" s="12">
        <v>0.2</v>
      </c>
      <c r="C28" s="5"/>
      <c r="D28" s="7" t="s">
        <v>216</v>
      </c>
      <c r="E28" s="11">
        <f>IF(OR(B29="",B30="",B30&lt;=0),"",B29/B30)</f>
        <v>0.22</v>
      </c>
      <c r="F28" s="5"/>
      <c r="G28" s="5"/>
      <c r="H28" s="5"/>
      <c r="I28" s="5"/>
      <c r="J28" s="5"/>
    </row>
    <row r="29" spans="1:10" ht="16">
      <c r="A29" s="7" t="s">
        <v>175</v>
      </c>
      <c r="B29" s="12">
        <v>88</v>
      </c>
      <c r="C29" s="5"/>
      <c r="D29" s="7" t="s">
        <v>217</v>
      </c>
      <c r="E29" s="11">
        <f>IF(OR(B28="",B30=""),"",SQRT(B28*(1-B28)/B30))</f>
        <v>0.02</v>
      </c>
      <c r="F29" s="5"/>
      <c r="G29" s="5"/>
      <c r="H29" s="5"/>
      <c r="I29" s="5"/>
      <c r="J29" s="5"/>
    </row>
    <row r="30" spans="1:10" ht="16">
      <c r="A30" s="7" t="s">
        <v>115</v>
      </c>
      <c r="B30" s="12">
        <v>400</v>
      </c>
      <c r="C30" s="5"/>
      <c r="D30" s="7" t="s">
        <v>218</v>
      </c>
      <c r="E30" s="13">
        <f>IF(OR(B28="",B30=""),"",B30*B28)</f>
        <v>80</v>
      </c>
      <c r="F30" s="5"/>
      <c r="G30" s="5"/>
      <c r="H30" s="5"/>
      <c r="I30" s="5"/>
      <c r="J30" s="5"/>
    </row>
    <row r="31" spans="1:10" ht="16">
      <c r="A31" s="7" t="s">
        <v>164</v>
      </c>
      <c r="B31" s="12">
        <v>0.05</v>
      </c>
      <c r="C31" s="5"/>
      <c r="D31" s="7" t="s">
        <v>219</v>
      </c>
      <c r="E31" s="13">
        <f>IF(OR(B28="",B30=""),"",B30*(1-B28))</f>
        <v>320</v>
      </c>
      <c r="F31" s="5"/>
      <c r="G31" s="5"/>
      <c r="H31" s="5"/>
      <c r="I31" s="5"/>
      <c r="J31" s="5"/>
    </row>
    <row r="32" spans="1:10" ht="16">
      <c r="A32" s="7" t="s">
        <v>64</v>
      </c>
      <c r="B32" s="12" t="s">
        <v>203</v>
      </c>
      <c r="C32" s="5"/>
      <c r="D32" s="7" t="s">
        <v>220</v>
      </c>
      <c r="E32" s="14" t="str">
        <f>IF(OR(E30="",E31=""),"",IF(AND(E30&gt;=5,E31&gt;=5),"PASS","CHECK"))</f>
        <v>PASS</v>
      </c>
      <c r="F32" s="5"/>
      <c r="G32" s="5"/>
      <c r="H32" s="5"/>
      <c r="I32" s="5"/>
      <c r="J32" s="5"/>
    </row>
    <row r="33" spans="1:10" ht="16">
      <c r="A33" s="5"/>
      <c r="B33" s="5"/>
      <c r="C33" s="5"/>
      <c r="D33" s="7" t="s">
        <v>199</v>
      </c>
      <c r="E33" s="11">
        <f>IF(OR(E28="",B28="",E29=""),"",(E28-B28)/E29)</f>
        <v>0.99999999999999944</v>
      </c>
      <c r="F33" s="5"/>
      <c r="G33" s="5"/>
      <c r="H33" s="5"/>
      <c r="I33" s="5"/>
      <c r="J33" s="5"/>
    </row>
    <row r="34" spans="1:10" ht="16">
      <c r="A34" s="5"/>
      <c r="B34" s="5"/>
      <c r="C34" s="5"/>
      <c r="D34" s="7" t="s">
        <v>200</v>
      </c>
      <c r="E34" s="11" t="e">
        <f ca="1">IF(OR(E33="",B32=""),"",IF(B32="Two-tail",2*(1-_xludf.NORM.S.DIST(ABS(E33),TRUE)),IF(B32="Upper",1-_xludf.NORM.S.DIST(E33,TRUE),_xludf.NORM.S.DIST(E33,TRUE))))</f>
        <v>#NAME?</v>
      </c>
      <c r="F34" s="5"/>
      <c r="G34" s="5"/>
      <c r="H34" s="5"/>
      <c r="I34" s="5"/>
      <c r="J34" s="5"/>
    </row>
    <row r="35" spans="1:10" ht="16">
      <c r="A35" s="5"/>
      <c r="B35" s="5"/>
      <c r="C35" s="5"/>
      <c r="D35" s="7" t="s">
        <v>201</v>
      </c>
      <c r="E35" s="14" t="e">
        <f ca="1">IF(OR(E34="",B31=""),"",IF(E34&lt;=B31,"Reject H0","Do not reject H0"))</f>
        <v>#NAME?</v>
      </c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29.25" customHeight="1">
      <c r="A38" s="24" t="s">
        <v>221</v>
      </c>
      <c r="B38" s="24"/>
      <c r="C38" s="24"/>
      <c r="D38" s="24"/>
      <c r="E38" s="24"/>
      <c r="F38" s="24"/>
      <c r="G38" s="24"/>
      <c r="H38" s="24"/>
      <c r="I38" s="24"/>
      <c r="J38" s="24"/>
    </row>
    <row r="39" spans="1:10" ht="16">
      <c r="A39" s="7" t="s">
        <v>198</v>
      </c>
      <c r="B39" s="12">
        <v>200</v>
      </c>
      <c r="C39" s="5"/>
      <c r="D39" s="7" t="s">
        <v>126</v>
      </c>
      <c r="E39" s="11">
        <f>IF(OR(B41="",B42=""),"",B41/SQRT(B42))</f>
        <v>1.4275</v>
      </c>
      <c r="F39" s="5"/>
      <c r="G39" s="5"/>
      <c r="H39" s="5"/>
      <c r="I39" s="5"/>
      <c r="J39" s="5"/>
    </row>
    <row r="40" spans="1:10" ht="16">
      <c r="A40" s="7" t="s">
        <v>222</v>
      </c>
      <c r="B40" s="12">
        <v>197</v>
      </c>
      <c r="C40" s="5"/>
      <c r="D40" s="7" t="s">
        <v>223</v>
      </c>
      <c r="E40" s="11" t="e">
        <f ca="1">IF(OR(B39="",B43="",B44="",E39=""),"",IF(B44="Two-tail",B39+_xludf.NORM.S.INV(B43/2)*E39,IF(B44="Lower",B39+_xludf.NORM.S.INV(B43)*E39,"")))</f>
        <v>#NAME?</v>
      </c>
      <c r="F40" s="5"/>
      <c r="G40" s="5"/>
      <c r="H40" s="5"/>
      <c r="I40" s="5"/>
      <c r="J40" s="5"/>
    </row>
    <row r="41" spans="1:10" ht="16">
      <c r="A41" s="7" t="s">
        <v>113</v>
      </c>
      <c r="B41" s="12">
        <v>5.71</v>
      </c>
      <c r="C41" s="5"/>
      <c r="D41" s="7" t="s">
        <v>224</v>
      </c>
      <c r="E41" s="11" t="str">
        <f>IF(OR(B39="",B43="",B44="",E39=""),"",IF(B44="Two-tail",B39+_xludf.NORM.S.INV(1-B43/2)*E39,IF(B44="Upper",B39+_xludf.NORM.S.INV(1-B43)*E39,"")))</f>
        <v/>
      </c>
      <c r="F41" s="5"/>
      <c r="G41" s="5"/>
      <c r="H41" s="5"/>
      <c r="I41" s="5"/>
      <c r="J41" s="5"/>
    </row>
    <row r="42" spans="1:10" ht="16">
      <c r="A42" s="7" t="s">
        <v>115</v>
      </c>
      <c r="B42" s="12">
        <v>16</v>
      </c>
      <c r="C42" s="5"/>
      <c r="D42" s="7" t="s">
        <v>225</v>
      </c>
      <c r="E42" s="11" t="e">
        <f ca="1">IF(OR(B40="",E39="",B44=""),"",IF(B44="Lower",_xludf.NORM.DIST(E40,B40,E39,TRUE),IF(B44="Upper",1-_xludf.NORM.DIST(E41,B40,E39,TRUE),_xludf.NORM.DIST(E40,B40,E39,TRUE)+1-_xludf.NORM.DIST(E41,B40,E39,TRUE))))</f>
        <v>#NAME?</v>
      </c>
      <c r="F42" s="5"/>
      <c r="G42" s="5"/>
      <c r="H42" s="5"/>
      <c r="I42" s="5"/>
      <c r="J42" s="5"/>
    </row>
    <row r="43" spans="1:10" ht="16">
      <c r="A43" s="7" t="s">
        <v>164</v>
      </c>
      <c r="B43" s="12">
        <v>0.05</v>
      </c>
      <c r="C43" s="5"/>
      <c r="D43" s="7" t="s">
        <v>226</v>
      </c>
      <c r="E43" s="11" t="e">
        <f ca="1">IF(E42="","",1-E42)</f>
        <v>#NAME?</v>
      </c>
      <c r="F43" s="5"/>
      <c r="G43" s="5"/>
      <c r="H43" s="5"/>
      <c r="I43" s="5"/>
      <c r="J43" s="5"/>
    </row>
    <row r="44" spans="1:10" ht="16">
      <c r="A44" s="7" t="s">
        <v>64</v>
      </c>
      <c r="B44" s="12" t="s">
        <v>227</v>
      </c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mergeCells count="6">
    <mergeCell ref="A38:J38"/>
    <mergeCell ref="A1:J1"/>
    <mergeCell ref="A2:J2"/>
    <mergeCell ref="A4:J4"/>
    <mergeCell ref="A17:J17"/>
    <mergeCell ref="A27:J27"/>
  </mergeCells>
  <dataValidations count="1">
    <dataValidation type="list" sqref="B10 B44 B32 B23" xr:uid="{00000000-0002-0000-0500-000000000000}">
      <formula1>"Two-tail,Upper,Lower"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A264"/>
  <sheetViews>
    <sheetView workbookViewId="0">
      <selection activeCell="H4" sqref="H4"/>
    </sheetView>
  </sheetViews>
  <sheetFormatPr baseColWidth="10" defaultColWidth="8.83203125" defaultRowHeight="15"/>
  <cols>
    <col min="1" max="1" width="8" customWidth="1"/>
    <col min="2" max="2" width="14" customWidth="1"/>
    <col min="3" max="10" width="11" customWidth="1"/>
  </cols>
  <sheetData>
    <row r="1" spans="1:10" ht="37.25" customHeight="1">
      <c r="A1" s="22" t="s">
        <v>228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50.75" customHeight="1">
      <c r="A2" s="23" t="s">
        <v>229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6">
      <c r="A3" s="5"/>
      <c r="B3" s="5"/>
      <c r="C3" s="5"/>
      <c r="D3" s="7" t="s">
        <v>230</v>
      </c>
      <c r="E3" s="16">
        <f>COUNT(B10:B59)</f>
        <v>0</v>
      </c>
      <c r="F3" s="5"/>
      <c r="G3" s="5"/>
      <c r="H3" s="5"/>
      <c r="I3" s="5"/>
      <c r="J3" s="5"/>
    </row>
    <row r="4" spans="1:10" ht="32">
      <c r="A4" s="5"/>
      <c r="B4" s="5"/>
      <c r="C4" s="5"/>
      <c r="D4" s="7" t="s">
        <v>166</v>
      </c>
      <c r="E4" s="17">
        <v>0.95</v>
      </c>
      <c r="F4" s="5"/>
      <c r="G4" s="5"/>
      <c r="H4" s="5"/>
      <c r="I4" s="5"/>
      <c r="J4" s="5"/>
    </row>
    <row r="5" spans="1:10" ht="16">
      <c r="A5" s="5"/>
      <c r="B5" s="5"/>
      <c r="C5" s="5"/>
      <c r="D5" s="7" t="s">
        <v>231</v>
      </c>
      <c r="E5" s="17">
        <v>200</v>
      </c>
      <c r="F5" s="5"/>
      <c r="G5" s="5"/>
      <c r="H5" s="5"/>
      <c r="I5" s="5"/>
      <c r="J5" s="5"/>
    </row>
    <row r="6" spans="1:10" ht="16">
      <c r="A6" s="5"/>
      <c r="B6" s="5"/>
      <c r="C6" s="5"/>
      <c r="D6" s="7" t="s">
        <v>232</v>
      </c>
      <c r="E6" s="11" t="str">
        <f>IF(E3=0,"",MAX(1,ROUNDUP((1-E4)/2*E5,0)))</f>
        <v/>
      </c>
      <c r="F6" s="5"/>
      <c r="G6" s="5"/>
      <c r="H6" s="5"/>
      <c r="I6" s="5"/>
      <c r="J6" s="5"/>
    </row>
    <row r="7" spans="1:10" ht="32">
      <c r="A7" s="5"/>
      <c r="B7" s="5"/>
      <c r="C7" s="5"/>
      <c r="D7" s="7" t="s">
        <v>233</v>
      </c>
      <c r="E7" s="11" t="str">
        <f>IF(E3=0,"",SMALL(BA65:BA264,E6))</f>
        <v/>
      </c>
      <c r="F7" s="5"/>
      <c r="G7" s="5"/>
      <c r="H7" s="5"/>
      <c r="I7" s="5"/>
      <c r="J7" s="5"/>
    </row>
    <row r="8" spans="1:10" ht="32">
      <c r="A8" s="5"/>
      <c r="B8" s="5"/>
      <c r="C8" s="5"/>
      <c r="D8" s="7" t="s">
        <v>234</v>
      </c>
      <c r="E8" s="11" t="str">
        <f>IF(E3=0,"",LARGE(BA65:BA264,E6))</f>
        <v/>
      </c>
      <c r="F8" s="5"/>
      <c r="G8" s="5"/>
      <c r="H8" s="5"/>
      <c r="I8" s="5"/>
      <c r="J8" s="5"/>
    </row>
    <row r="9" spans="1:10" ht="32">
      <c r="A9" s="6" t="s">
        <v>235</v>
      </c>
      <c r="B9" s="6" t="s">
        <v>236</v>
      </c>
      <c r="C9" s="5"/>
      <c r="D9" s="5"/>
      <c r="E9" s="5"/>
      <c r="F9" s="5"/>
      <c r="G9" s="5"/>
      <c r="H9" s="5"/>
      <c r="I9" s="5"/>
      <c r="J9" s="5"/>
    </row>
    <row r="10" spans="1:10">
      <c r="A10" s="5">
        <v>1</v>
      </c>
      <c r="B10" s="12"/>
      <c r="C10" s="5"/>
      <c r="D10" s="5"/>
      <c r="E10" s="5"/>
      <c r="F10" s="5"/>
      <c r="G10" s="5"/>
      <c r="H10" s="5"/>
      <c r="I10" s="5"/>
      <c r="J10" s="5"/>
    </row>
    <row r="11" spans="1:10">
      <c r="A11" s="5">
        <v>2</v>
      </c>
      <c r="B11" s="12"/>
      <c r="C11" s="5"/>
      <c r="D11" s="5"/>
      <c r="E11" s="5"/>
      <c r="F11" s="5"/>
      <c r="G11" s="5"/>
      <c r="H11" s="5"/>
      <c r="I11" s="5"/>
      <c r="J11" s="5"/>
    </row>
    <row r="12" spans="1:10">
      <c r="A12" s="5">
        <v>3</v>
      </c>
      <c r="B12" s="12"/>
      <c r="C12" s="5"/>
      <c r="D12" s="5"/>
      <c r="E12" s="5"/>
      <c r="F12" s="5"/>
      <c r="G12" s="5"/>
      <c r="H12" s="5"/>
      <c r="I12" s="5"/>
      <c r="J12" s="5"/>
    </row>
    <row r="13" spans="1:10">
      <c r="A13" s="5">
        <v>4</v>
      </c>
      <c r="B13" s="12"/>
      <c r="C13" s="5"/>
      <c r="D13" s="5"/>
      <c r="E13" s="5"/>
      <c r="F13" s="5"/>
      <c r="G13" s="5"/>
      <c r="H13" s="5"/>
      <c r="I13" s="5"/>
      <c r="J13" s="5"/>
    </row>
    <row r="14" spans="1:10">
      <c r="A14" s="5">
        <v>5</v>
      </c>
      <c r="B14" s="12"/>
      <c r="C14" s="5"/>
      <c r="D14" s="5"/>
      <c r="E14" s="5"/>
      <c r="F14" s="5"/>
      <c r="G14" s="5"/>
      <c r="H14" s="5"/>
      <c r="I14" s="5"/>
      <c r="J14" s="5"/>
    </row>
    <row r="15" spans="1:10">
      <c r="A15" s="5">
        <v>6</v>
      </c>
      <c r="B15" s="12"/>
      <c r="C15" s="5"/>
      <c r="D15" s="5"/>
      <c r="E15" s="5"/>
      <c r="F15" s="5"/>
      <c r="G15" s="5"/>
      <c r="H15" s="5"/>
      <c r="I15" s="5"/>
      <c r="J15" s="5"/>
    </row>
    <row r="16" spans="1:10">
      <c r="A16" s="5">
        <v>7</v>
      </c>
      <c r="B16" s="12"/>
      <c r="C16" s="5"/>
      <c r="D16" s="5"/>
      <c r="E16" s="5"/>
      <c r="F16" s="5"/>
      <c r="G16" s="5"/>
      <c r="H16" s="5"/>
      <c r="I16" s="5"/>
      <c r="J16" s="5"/>
    </row>
    <row r="17" spans="1:10">
      <c r="A17" s="5">
        <v>8</v>
      </c>
      <c r="B17" s="12"/>
      <c r="C17" s="5"/>
      <c r="D17" s="5"/>
      <c r="E17" s="5"/>
      <c r="F17" s="5"/>
      <c r="G17" s="5"/>
      <c r="H17" s="5"/>
      <c r="I17" s="5"/>
      <c r="J17" s="5"/>
    </row>
    <row r="18" spans="1:10">
      <c r="A18" s="5">
        <v>9</v>
      </c>
      <c r="B18" s="12"/>
      <c r="C18" s="5"/>
      <c r="D18" s="5"/>
      <c r="E18" s="5"/>
      <c r="F18" s="5"/>
      <c r="G18" s="5"/>
      <c r="H18" s="5"/>
      <c r="I18" s="5"/>
      <c r="J18" s="5"/>
    </row>
    <row r="19" spans="1:10">
      <c r="A19" s="5">
        <v>10</v>
      </c>
      <c r="B19" s="12"/>
      <c r="C19" s="5"/>
      <c r="D19" s="5"/>
      <c r="E19" s="5"/>
      <c r="F19" s="5"/>
      <c r="G19" s="5"/>
      <c r="H19" s="5"/>
      <c r="I19" s="5"/>
      <c r="J19" s="5"/>
    </row>
    <row r="20" spans="1:10">
      <c r="A20" s="5">
        <v>11</v>
      </c>
      <c r="B20" s="12"/>
      <c r="C20" s="5"/>
      <c r="D20" s="5"/>
      <c r="E20" s="5"/>
      <c r="F20" s="5"/>
      <c r="G20" s="5"/>
      <c r="H20" s="5"/>
      <c r="I20" s="5"/>
      <c r="J20" s="5"/>
    </row>
    <row r="21" spans="1:10">
      <c r="A21" s="5">
        <v>12</v>
      </c>
      <c r="B21" s="12"/>
      <c r="C21" s="5"/>
      <c r="D21" s="5"/>
      <c r="E21" s="5"/>
      <c r="F21" s="5"/>
      <c r="G21" s="5"/>
      <c r="H21" s="5"/>
      <c r="I21" s="5"/>
      <c r="J21" s="5"/>
    </row>
    <row r="22" spans="1:10">
      <c r="A22" s="5">
        <v>13</v>
      </c>
      <c r="B22" s="12"/>
      <c r="C22" s="5"/>
      <c r="D22" s="5"/>
      <c r="E22" s="5"/>
      <c r="F22" s="5"/>
      <c r="G22" s="5"/>
      <c r="H22" s="5"/>
      <c r="I22" s="5"/>
      <c r="J22" s="5"/>
    </row>
    <row r="23" spans="1:10">
      <c r="A23" s="5">
        <v>14</v>
      </c>
      <c r="B23" s="12"/>
      <c r="C23" s="5"/>
      <c r="D23" s="5"/>
      <c r="E23" s="5"/>
      <c r="F23" s="5"/>
      <c r="G23" s="5"/>
      <c r="H23" s="5"/>
      <c r="I23" s="5"/>
      <c r="J23" s="5"/>
    </row>
    <row r="24" spans="1:10">
      <c r="A24" s="5">
        <v>15</v>
      </c>
      <c r="B24" s="12"/>
      <c r="C24" s="5"/>
      <c r="D24" s="5"/>
      <c r="E24" s="5"/>
      <c r="F24" s="5"/>
      <c r="G24" s="5"/>
      <c r="H24" s="5"/>
      <c r="I24" s="5"/>
      <c r="J24" s="5"/>
    </row>
    <row r="25" spans="1:10">
      <c r="A25" s="5">
        <v>16</v>
      </c>
      <c r="B25" s="12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17</v>
      </c>
      <c r="B26" s="12"/>
      <c r="C26" s="5"/>
      <c r="D26" s="5"/>
      <c r="E26" s="5"/>
      <c r="F26" s="5"/>
      <c r="G26" s="5"/>
      <c r="H26" s="5"/>
      <c r="I26" s="5"/>
      <c r="J26" s="5"/>
    </row>
    <row r="27" spans="1:10">
      <c r="A27" s="5">
        <v>18</v>
      </c>
      <c r="B27" s="12"/>
      <c r="C27" s="5"/>
      <c r="D27" s="5"/>
      <c r="E27" s="5"/>
      <c r="F27" s="5"/>
      <c r="G27" s="5"/>
      <c r="H27" s="5"/>
      <c r="I27" s="5"/>
      <c r="J27" s="5"/>
    </row>
    <row r="28" spans="1:10">
      <c r="A28" s="5">
        <v>19</v>
      </c>
      <c r="B28" s="12"/>
      <c r="C28" s="5"/>
      <c r="D28" s="5"/>
      <c r="E28" s="5"/>
      <c r="F28" s="5"/>
      <c r="G28" s="5"/>
      <c r="H28" s="5"/>
      <c r="I28" s="5"/>
      <c r="J28" s="5"/>
    </row>
    <row r="29" spans="1:10">
      <c r="A29" s="5">
        <v>20</v>
      </c>
      <c r="B29" s="12"/>
      <c r="C29" s="5"/>
      <c r="D29" s="5"/>
      <c r="E29" s="5"/>
      <c r="F29" s="5"/>
      <c r="G29" s="5"/>
      <c r="H29" s="5"/>
      <c r="I29" s="5"/>
      <c r="J29" s="5"/>
    </row>
    <row r="30" spans="1:10">
      <c r="A30" s="5">
        <v>21</v>
      </c>
      <c r="B30" s="12"/>
      <c r="C30" s="5"/>
      <c r="D30" s="5"/>
      <c r="E30" s="5"/>
      <c r="F30" s="5"/>
      <c r="G30" s="5"/>
      <c r="H30" s="5"/>
      <c r="I30" s="5"/>
      <c r="J30" s="5"/>
    </row>
    <row r="31" spans="1:10">
      <c r="A31" s="5">
        <v>22</v>
      </c>
      <c r="B31" s="12"/>
      <c r="C31" s="5"/>
      <c r="D31" s="5"/>
      <c r="E31" s="5"/>
      <c r="F31" s="5"/>
      <c r="G31" s="5"/>
      <c r="H31" s="5"/>
      <c r="I31" s="5"/>
      <c r="J31" s="5"/>
    </row>
    <row r="32" spans="1:10">
      <c r="A32" s="5">
        <v>23</v>
      </c>
      <c r="B32" s="12"/>
      <c r="C32" s="5"/>
      <c r="D32" s="5"/>
      <c r="E32" s="5"/>
      <c r="F32" s="5"/>
      <c r="G32" s="5"/>
      <c r="H32" s="5"/>
      <c r="I32" s="5"/>
      <c r="J32" s="5"/>
    </row>
    <row r="33" spans="1:10">
      <c r="A33" s="5">
        <v>24</v>
      </c>
      <c r="B33" s="12"/>
      <c r="C33" s="5"/>
      <c r="D33" s="5"/>
      <c r="E33" s="5"/>
      <c r="F33" s="5"/>
      <c r="G33" s="5"/>
      <c r="H33" s="5"/>
      <c r="I33" s="5"/>
      <c r="J33" s="5"/>
    </row>
    <row r="34" spans="1:10">
      <c r="A34" s="5">
        <v>25</v>
      </c>
      <c r="B34" s="12"/>
      <c r="C34" s="5"/>
      <c r="D34" s="5"/>
      <c r="E34" s="5"/>
      <c r="F34" s="5"/>
      <c r="G34" s="5"/>
      <c r="H34" s="5"/>
      <c r="I34" s="5"/>
      <c r="J34" s="5"/>
    </row>
    <row r="35" spans="1:10">
      <c r="A35" s="5">
        <v>26</v>
      </c>
      <c r="B35" s="12"/>
      <c r="C35" s="5"/>
      <c r="D35" s="5"/>
      <c r="E35" s="5"/>
      <c r="F35" s="5"/>
      <c r="G35" s="5"/>
      <c r="H35" s="5"/>
      <c r="I35" s="5"/>
      <c r="J35" s="5"/>
    </row>
    <row r="36" spans="1:10">
      <c r="A36" s="5">
        <v>27</v>
      </c>
      <c r="B36" s="12"/>
      <c r="C36" s="5"/>
      <c r="D36" s="5"/>
      <c r="E36" s="5"/>
      <c r="F36" s="5"/>
      <c r="G36" s="5"/>
      <c r="H36" s="5"/>
      <c r="I36" s="5"/>
      <c r="J36" s="5"/>
    </row>
    <row r="37" spans="1:10">
      <c r="A37" s="5">
        <v>28</v>
      </c>
      <c r="B37" s="12"/>
      <c r="C37" s="5"/>
      <c r="D37" s="5"/>
      <c r="E37" s="5"/>
      <c r="F37" s="5"/>
      <c r="G37" s="5"/>
      <c r="H37" s="5"/>
      <c r="I37" s="5"/>
      <c r="J37" s="5"/>
    </row>
    <row r="38" spans="1:10">
      <c r="A38" s="5">
        <v>29</v>
      </c>
      <c r="B38" s="12"/>
      <c r="C38" s="5"/>
      <c r="D38" s="5"/>
      <c r="E38" s="5"/>
      <c r="F38" s="5"/>
      <c r="G38" s="5"/>
      <c r="H38" s="5"/>
      <c r="I38" s="5"/>
      <c r="J38" s="5"/>
    </row>
    <row r="39" spans="1:10">
      <c r="A39" s="5">
        <v>30</v>
      </c>
      <c r="B39" s="12"/>
      <c r="C39" s="5"/>
      <c r="D39" s="5"/>
      <c r="E39" s="5"/>
      <c r="F39" s="5"/>
      <c r="G39" s="5"/>
      <c r="H39" s="5"/>
      <c r="I39" s="5"/>
      <c r="J39" s="5"/>
    </row>
    <row r="40" spans="1:10">
      <c r="A40" s="5">
        <v>31</v>
      </c>
      <c r="B40" s="12"/>
      <c r="C40" s="5"/>
      <c r="D40" s="5"/>
      <c r="E40" s="5"/>
      <c r="F40" s="5"/>
      <c r="G40" s="5"/>
      <c r="H40" s="5"/>
      <c r="I40" s="5"/>
      <c r="J40" s="5"/>
    </row>
    <row r="41" spans="1:10">
      <c r="A41" s="5">
        <v>32</v>
      </c>
      <c r="B41" s="12"/>
      <c r="C41" s="5"/>
      <c r="D41" s="5"/>
      <c r="E41" s="5"/>
      <c r="F41" s="5"/>
      <c r="G41" s="5"/>
      <c r="H41" s="5"/>
      <c r="I41" s="5"/>
      <c r="J41" s="5"/>
    </row>
    <row r="42" spans="1:10">
      <c r="A42" s="5">
        <v>33</v>
      </c>
      <c r="B42" s="12"/>
      <c r="C42" s="5"/>
      <c r="D42" s="5"/>
      <c r="E42" s="5"/>
      <c r="F42" s="5"/>
      <c r="G42" s="5"/>
      <c r="H42" s="5"/>
      <c r="I42" s="5"/>
      <c r="J42" s="5"/>
    </row>
    <row r="43" spans="1:10">
      <c r="A43" s="5">
        <v>34</v>
      </c>
      <c r="B43" s="12"/>
      <c r="C43" s="5"/>
      <c r="D43" s="5"/>
      <c r="E43" s="5"/>
      <c r="F43" s="5"/>
      <c r="G43" s="5"/>
      <c r="H43" s="5"/>
      <c r="I43" s="5"/>
      <c r="J43" s="5"/>
    </row>
    <row r="44" spans="1:10">
      <c r="A44" s="5">
        <v>35</v>
      </c>
      <c r="B44" s="12"/>
      <c r="C44" s="5"/>
      <c r="D44" s="5"/>
      <c r="E44" s="5"/>
      <c r="F44" s="5"/>
      <c r="G44" s="5"/>
      <c r="H44" s="5"/>
      <c r="I44" s="5"/>
      <c r="J44" s="5"/>
    </row>
    <row r="45" spans="1:10">
      <c r="A45" s="5">
        <v>36</v>
      </c>
      <c r="B45" s="12"/>
      <c r="C45" s="5"/>
      <c r="D45" s="5"/>
      <c r="E45" s="5"/>
      <c r="F45" s="5"/>
      <c r="G45" s="5"/>
      <c r="H45" s="5"/>
      <c r="I45" s="5"/>
      <c r="J45" s="5"/>
    </row>
    <row r="46" spans="1:10">
      <c r="A46" s="5">
        <v>37</v>
      </c>
      <c r="B46" s="12"/>
      <c r="C46" s="5"/>
      <c r="D46" s="5"/>
      <c r="E46" s="5"/>
      <c r="F46" s="5"/>
      <c r="G46" s="5"/>
      <c r="H46" s="5"/>
      <c r="I46" s="5"/>
      <c r="J46" s="5"/>
    </row>
    <row r="47" spans="1:10">
      <c r="A47" s="5">
        <v>38</v>
      </c>
      <c r="B47" s="12"/>
      <c r="C47" s="5"/>
      <c r="D47" s="5"/>
      <c r="E47" s="5"/>
      <c r="F47" s="5"/>
      <c r="G47" s="5"/>
      <c r="H47" s="5"/>
      <c r="I47" s="5"/>
      <c r="J47" s="5"/>
    </row>
    <row r="48" spans="1:10">
      <c r="A48" s="5">
        <v>39</v>
      </c>
      <c r="B48" s="12"/>
      <c r="C48" s="5"/>
      <c r="D48" s="5"/>
      <c r="E48" s="5"/>
      <c r="F48" s="5"/>
      <c r="G48" s="5"/>
      <c r="H48" s="5"/>
      <c r="I48" s="5"/>
      <c r="J48" s="5"/>
    </row>
    <row r="49" spans="1:53">
      <c r="A49" s="5">
        <v>40</v>
      </c>
      <c r="B49" s="12"/>
      <c r="C49" s="5"/>
      <c r="D49" s="5"/>
      <c r="E49" s="5"/>
      <c r="F49" s="5"/>
      <c r="G49" s="5"/>
      <c r="H49" s="5"/>
      <c r="I49" s="5"/>
      <c r="J49" s="5"/>
    </row>
    <row r="50" spans="1:53">
      <c r="A50" s="5">
        <v>41</v>
      </c>
      <c r="B50" s="12"/>
      <c r="C50" s="5"/>
      <c r="D50" s="5"/>
      <c r="E50" s="5"/>
      <c r="F50" s="5"/>
      <c r="G50" s="5"/>
      <c r="H50" s="5"/>
      <c r="I50" s="5"/>
      <c r="J50" s="5"/>
    </row>
    <row r="51" spans="1:53">
      <c r="A51" s="5">
        <v>42</v>
      </c>
      <c r="B51" s="12"/>
      <c r="C51" s="5"/>
      <c r="D51" s="5"/>
      <c r="E51" s="5"/>
      <c r="F51" s="5"/>
      <c r="G51" s="5"/>
      <c r="H51" s="5"/>
      <c r="I51" s="5"/>
      <c r="J51" s="5"/>
    </row>
    <row r="52" spans="1:53">
      <c r="A52" s="5">
        <v>43</v>
      </c>
      <c r="B52" s="12"/>
      <c r="C52" s="5"/>
      <c r="D52" s="5"/>
      <c r="E52" s="5"/>
      <c r="F52" s="5"/>
      <c r="G52" s="5"/>
      <c r="H52" s="5"/>
      <c r="I52" s="5"/>
      <c r="J52" s="5"/>
    </row>
    <row r="53" spans="1:53">
      <c r="A53" s="5">
        <v>44</v>
      </c>
      <c r="B53" s="12"/>
      <c r="C53" s="5"/>
      <c r="D53" s="5"/>
      <c r="E53" s="5"/>
      <c r="F53" s="5"/>
      <c r="G53" s="5"/>
      <c r="H53" s="5"/>
      <c r="I53" s="5"/>
      <c r="J53" s="5"/>
    </row>
    <row r="54" spans="1:53">
      <c r="A54" s="5">
        <v>45</v>
      </c>
      <c r="B54" s="12"/>
      <c r="C54" s="5"/>
      <c r="D54" s="5"/>
      <c r="E54" s="5"/>
      <c r="F54" s="5"/>
      <c r="G54" s="5"/>
      <c r="H54" s="5"/>
      <c r="I54" s="5"/>
      <c r="J54" s="5"/>
    </row>
    <row r="55" spans="1:53">
      <c r="A55" s="5">
        <v>46</v>
      </c>
      <c r="B55" s="12"/>
      <c r="C55" s="5"/>
      <c r="D55" s="5"/>
      <c r="E55" s="5"/>
      <c r="F55" s="5"/>
      <c r="G55" s="5"/>
      <c r="H55" s="5"/>
      <c r="I55" s="5"/>
      <c r="J55" s="5"/>
    </row>
    <row r="56" spans="1:53">
      <c r="A56" s="5">
        <v>47</v>
      </c>
      <c r="B56" s="12"/>
      <c r="C56" s="5"/>
      <c r="D56" s="5"/>
      <c r="E56" s="5"/>
      <c r="F56" s="5"/>
      <c r="G56" s="5"/>
      <c r="H56" s="5"/>
      <c r="I56" s="5"/>
      <c r="J56" s="5"/>
    </row>
    <row r="57" spans="1:53">
      <c r="A57" s="5">
        <v>48</v>
      </c>
      <c r="B57" s="12"/>
      <c r="C57" s="5"/>
      <c r="D57" s="5"/>
      <c r="E57" s="5"/>
      <c r="F57" s="5"/>
      <c r="G57" s="5"/>
      <c r="H57" s="5"/>
      <c r="I57" s="5"/>
      <c r="J57" s="5"/>
    </row>
    <row r="58" spans="1:53">
      <c r="A58" s="5">
        <v>49</v>
      </c>
      <c r="B58" s="12"/>
      <c r="C58" s="5"/>
      <c r="D58" s="5"/>
      <c r="E58" s="5"/>
      <c r="F58" s="5"/>
      <c r="G58" s="5"/>
      <c r="H58" s="5"/>
      <c r="I58" s="5"/>
      <c r="J58" s="5"/>
    </row>
    <row r="59" spans="1:53">
      <c r="A59" s="5">
        <v>50</v>
      </c>
      <c r="B59" s="12"/>
      <c r="C59" s="5"/>
      <c r="D59" s="5"/>
      <c r="E59" s="5"/>
      <c r="F59" s="5"/>
      <c r="G59" s="5"/>
      <c r="H59" s="5"/>
      <c r="I59" s="5"/>
      <c r="J59" s="5"/>
    </row>
    <row r="60" spans="1:53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53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53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5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53" ht="32">
      <c r="A64" s="6" t="s">
        <v>237</v>
      </c>
      <c r="B64" s="6"/>
      <c r="C64" s="6" t="s">
        <v>238</v>
      </c>
      <c r="D64" s="6" t="s">
        <v>239</v>
      </c>
      <c r="E64" s="6" t="s">
        <v>240</v>
      </c>
      <c r="F64" s="6" t="s">
        <v>241</v>
      </c>
      <c r="G64" s="6" t="s">
        <v>242</v>
      </c>
      <c r="H64" s="6" t="s">
        <v>243</v>
      </c>
      <c r="I64" s="6" t="s">
        <v>244</v>
      </c>
      <c r="J64" s="6" t="s">
        <v>245</v>
      </c>
      <c r="K64" s="1" t="s">
        <v>246</v>
      </c>
      <c r="L64" s="1" t="s">
        <v>247</v>
      </c>
      <c r="M64" s="1" t="s">
        <v>248</v>
      </c>
      <c r="N64" s="1" t="s">
        <v>249</v>
      </c>
      <c r="O64" s="1" t="s">
        <v>250</v>
      </c>
      <c r="P64" s="1" t="s">
        <v>251</v>
      </c>
      <c r="Q64" s="1" t="s">
        <v>252</v>
      </c>
      <c r="R64" s="1" t="s">
        <v>253</v>
      </c>
      <c r="S64" s="1" t="s">
        <v>254</v>
      </c>
      <c r="T64" s="1" t="s">
        <v>255</v>
      </c>
      <c r="U64" s="1" t="s">
        <v>256</v>
      </c>
      <c r="V64" s="1" t="s">
        <v>257</v>
      </c>
      <c r="W64" s="1" t="s">
        <v>258</v>
      </c>
      <c r="X64" s="1" t="s">
        <v>259</v>
      </c>
      <c r="Y64" s="1" t="s">
        <v>260</v>
      </c>
      <c r="Z64" s="1" t="s">
        <v>261</v>
      </c>
      <c r="AA64" s="1" t="s">
        <v>262</v>
      </c>
      <c r="AB64" s="1" t="s">
        <v>263</v>
      </c>
      <c r="AC64" s="1" t="s">
        <v>264</v>
      </c>
      <c r="AD64" s="1" t="s">
        <v>265</v>
      </c>
      <c r="AE64" s="1" t="s">
        <v>266</v>
      </c>
      <c r="AF64" s="1" t="s">
        <v>267</v>
      </c>
      <c r="AG64" s="1" t="s">
        <v>268</v>
      </c>
      <c r="AH64" s="1" t="s">
        <v>269</v>
      </c>
      <c r="AI64" s="1" t="s">
        <v>270</v>
      </c>
      <c r="AJ64" s="1" t="s">
        <v>271</v>
      </c>
      <c r="AK64" s="1" t="s">
        <v>272</v>
      </c>
      <c r="AL64" s="1" t="s">
        <v>273</v>
      </c>
      <c r="AM64" s="1" t="s">
        <v>274</v>
      </c>
      <c r="AN64" s="1" t="s">
        <v>275</v>
      </c>
      <c r="AO64" s="1" t="s">
        <v>276</v>
      </c>
      <c r="AP64" s="1" t="s">
        <v>277</v>
      </c>
      <c r="AQ64" s="1" t="s">
        <v>278</v>
      </c>
      <c r="AR64" s="1" t="s">
        <v>279</v>
      </c>
      <c r="AS64" s="1" t="s">
        <v>280</v>
      </c>
      <c r="AT64" s="1" t="s">
        <v>281</v>
      </c>
      <c r="AU64" s="1" t="s">
        <v>282</v>
      </c>
      <c r="AV64" s="1" t="s">
        <v>283</v>
      </c>
      <c r="AW64" s="1" t="s">
        <v>284</v>
      </c>
      <c r="AX64" s="1" t="s">
        <v>285</v>
      </c>
      <c r="AY64" s="1" t="s">
        <v>286</v>
      </c>
      <c r="AZ64" s="1" t="s">
        <v>287</v>
      </c>
      <c r="BA64" s="1" t="s">
        <v>98</v>
      </c>
    </row>
    <row r="65" spans="1:53">
      <c r="A65" s="5">
        <v>1</v>
      </c>
      <c r="B65" s="5"/>
      <c r="C65" s="18" t="str">
        <f t="shared" ref="C65:L74" ca="1" si="0">IF(COLUMN()-2&lt;=$E$3,INDEX($B$10:$B$59,RANDBETWEEN(1,$E$3)),"")</f>
        <v/>
      </c>
      <c r="D65" s="18" t="str">
        <f t="shared" ca="1" si="0"/>
        <v/>
      </c>
      <c r="E65" s="18" t="str">
        <f t="shared" ca="1" si="0"/>
        <v/>
      </c>
      <c r="F65" s="18" t="str">
        <f t="shared" ca="1" si="0"/>
        <v/>
      </c>
      <c r="G65" s="18" t="str">
        <f t="shared" ca="1" si="0"/>
        <v/>
      </c>
      <c r="H65" s="18" t="str">
        <f t="shared" ca="1" si="0"/>
        <v/>
      </c>
      <c r="I65" s="18" t="str">
        <f t="shared" ca="1" si="0"/>
        <v/>
      </c>
      <c r="J65" s="18" t="str">
        <f t="shared" ca="1" si="0"/>
        <v/>
      </c>
      <c r="K65" s="4" t="str">
        <f t="shared" ca="1" si="0"/>
        <v/>
      </c>
      <c r="L65" s="4" t="str">
        <f t="shared" ca="1" si="0"/>
        <v/>
      </c>
      <c r="M65" s="4" t="str">
        <f t="shared" ref="M65:V74" ca="1" si="1">IF(COLUMN()-2&lt;=$E$3,INDEX($B$10:$B$59,RANDBETWEEN(1,$E$3)),"")</f>
        <v/>
      </c>
      <c r="N65" s="4" t="str">
        <f t="shared" ca="1" si="1"/>
        <v/>
      </c>
      <c r="O65" s="4" t="str">
        <f t="shared" ca="1" si="1"/>
        <v/>
      </c>
      <c r="P65" s="4" t="str">
        <f t="shared" ca="1" si="1"/>
        <v/>
      </c>
      <c r="Q65" s="4" t="str">
        <f t="shared" ca="1" si="1"/>
        <v/>
      </c>
      <c r="R65" s="4" t="str">
        <f t="shared" ca="1" si="1"/>
        <v/>
      </c>
      <c r="S65" s="4" t="str">
        <f t="shared" ca="1" si="1"/>
        <v/>
      </c>
      <c r="T65" s="4" t="str">
        <f t="shared" ca="1" si="1"/>
        <v/>
      </c>
      <c r="U65" s="4" t="str">
        <f t="shared" ca="1" si="1"/>
        <v/>
      </c>
      <c r="V65" s="4" t="str">
        <f t="shared" ca="1" si="1"/>
        <v/>
      </c>
      <c r="W65" s="4" t="str">
        <f t="shared" ref="W65:AF74" ca="1" si="2">IF(COLUMN()-2&lt;=$E$3,INDEX($B$10:$B$59,RANDBETWEEN(1,$E$3)),"")</f>
        <v/>
      </c>
      <c r="X65" s="4" t="str">
        <f t="shared" ca="1" si="2"/>
        <v/>
      </c>
      <c r="Y65" s="4" t="str">
        <f t="shared" ca="1" si="2"/>
        <v/>
      </c>
      <c r="Z65" s="4" t="str">
        <f t="shared" ca="1" si="2"/>
        <v/>
      </c>
      <c r="AA65" s="4" t="str">
        <f t="shared" ca="1" si="2"/>
        <v/>
      </c>
      <c r="AB65" s="4" t="str">
        <f t="shared" ca="1" si="2"/>
        <v/>
      </c>
      <c r="AC65" s="4" t="str">
        <f t="shared" ca="1" si="2"/>
        <v/>
      </c>
      <c r="AD65" s="4" t="str">
        <f t="shared" ca="1" si="2"/>
        <v/>
      </c>
      <c r="AE65" s="4" t="str">
        <f t="shared" ca="1" si="2"/>
        <v/>
      </c>
      <c r="AF65" s="4" t="str">
        <f t="shared" ca="1" si="2"/>
        <v/>
      </c>
      <c r="AG65" s="4" t="str">
        <f t="shared" ref="AG65:AP74" ca="1" si="3">IF(COLUMN()-2&lt;=$E$3,INDEX($B$10:$B$59,RANDBETWEEN(1,$E$3)),"")</f>
        <v/>
      </c>
      <c r="AH65" s="4" t="str">
        <f t="shared" ca="1" si="3"/>
        <v/>
      </c>
      <c r="AI65" s="4" t="str">
        <f t="shared" ca="1" si="3"/>
        <v/>
      </c>
      <c r="AJ65" s="4" t="str">
        <f t="shared" ca="1" si="3"/>
        <v/>
      </c>
      <c r="AK65" s="4" t="str">
        <f t="shared" ca="1" si="3"/>
        <v/>
      </c>
      <c r="AL65" s="4" t="str">
        <f t="shared" ca="1" si="3"/>
        <v/>
      </c>
      <c r="AM65" s="4" t="str">
        <f t="shared" ca="1" si="3"/>
        <v/>
      </c>
      <c r="AN65" s="4" t="str">
        <f t="shared" ca="1" si="3"/>
        <v/>
      </c>
      <c r="AO65" s="4" t="str">
        <f t="shared" ca="1" si="3"/>
        <v/>
      </c>
      <c r="AP65" s="4" t="str">
        <f t="shared" ca="1" si="3"/>
        <v/>
      </c>
      <c r="AQ65" s="4" t="str">
        <f t="shared" ref="AQ65:AZ74" ca="1" si="4">IF(COLUMN()-2&lt;=$E$3,INDEX($B$10:$B$59,RANDBETWEEN(1,$E$3)),"")</f>
        <v/>
      </c>
      <c r="AR65" s="4" t="str">
        <f t="shared" ca="1" si="4"/>
        <v/>
      </c>
      <c r="AS65" s="4" t="str">
        <f t="shared" ca="1" si="4"/>
        <v/>
      </c>
      <c r="AT65" s="4" t="str">
        <f t="shared" ca="1" si="4"/>
        <v/>
      </c>
      <c r="AU65" s="4" t="str">
        <f t="shared" ca="1" si="4"/>
        <v/>
      </c>
      <c r="AV65" s="4" t="str">
        <f t="shared" ca="1" si="4"/>
        <v/>
      </c>
      <c r="AW65" s="4" t="str">
        <f t="shared" ca="1" si="4"/>
        <v/>
      </c>
      <c r="AX65" s="4" t="str">
        <f t="shared" ca="1" si="4"/>
        <v/>
      </c>
      <c r="AY65" s="4" t="str">
        <f t="shared" ca="1" si="4"/>
        <v/>
      </c>
      <c r="AZ65" s="4" t="str">
        <f t="shared" ca="1" si="4"/>
        <v/>
      </c>
      <c r="BA65" s="4" t="str">
        <f t="shared" ref="BA65:BA96" si="5">IF($E$3=0,"",AVERAGE(C65:AZ65))</f>
        <v/>
      </c>
    </row>
    <row r="66" spans="1:53">
      <c r="A66" s="5">
        <v>2</v>
      </c>
      <c r="B66" s="5"/>
      <c r="C66" s="18" t="str">
        <f t="shared" ca="1" si="0"/>
        <v/>
      </c>
      <c r="D66" s="18" t="str">
        <f t="shared" ca="1" si="0"/>
        <v/>
      </c>
      <c r="E66" s="18" t="str">
        <f t="shared" ca="1" si="0"/>
        <v/>
      </c>
      <c r="F66" s="18" t="str">
        <f t="shared" ca="1" si="0"/>
        <v/>
      </c>
      <c r="G66" s="18" t="str">
        <f t="shared" ca="1" si="0"/>
        <v/>
      </c>
      <c r="H66" s="18" t="str">
        <f t="shared" ca="1" si="0"/>
        <v/>
      </c>
      <c r="I66" s="18" t="str">
        <f t="shared" ca="1" si="0"/>
        <v/>
      </c>
      <c r="J66" s="18" t="str">
        <f t="shared" ca="1" si="0"/>
        <v/>
      </c>
      <c r="K66" s="4" t="str">
        <f t="shared" ca="1" si="0"/>
        <v/>
      </c>
      <c r="L66" s="4" t="str">
        <f t="shared" ca="1" si="0"/>
        <v/>
      </c>
      <c r="M66" s="4" t="str">
        <f t="shared" ca="1" si="1"/>
        <v/>
      </c>
      <c r="N66" s="4" t="str">
        <f t="shared" ca="1" si="1"/>
        <v/>
      </c>
      <c r="O66" s="4" t="str">
        <f t="shared" ca="1" si="1"/>
        <v/>
      </c>
      <c r="P66" s="4" t="str">
        <f t="shared" ca="1" si="1"/>
        <v/>
      </c>
      <c r="Q66" s="4" t="str">
        <f t="shared" ca="1" si="1"/>
        <v/>
      </c>
      <c r="R66" s="4" t="str">
        <f t="shared" ca="1" si="1"/>
        <v/>
      </c>
      <c r="S66" s="4" t="str">
        <f t="shared" ca="1" si="1"/>
        <v/>
      </c>
      <c r="T66" s="4" t="str">
        <f t="shared" ca="1" si="1"/>
        <v/>
      </c>
      <c r="U66" s="4" t="str">
        <f t="shared" ca="1" si="1"/>
        <v/>
      </c>
      <c r="V66" s="4" t="str">
        <f t="shared" ca="1" si="1"/>
        <v/>
      </c>
      <c r="W66" s="4" t="str">
        <f t="shared" ca="1" si="2"/>
        <v/>
      </c>
      <c r="X66" s="4" t="str">
        <f t="shared" ca="1" si="2"/>
        <v/>
      </c>
      <c r="Y66" s="4" t="str">
        <f t="shared" ca="1" si="2"/>
        <v/>
      </c>
      <c r="Z66" s="4" t="str">
        <f t="shared" ca="1" si="2"/>
        <v/>
      </c>
      <c r="AA66" s="4" t="str">
        <f t="shared" ca="1" si="2"/>
        <v/>
      </c>
      <c r="AB66" s="4" t="str">
        <f t="shared" ca="1" si="2"/>
        <v/>
      </c>
      <c r="AC66" s="4" t="str">
        <f t="shared" ca="1" si="2"/>
        <v/>
      </c>
      <c r="AD66" s="4" t="str">
        <f t="shared" ca="1" si="2"/>
        <v/>
      </c>
      <c r="AE66" s="4" t="str">
        <f t="shared" ca="1" si="2"/>
        <v/>
      </c>
      <c r="AF66" s="4" t="str">
        <f t="shared" ca="1" si="2"/>
        <v/>
      </c>
      <c r="AG66" s="4" t="str">
        <f t="shared" ca="1" si="3"/>
        <v/>
      </c>
      <c r="AH66" s="4" t="str">
        <f t="shared" ca="1" si="3"/>
        <v/>
      </c>
      <c r="AI66" s="4" t="str">
        <f t="shared" ca="1" si="3"/>
        <v/>
      </c>
      <c r="AJ66" s="4" t="str">
        <f t="shared" ca="1" si="3"/>
        <v/>
      </c>
      <c r="AK66" s="4" t="str">
        <f t="shared" ca="1" si="3"/>
        <v/>
      </c>
      <c r="AL66" s="4" t="str">
        <f t="shared" ca="1" si="3"/>
        <v/>
      </c>
      <c r="AM66" s="4" t="str">
        <f t="shared" ca="1" si="3"/>
        <v/>
      </c>
      <c r="AN66" s="4" t="str">
        <f t="shared" ca="1" si="3"/>
        <v/>
      </c>
      <c r="AO66" s="4" t="str">
        <f t="shared" ca="1" si="3"/>
        <v/>
      </c>
      <c r="AP66" s="4" t="str">
        <f t="shared" ca="1" si="3"/>
        <v/>
      </c>
      <c r="AQ66" s="4" t="str">
        <f t="shared" ca="1" si="4"/>
        <v/>
      </c>
      <c r="AR66" s="4" t="str">
        <f t="shared" ca="1" si="4"/>
        <v/>
      </c>
      <c r="AS66" s="4" t="str">
        <f t="shared" ca="1" si="4"/>
        <v/>
      </c>
      <c r="AT66" s="4" t="str">
        <f t="shared" ca="1" si="4"/>
        <v/>
      </c>
      <c r="AU66" s="4" t="str">
        <f t="shared" ca="1" si="4"/>
        <v/>
      </c>
      <c r="AV66" s="4" t="str">
        <f t="shared" ca="1" si="4"/>
        <v/>
      </c>
      <c r="AW66" s="4" t="str">
        <f t="shared" ca="1" si="4"/>
        <v/>
      </c>
      <c r="AX66" s="4" t="str">
        <f t="shared" ca="1" si="4"/>
        <v/>
      </c>
      <c r="AY66" s="4" t="str">
        <f t="shared" ca="1" si="4"/>
        <v/>
      </c>
      <c r="AZ66" s="4" t="str">
        <f t="shared" ca="1" si="4"/>
        <v/>
      </c>
      <c r="BA66" s="4" t="str">
        <f t="shared" si="5"/>
        <v/>
      </c>
    </row>
    <row r="67" spans="1:53">
      <c r="A67" s="5">
        <v>3</v>
      </c>
      <c r="B67" s="5"/>
      <c r="C67" s="18" t="str">
        <f t="shared" ca="1" si="0"/>
        <v/>
      </c>
      <c r="D67" s="18" t="str">
        <f t="shared" ca="1" si="0"/>
        <v/>
      </c>
      <c r="E67" s="18" t="str">
        <f t="shared" ca="1" si="0"/>
        <v/>
      </c>
      <c r="F67" s="18" t="str">
        <f t="shared" ca="1" si="0"/>
        <v/>
      </c>
      <c r="G67" s="18" t="str">
        <f t="shared" ca="1" si="0"/>
        <v/>
      </c>
      <c r="H67" s="18" t="str">
        <f t="shared" ca="1" si="0"/>
        <v/>
      </c>
      <c r="I67" s="18" t="str">
        <f t="shared" ca="1" si="0"/>
        <v/>
      </c>
      <c r="J67" s="18" t="str">
        <f t="shared" ca="1" si="0"/>
        <v/>
      </c>
      <c r="K67" s="4" t="str">
        <f t="shared" ca="1" si="0"/>
        <v/>
      </c>
      <c r="L67" s="4" t="str">
        <f t="shared" ca="1" si="0"/>
        <v/>
      </c>
      <c r="M67" s="4" t="str">
        <f t="shared" ca="1" si="1"/>
        <v/>
      </c>
      <c r="N67" s="4" t="str">
        <f t="shared" ca="1" si="1"/>
        <v/>
      </c>
      <c r="O67" s="4" t="str">
        <f t="shared" ca="1" si="1"/>
        <v/>
      </c>
      <c r="P67" s="4" t="str">
        <f t="shared" ca="1" si="1"/>
        <v/>
      </c>
      <c r="Q67" s="4" t="str">
        <f t="shared" ca="1" si="1"/>
        <v/>
      </c>
      <c r="R67" s="4" t="str">
        <f t="shared" ca="1" si="1"/>
        <v/>
      </c>
      <c r="S67" s="4" t="str">
        <f t="shared" ca="1" si="1"/>
        <v/>
      </c>
      <c r="T67" s="4" t="str">
        <f t="shared" ca="1" si="1"/>
        <v/>
      </c>
      <c r="U67" s="4" t="str">
        <f t="shared" ca="1" si="1"/>
        <v/>
      </c>
      <c r="V67" s="4" t="str">
        <f t="shared" ca="1" si="1"/>
        <v/>
      </c>
      <c r="W67" s="4" t="str">
        <f t="shared" ca="1" si="2"/>
        <v/>
      </c>
      <c r="X67" s="4" t="str">
        <f t="shared" ca="1" si="2"/>
        <v/>
      </c>
      <c r="Y67" s="4" t="str">
        <f t="shared" ca="1" si="2"/>
        <v/>
      </c>
      <c r="Z67" s="4" t="str">
        <f t="shared" ca="1" si="2"/>
        <v/>
      </c>
      <c r="AA67" s="4" t="str">
        <f t="shared" ca="1" si="2"/>
        <v/>
      </c>
      <c r="AB67" s="4" t="str">
        <f t="shared" ca="1" si="2"/>
        <v/>
      </c>
      <c r="AC67" s="4" t="str">
        <f t="shared" ca="1" si="2"/>
        <v/>
      </c>
      <c r="AD67" s="4" t="str">
        <f t="shared" ca="1" si="2"/>
        <v/>
      </c>
      <c r="AE67" s="4" t="str">
        <f t="shared" ca="1" si="2"/>
        <v/>
      </c>
      <c r="AF67" s="4" t="str">
        <f t="shared" ca="1" si="2"/>
        <v/>
      </c>
      <c r="AG67" s="4" t="str">
        <f t="shared" ca="1" si="3"/>
        <v/>
      </c>
      <c r="AH67" s="4" t="str">
        <f t="shared" ca="1" si="3"/>
        <v/>
      </c>
      <c r="AI67" s="4" t="str">
        <f t="shared" ca="1" si="3"/>
        <v/>
      </c>
      <c r="AJ67" s="4" t="str">
        <f t="shared" ca="1" si="3"/>
        <v/>
      </c>
      <c r="AK67" s="4" t="str">
        <f t="shared" ca="1" si="3"/>
        <v/>
      </c>
      <c r="AL67" s="4" t="str">
        <f t="shared" ca="1" si="3"/>
        <v/>
      </c>
      <c r="AM67" s="4" t="str">
        <f t="shared" ca="1" si="3"/>
        <v/>
      </c>
      <c r="AN67" s="4" t="str">
        <f t="shared" ca="1" si="3"/>
        <v/>
      </c>
      <c r="AO67" s="4" t="str">
        <f t="shared" ca="1" si="3"/>
        <v/>
      </c>
      <c r="AP67" s="4" t="str">
        <f t="shared" ca="1" si="3"/>
        <v/>
      </c>
      <c r="AQ67" s="4" t="str">
        <f t="shared" ca="1" si="4"/>
        <v/>
      </c>
      <c r="AR67" s="4" t="str">
        <f t="shared" ca="1" si="4"/>
        <v/>
      </c>
      <c r="AS67" s="4" t="str">
        <f t="shared" ca="1" si="4"/>
        <v/>
      </c>
      <c r="AT67" s="4" t="str">
        <f t="shared" ca="1" si="4"/>
        <v/>
      </c>
      <c r="AU67" s="4" t="str">
        <f t="shared" ca="1" si="4"/>
        <v/>
      </c>
      <c r="AV67" s="4" t="str">
        <f t="shared" ca="1" si="4"/>
        <v/>
      </c>
      <c r="AW67" s="4" t="str">
        <f t="shared" ca="1" si="4"/>
        <v/>
      </c>
      <c r="AX67" s="4" t="str">
        <f t="shared" ca="1" si="4"/>
        <v/>
      </c>
      <c r="AY67" s="4" t="str">
        <f t="shared" ca="1" si="4"/>
        <v/>
      </c>
      <c r="AZ67" s="4" t="str">
        <f t="shared" ca="1" si="4"/>
        <v/>
      </c>
      <c r="BA67" s="4" t="str">
        <f t="shared" si="5"/>
        <v/>
      </c>
    </row>
    <row r="68" spans="1:53">
      <c r="A68" s="5">
        <v>4</v>
      </c>
      <c r="B68" s="5"/>
      <c r="C68" s="18" t="str">
        <f t="shared" ca="1" si="0"/>
        <v/>
      </c>
      <c r="D68" s="18" t="str">
        <f t="shared" ca="1" si="0"/>
        <v/>
      </c>
      <c r="E68" s="18" t="str">
        <f t="shared" ca="1" si="0"/>
        <v/>
      </c>
      <c r="F68" s="18" t="str">
        <f t="shared" ca="1" si="0"/>
        <v/>
      </c>
      <c r="G68" s="18" t="str">
        <f t="shared" ca="1" si="0"/>
        <v/>
      </c>
      <c r="H68" s="18" t="str">
        <f t="shared" ca="1" si="0"/>
        <v/>
      </c>
      <c r="I68" s="18" t="str">
        <f t="shared" ca="1" si="0"/>
        <v/>
      </c>
      <c r="J68" s="18" t="str">
        <f t="shared" ca="1" si="0"/>
        <v/>
      </c>
      <c r="K68" s="4" t="str">
        <f t="shared" ca="1" si="0"/>
        <v/>
      </c>
      <c r="L68" s="4" t="str">
        <f t="shared" ca="1" si="0"/>
        <v/>
      </c>
      <c r="M68" s="4" t="str">
        <f t="shared" ca="1" si="1"/>
        <v/>
      </c>
      <c r="N68" s="4" t="str">
        <f t="shared" ca="1" si="1"/>
        <v/>
      </c>
      <c r="O68" s="4" t="str">
        <f t="shared" ca="1" si="1"/>
        <v/>
      </c>
      <c r="P68" s="4" t="str">
        <f t="shared" ca="1" si="1"/>
        <v/>
      </c>
      <c r="Q68" s="4" t="str">
        <f t="shared" ca="1" si="1"/>
        <v/>
      </c>
      <c r="R68" s="4" t="str">
        <f t="shared" ca="1" si="1"/>
        <v/>
      </c>
      <c r="S68" s="4" t="str">
        <f t="shared" ca="1" si="1"/>
        <v/>
      </c>
      <c r="T68" s="4" t="str">
        <f t="shared" ca="1" si="1"/>
        <v/>
      </c>
      <c r="U68" s="4" t="str">
        <f t="shared" ca="1" si="1"/>
        <v/>
      </c>
      <c r="V68" s="4" t="str">
        <f t="shared" ca="1" si="1"/>
        <v/>
      </c>
      <c r="W68" s="4" t="str">
        <f t="shared" ca="1" si="2"/>
        <v/>
      </c>
      <c r="X68" s="4" t="str">
        <f t="shared" ca="1" si="2"/>
        <v/>
      </c>
      <c r="Y68" s="4" t="str">
        <f t="shared" ca="1" si="2"/>
        <v/>
      </c>
      <c r="Z68" s="4" t="str">
        <f t="shared" ca="1" si="2"/>
        <v/>
      </c>
      <c r="AA68" s="4" t="str">
        <f t="shared" ca="1" si="2"/>
        <v/>
      </c>
      <c r="AB68" s="4" t="str">
        <f t="shared" ca="1" si="2"/>
        <v/>
      </c>
      <c r="AC68" s="4" t="str">
        <f t="shared" ca="1" si="2"/>
        <v/>
      </c>
      <c r="AD68" s="4" t="str">
        <f t="shared" ca="1" si="2"/>
        <v/>
      </c>
      <c r="AE68" s="4" t="str">
        <f t="shared" ca="1" si="2"/>
        <v/>
      </c>
      <c r="AF68" s="4" t="str">
        <f t="shared" ca="1" si="2"/>
        <v/>
      </c>
      <c r="AG68" s="4" t="str">
        <f t="shared" ca="1" si="3"/>
        <v/>
      </c>
      <c r="AH68" s="4" t="str">
        <f t="shared" ca="1" si="3"/>
        <v/>
      </c>
      <c r="AI68" s="4" t="str">
        <f t="shared" ca="1" si="3"/>
        <v/>
      </c>
      <c r="AJ68" s="4" t="str">
        <f t="shared" ca="1" si="3"/>
        <v/>
      </c>
      <c r="AK68" s="4" t="str">
        <f t="shared" ca="1" si="3"/>
        <v/>
      </c>
      <c r="AL68" s="4" t="str">
        <f t="shared" ca="1" si="3"/>
        <v/>
      </c>
      <c r="AM68" s="4" t="str">
        <f t="shared" ca="1" si="3"/>
        <v/>
      </c>
      <c r="AN68" s="4" t="str">
        <f t="shared" ca="1" si="3"/>
        <v/>
      </c>
      <c r="AO68" s="4" t="str">
        <f t="shared" ca="1" si="3"/>
        <v/>
      </c>
      <c r="AP68" s="4" t="str">
        <f t="shared" ca="1" si="3"/>
        <v/>
      </c>
      <c r="AQ68" s="4" t="str">
        <f t="shared" ca="1" si="4"/>
        <v/>
      </c>
      <c r="AR68" s="4" t="str">
        <f t="shared" ca="1" si="4"/>
        <v/>
      </c>
      <c r="AS68" s="4" t="str">
        <f t="shared" ca="1" si="4"/>
        <v/>
      </c>
      <c r="AT68" s="4" t="str">
        <f t="shared" ca="1" si="4"/>
        <v/>
      </c>
      <c r="AU68" s="4" t="str">
        <f t="shared" ca="1" si="4"/>
        <v/>
      </c>
      <c r="AV68" s="4" t="str">
        <f t="shared" ca="1" si="4"/>
        <v/>
      </c>
      <c r="AW68" s="4" t="str">
        <f t="shared" ca="1" si="4"/>
        <v/>
      </c>
      <c r="AX68" s="4" t="str">
        <f t="shared" ca="1" si="4"/>
        <v/>
      </c>
      <c r="AY68" s="4" t="str">
        <f t="shared" ca="1" si="4"/>
        <v/>
      </c>
      <c r="AZ68" s="4" t="str">
        <f t="shared" ca="1" si="4"/>
        <v/>
      </c>
      <c r="BA68" s="4" t="str">
        <f t="shared" si="5"/>
        <v/>
      </c>
    </row>
    <row r="69" spans="1:53">
      <c r="A69" s="5">
        <v>5</v>
      </c>
      <c r="B69" s="5"/>
      <c r="C69" s="18" t="str">
        <f t="shared" ca="1" si="0"/>
        <v/>
      </c>
      <c r="D69" s="18" t="str">
        <f t="shared" ca="1" si="0"/>
        <v/>
      </c>
      <c r="E69" s="18" t="str">
        <f t="shared" ca="1" si="0"/>
        <v/>
      </c>
      <c r="F69" s="18" t="str">
        <f t="shared" ca="1" si="0"/>
        <v/>
      </c>
      <c r="G69" s="18" t="str">
        <f t="shared" ca="1" si="0"/>
        <v/>
      </c>
      <c r="H69" s="18" t="str">
        <f t="shared" ca="1" si="0"/>
        <v/>
      </c>
      <c r="I69" s="18" t="str">
        <f t="shared" ca="1" si="0"/>
        <v/>
      </c>
      <c r="J69" s="18" t="str">
        <f t="shared" ca="1" si="0"/>
        <v/>
      </c>
      <c r="K69" s="4" t="str">
        <f t="shared" ca="1" si="0"/>
        <v/>
      </c>
      <c r="L69" s="4" t="str">
        <f t="shared" ca="1" si="0"/>
        <v/>
      </c>
      <c r="M69" s="4" t="str">
        <f t="shared" ca="1" si="1"/>
        <v/>
      </c>
      <c r="N69" s="4" t="str">
        <f t="shared" ca="1" si="1"/>
        <v/>
      </c>
      <c r="O69" s="4" t="str">
        <f t="shared" ca="1" si="1"/>
        <v/>
      </c>
      <c r="P69" s="4" t="str">
        <f t="shared" ca="1" si="1"/>
        <v/>
      </c>
      <c r="Q69" s="4" t="str">
        <f t="shared" ca="1" si="1"/>
        <v/>
      </c>
      <c r="R69" s="4" t="str">
        <f t="shared" ca="1" si="1"/>
        <v/>
      </c>
      <c r="S69" s="4" t="str">
        <f t="shared" ca="1" si="1"/>
        <v/>
      </c>
      <c r="T69" s="4" t="str">
        <f t="shared" ca="1" si="1"/>
        <v/>
      </c>
      <c r="U69" s="4" t="str">
        <f t="shared" ca="1" si="1"/>
        <v/>
      </c>
      <c r="V69" s="4" t="str">
        <f t="shared" ca="1" si="1"/>
        <v/>
      </c>
      <c r="W69" s="4" t="str">
        <f t="shared" ca="1" si="2"/>
        <v/>
      </c>
      <c r="X69" s="4" t="str">
        <f t="shared" ca="1" si="2"/>
        <v/>
      </c>
      <c r="Y69" s="4" t="str">
        <f t="shared" ca="1" si="2"/>
        <v/>
      </c>
      <c r="Z69" s="4" t="str">
        <f t="shared" ca="1" si="2"/>
        <v/>
      </c>
      <c r="AA69" s="4" t="str">
        <f t="shared" ca="1" si="2"/>
        <v/>
      </c>
      <c r="AB69" s="4" t="str">
        <f t="shared" ca="1" si="2"/>
        <v/>
      </c>
      <c r="AC69" s="4" t="str">
        <f t="shared" ca="1" si="2"/>
        <v/>
      </c>
      <c r="AD69" s="4" t="str">
        <f t="shared" ca="1" si="2"/>
        <v/>
      </c>
      <c r="AE69" s="4" t="str">
        <f t="shared" ca="1" si="2"/>
        <v/>
      </c>
      <c r="AF69" s="4" t="str">
        <f t="shared" ca="1" si="2"/>
        <v/>
      </c>
      <c r="AG69" s="4" t="str">
        <f t="shared" ca="1" si="3"/>
        <v/>
      </c>
      <c r="AH69" s="4" t="str">
        <f t="shared" ca="1" si="3"/>
        <v/>
      </c>
      <c r="AI69" s="4" t="str">
        <f t="shared" ca="1" si="3"/>
        <v/>
      </c>
      <c r="AJ69" s="4" t="str">
        <f t="shared" ca="1" si="3"/>
        <v/>
      </c>
      <c r="AK69" s="4" t="str">
        <f t="shared" ca="1" si="3"/>
        <v/>
      </c>
      <c r="AL69" s="4" t="str">
        <f t="shared" ca="1" si="3"/>
        <v/>
      </c>
      <c r="AM69" s="4" t="str">
        <f t="shared" ca="1" si="3"/>
        <v/>
      </c>
      <c r="AN69" s="4" t="str">
        <f t="shared" ca="1" si="3"/>
        <v/>
      </c>
      <c r="AO69" s="4" t="str">
        <f t="shared" ca="1" si="3"/>
        <v/>
      </c>
      <c r="AP69" s="4" t="str">
        <f t="shared" ca="1" si="3"/>
        <v/>
      </c>
      <c r="AQ69" s="4" t="str">
        <f t="shared" ca="1" si="4"/>
        <v/>
      </c>
      <c r="AR69" s="4" t="str">
        <f t="shared" ca="1" si="4"/>
        <v/>
      </c>
      <c r="AS69" s="4" t="str">
        <f t="shared" ca="1" si="4"/>
        <v/>
      </c>
      <c r="AT69" s="4" t="str">
        <f t="shared" ca="1" si="4"/>
        <v/>
      </c>
      <c r="AU69" s="4" t="str">
        <f t="shared" ca="1" si="4"/>
        <v/>
      </c>
      <c r="AV69" s="4" t="str">
        <f t="shared" ca="1" si="4"/>
        <v/>
      </c>
      <c r="AW69" s="4" t="str">
        <f t="shared" ca="1" si="4"/>
        <v/>
      </c>
      <c r="AX69" s="4" t="str">
        <f t="shared" ca="1" si="4"/>
        <v/>
      </c>
      <c r="AY69" s="4" t="str">
        <f t="shared" ca="1" si="4"/>
        <v/>
      </c>
      <c r="AZ69" s="4" t="str">
        <f t="shared" ca="1" si="4"/>
        <v/>
      </c>
      <c r="BA69" s="4" t="str">
        <f t="shared" si="5"/>
        <v/>
      </c>
    </row>
    <row r="70" spans="1:53">
      <c r="A70" s="5">
        <v>6</v>
      </c>
      <c r="B70" s="5"/>
      <c r="C70" s="18" t="str">
        <f t="shared" ca="1" si="0"/>
        <v/>
      </c>
      <c r="D70" s="18" t="str">
        <f t="shared" ca="1" si="0"/>
        <v/>
      </c>
      <c r="E70" s="18" t="str">
        <f t="shared" ca="1" si="0"/>
        <v/>
      </c>
      <c r="F70" s="18" t="str">
        <f t="shared" ca="1" si="0"/>
        <v/>
      </c>
      <c r="G70" s="18" t="str">
        <f t="shared" ca="1" si="0"/>
        <v/>
      </c>
      <c r="H70" s="18" t="str">
        <f t="shared" ca="1" si="0"/>
        <v/>
      </c>
      <c r="I70" s="18" t="str">
        <f t="shared" ca="1" si="0"/>
        <v/>
      </c>
      <c r="J70" s="18" t="str">
        <f t="shared" ca="1" si="0"/>
        <v/>
      </c>
      <c r="K70" s="4" t="str">
        <f t="shared" ca="1" si="0"/>
        <v/>
      </c>
      <c r="L70" s="4" t="str">
        <f t="shared" ca="1" si="0"/>
        <v/>
      </c>
      <c r="M70" s="4" t="str">
        <f t="shared" ca="1" si="1"/>
        <v/>
      </c>
      <c r="N70" s="4" t="str">
        <f t="shared" ca="1" si="1"/>
        <v/>
      </c>
      <c r="O70" s="4" t="str">
        <f t="shared" ca="1" si="1"/>
        <v/>
      </c>
      <c r="P70" s="4" t="str">
        <f t="shared" ca="1" si="1"/>
        <v/>
      </c>
      <c r="Q70" s="4" t="str">
        <f t="shared" ca="1" si="1"/>
        <v/>
      </c>
      <c r="R70" s="4" t="str">
        <f t="shared" ca="1" si="1"/>
        <v/>
      </c>
      <c r="S70" s="4" t="str">
        <f t="shared" ca="1" si="1"/>
        <v/>
      </c>
      <c r="T70" s="4" t="str">
        <f t="shared" ca="1" si="1"/>
        <v/>
      </c>
      <c r="U70" s="4" t="str">
        <f t="shared" ca="1" si="1"/>
        <v/>
      </c>
      <c r="V70" s="4" t="str">
        <f t="shared" ca="1" si="1"/>
        <v/>
      </c>
      <c r="W70" s="4" t="str">
        <f t="shared" ca="1" si="2"/>
        <v/>
      </c>
      <c r="X70" s="4" t="str">
        <f t="shared" ca="1" si="2"/>
        <v/>
      </c>
      <c r="Y70" s="4" t="str">
        <f t="shared" ca="1" si="2"/>
        <v/>
      </c>
      <c r="Z70" s="4" t="str">
        <f t="shared" ca="1" si="2"/>
        <v/>
      </c>
      <c r="AA70" s="4" t="str">
        <f t="shared" ca="1" si="2"/>
        <v/>
      </c>
      <c r="AB70" s="4" t="str">
        <f t="shared" ca="1" si="2"/>
        <v/>
      </c>
      <c r="AC70" s="4" t="str">
        <f t="shared" ca="1" si="2"/>
        <v/>
      </c>
      <c r="AD70" s="4" t="str">
        <f t="shared" ca="1" si="2"/>
        <v/>
      </c>
      <c r="AE70" s="4" t="str">
        <f t="shared" ca="1" si="2"/>
        <v/>
      </c>
      <c r="AF70" s="4" t="str">
        <f t="shared" ca="1" si="2"/>
        <v/>
      </c>
      <c r="AG70" s="4" t="str">
        <f t="shared" ca="1" si="3"/>
        <v/>
      </c>
      <c r="AH70" s="4" t="str">
        <f t="shared" ca="1" si="3"/>
        <v/>
      </c>
      <c r="AI70" s="4" t="str">
        <f t="shared" ca="1" si="3"/>
        <v/>
      </c>
      <c r="AJ70" s="4" t="str">
        <f t="shared" ca="1" si="3"/>
        <v/>
      </c>
      <c r="AK70" s="4" t="str">
        <f t="shared" ca="1" si="3"/>
        <v/>
      </c>
      <c r="AL70" s="4" t="str">
        <f t="shared" ca="1" si="3"/>
        <v/>
      </c>
      <c r="AM70" s="4" t="str">
        <f t="shared" ca="1" si="3"/>
        <v/>
      </c>
      <c r="AN70" s="4" t="str">
        <f t="shared" ca="1" si="3"/>
        <v/>
      </c>
      <c r="AO70" s="4" t="str">
        <f t="shared" ca="1" si="3"/>
        <v/>
      </c>
      <c r="AP70" s="4" t="str">
        <f t="shared" ca="1" si="3"/>
        <v/>
      </c>
      <c r="AQ70" s="4" t="str">
        <f t="shared" ca="1" si="4"/>
        <v/>
      </c>
      <c r="AR70" s="4" t="str">
        <f t="shared" ca="1" si="4"/>
        <v/>
      </c>
      <c r="AS70" s="4" t="str">
        <f t="shared" ca="1" si="4"/>
        <v/>
      </c>
      <c r="AT70" s="4" t="str">
        <f t="shared" ca="1" si="4"/>
        <v/>
      </c>
      <c r="AU70" s="4" t="str">
        <f t="shared" ca="1" si="4"/>
        <v/>
      </c>
      <c r="AV70" s="4" t="str">
        <f t="shared" ca="1" si="4"/>
        <v/>
      </c>
      <c r="AW70" s="4" t="str">
        <f t="shared" ca="1" si="4"/>
        <v/>
      </c>
      <c r="AX70" s="4" t="str">
        <f t="shared" ca="1" si="4"/>
        <v/>
      </c>
      <c r="AY70" s="4" t="str">
        <f t="shared" ca="1" si="4"/>
        <v/>
      </c>
      <c r="AZ70" s="4" t="str">
        <f t="shared" ca="1" si="4"/>
        <v/>
      </c>
      <c r="BA70" s="4" t="str">
        <f t="shared" si="5"/>
        <v/>
      </c>
    </row>
    <row r="71" spans="1:53">
      <c r="A71" s="5">
        <v>7</v>
      </c>
      <c r="B71" s="5"/>
      <c r="C71" s="18" t="str">
        <f t="shared" ca="1" si="0"/>
        <v/>
      </c>
      <c r="D71" s="18" t="str">
        <f t="shared" ca="1" si="0"/>
        <v/>
      </c>
      <c r="E71" s="18" t="str">
        <f t="shared" ca="1" si="0"/>
        <v/>
      </c>
      <c r="F71" s="18" t="str">
        <f t="shared" ca="1" si="0"/>
        <v/>
      </c>
      <c r="G71" s="18" t="str">
        <f t="shared" ca="1" si="0"/>
        <v/>
      </c>
      <c r="H71" s="18" t="str">
        <f t="shared" ca="1" si="0"/>
        <v/>
      </c>
      <c r="I71" s="18" t="str">
        <f t="shared" ca="1" si="0"/>
        <v/>
      </c>
      <c r="J71" s="18" t="str">
        <f t="shared" ca="1" si="0"/>
        <v/>
      </c>
      <c r="K71" s="4" t="str">
        <f t="shared" ca="1" si="0"/>
        <v/>
      </c>
      <c r="L71" s="4" t="str">
        <f t="shared" ca="1" si="0"/>
        <v/>
      </c>
      <c r="M71" s="4" t="str">
        <f t="shared" ca="1" si="1"/>
        <v/>
      </c>
      <c r="N71" s="4" t="str">
        <f t="shared" ca="1" si="1"/>
        <v/>
      </c>
      <c r="O71" s="4" t="str">
        <f t="shared" ca="1" si="1"/>
        <v/>
      </c>
      <c r="P71" s="4" t="str">
        <f t="shared" ca="1" si="1"/>
        <v/>
      </c>
      <c r="Q71" s="4" t="str">
        <f t="shared" ca="1" si="1"/>
        <v/>
      </c>
      <c r="R71" s="4" t="str">
        <f t="shared" ca="1" si="1"/>
        <v/>
      </c>
      <c r="S71" s="4" t="str">
        <f t="shared" ca="1" si="1"/>
        <v/>
      </c>
      <c r="T71" s="4" t="str">
        <f t="shared" ca="1" si="1"/>
        <v/>
      </c>
      <c r="U71" s="4" t="str">
        <f t="shared" ca="1" si="1"/>
        <v/>
      </c>
      <c r="V71" s="4" t="str">
        <f t="shared" ca="1" si="1"/>
        <v/>
      </c>
      <c r="W71" s="4" t="str">
        <f t="shared" ca="1" si="2"/>
        <v/>
      </c>
      <c r="X71" s="4" t="str">
        <f t="shared" ca="1" si="2"/>
        <v/>
      </c>
      <c r="Y71" s="4" t="str">
        <f t="shared" ca="1" si="2"/>
        <v/>
      </c>
      <c r="Z71" s="4" t="str">
        <f t="shared" ca="1" si="2"/>
        <v/>
      </c>
      <c r="AA71" s="4" t="str">
        <f t="shared" ca="1" si="2"/>
        <v/>
      </c>
      <c r="AB71" s="4" t="str">
        <f t="shared" ca="1" si="2"/>
        <v/>
      </c>
      <c r="AC71" s="4" t="str">
        <f t="shared" ca="1" si="2"/>
        <v/>
      </c>
      <c r="AD71" s="4" t="str">
        <f t="shared" ca="1" si="2"/>
        <v/>
      </c>
      <c r="AE71" s="4" t="str">
        <f t="shared" ca="1" si="2"/>
        <v/>
      </c>
      <c r="AF71" s="4" t="str">
        <f t="shared" ca="1" si="2"/>
        <v/>
      </c>
      <c r="AG71" s="4" t="str">
        <f t="shared" ca="1" si="3"/>
        <v/>
      </c>
      <c r="AH71" s="4" t="str">
        <f t="shared" ca="1" si="3"/>
        <v/>
      </c>
      <c r="AI71" s="4" t="str">
        <f t="shared" ca="1" si="3"/>
        <v/>
      </c>
      <c r="AJ71" s="4" t="str">
        <f t="shared" ca="1" si="3"/>
        <v/>
      </c>
      <c r="AK71" s="4" t="str">
        <f t="shared" ca="1" si="3"/>
        <v/>
      </c>
      <c r="AL71" s="4" t="str">
        <f t="shared" ca="1" si="3"/>
        <v/>
      </c>
      <c r="AM71" s="4" t="str">
        <f t="shared" ca="1" si="3"/>
        <v/>
      </c>
      <c r="AN71" s="4" t="str">
        <f t="shared" ca="1" si="3"/>
        <v/>
      </c>
      <c r="AO71" s="4" t="str">
        <f t="shared" ca="1" si="3"/>
        <v/>
      </c>
      <c r="AP71" s="4" t="str">
        <f t="shared" ca="1" si="3"/>
        <v/>
      </c>
      <c r="AQ71" s="4" t="str">
        <f t="shared" ca="1" si="4"/>
        <v/>
      </c>
      <c r="AR71" s="4" t="str">
        <f t="shared" ca="1" si="4"/>
        <v/>
      </c>
      <c r="AS71" s="4" t="str">
        <f t="shared" ca="1" si="4"/>
        <v/>
      </c>
      <c r="AT71" s="4" t="str">
        <f t="shared" ca="1" si="4"/>
        <v/>
      </c>
      <c r="AU71" s="4" t="str">
        <f t="shared" ca="1" si="4"/>
        <v/>
      </c>
      <c r="AV71" s="4" t="str">
        <f t="shared" ca="1" si="4"/>
        <v/>
      </c>
      <c r="AW71" s="4" t="str">
        <f t="shared" ca="1" si="4"/>
        <v/>
      </c>
      <c r="AX71" s="4" t="str">
        <f t="shared" ca="1" si="4"/>
        <v/>
      </c>
      <c r="AY71" s="4" t="str">
        <f t="shared" ca="1" si="4"/>
        <v/>
      </c>
      <c r="AZ71" s="4" t="str">
        <f t="shared" ca="1" si="4"/>
        <v/>
      </c>
      <c r="BA71" s="4" t="str">
        <f t="shared" si="5"/>
        <v/>
      </c>
    </row>
    <row r="72" spans="1:53">
      <c r="A72" s="5">
        <v>8</v>
      </c>
      <c r="B72" s="5"/>
      <c r="C72" s="18" t="str">
        <f t="shared" ca="1" si="0"/>
        <v/>
      </c>
      <c r="D72" s="18" t="str">
        <f t="shared" ca="1" si="0"/>
        <v/>
      </c>
      <c r="E72" s="18" t="str">
        <f t="shared" ca="1" si="0"/>
        <v/>
      </c>
      <c r="F72" s="18" t="str">
        <f t="shared" ca="1" si="0"/>
        <v/>
      </c>
      <c r="G72" s="18" t="str">
        <f t="shared" ca="1" si="0"/>
        <v/>
      </c>
      <c r="H72" s="18" t="str">
        <f t="shared" ca="1" si="0"/>
        <v/>
      </c>
      <c r="I72" s="18" t="str">
        <f t="shared" ca="1" si="0"/>
        <v/>
      </c>
      <c r="J72" s="18" t="str">
        <f t="shared" ca="1" si="0"/>
        <v/>
      </c>
      <c r="K72" s="4" t="str">
        <f t="shared" ca="1" si="0"/>
        <v/>
      </c>
      <c r="L72" s="4" t="str">
        <f t="shared" ca="1" si="0"/>
        <v/>
      </c>
      <c r="M72" s="4" t="str">
        <f t="shared" ca="1" si="1"/>
        <v/>
      </c>
      <c r="N72" s="4" t="str">
        <f t="shared" ca="1" si="1"/>
        <v/>
      </c>
      <c r="O72" s="4" t="str">
        <f t="shared" ca="1" si="1"/>
        <v/>
      </c>
      <c r="P72" s="4" t="str">
        <f t="shared" ca="1" si="1"/>
        <v/>
      </c>
      <c r="Q72" s="4" t="str">
        <f t="shared" ca="1" si="1"/>
        <v/>
      </c>
      <c r="R72" s="4" t="str">
        <f t="shared" ca="1" si="1"/>
        <v/>
      </c>
      <c r="S72" s="4" t="str">
        <f t="shared" ca="1" si="1"/>
        <v/>
      </c>
      <c r="T72" s="4" t="str">
        <f t="shared" ca="1" si="1"/>
        <v/>
      </c>
      <c r="U72" s="4" t="str">
        <f t="shared" ca="1" si="1"/>
        <v/>
      </c>
      <c r="V72" s="4" t="str">
        <f t="shared" ca="1" si="1"/>
        <v/>
      </c>
      <c r="W72" s="4" t="str">
        <f t="shared" ca="1" si="2"/>
        <v/>
      </c>
      <c r="X72" s="4" t="str">
        <f t="shared" ca="1" si="2"/>
        <v/>
      </c>
      <c r="Y72" s="4" t="str">
        <f t="shared" ca="1" si="2"/>
        <v/>
      </c>
      <c r="Z72" s="4" t="str">
        <f t="shared" ca="1" si="2"/>
        <v/>
      </c>
      <c r="AA72" s="4" t="str">
        <f t="shared" ca="1" si="2"/>
        <v/>
      </c>
      <c r="AB72" s="4" t="str">
        <f t="shared" ca="1" si="2"/>
        <v/>
      </c>
      <c r="AC72" s="4" t="str">
        <f t="shared" ca="1" si="2"/>
        <v/>
      </c>
      <c r="AD72" s="4" t="str">
        <f t="shared" ca="1" si="2"/>
        <v/>
      </c>
      <c r="AE72" s="4" t="str">
        <f t="shared" ca="1" si="2"/>
        <v/>
      </c>
      <c r="AF72" s="4" t="str">
        <f t="shared" ca="1" si="2"/>
        <v/>
      </c>
      <c r="AG72" s="4" t="str">
        <f t="shared" ca="1" si="3"/>
        <v/>
      </c>
      <c r="AH72" s="4" t="str">
        <f t="shared" ca="1" si="3"/>
        <v/>
      </c>
      <c r="AI72" s="4" t="str">
        <f t="shared" ca="1" si="3"/>
        <v/>
      </c>
      <c r="AJ72" s="4" t="str">
        <f t="shared" ca="1" si="3"/>
        <v/>
      </c>
      <c r="AK72" s="4" t="str">
        <f t="shared" ca="1" si="3"/>
        <v/>
      </c>
      <c r="AL72" s="4" t="str">
        <f t="shared" ca="1" si="3"/>
        <v/>
      </c>
      <c r="AM72" s="4" t="str">
        <f t="shared" ca="1" si="3"/>
        <v/>
      </c>
      <c r="AN72" s="4" t="str">
        <f t="shared" ca="1" si="3"/>
        <v/>
      </c>
      <c r="AO72" s="4" t="str">
        <f t="shared" ca="1" si="3"/>
        <v/>
      </c>
      <c r="AP72" s="4" t="str">
        <f t="shared" ca="1" si="3"/>
        <v/>
      </c>
      <c r="AQ72" s="4" t="str">
        <f t="shared" ca="1" si="4"/>
        <v/>
      </c>
      <c r="AR72" s="4" t="str">
        <f t="shared" ca="1" si="4"/>
        <v/>
      </c>
      <c r="AS72" s="4" t="str">
        <f t="shared" ca="1" si="4"/>
        <v/>
      </c>
      <c r="AT72" s="4" t="str">
        <f t="shared" ca="1" si="4"/>
        <v/>
      </c>
      <c r="AU72" s="4" t="str">
        <f t="shared" ca="1" si="4"/>
        <v/>
      </c>
      <c r="AV72" s="4" t="str">
        <f t="shared" ca="1" si="4"/>
        <v/>
      </c>
      <c r="AW72" s="4" t="str">
        <f t="shared" ca="1" si="4"/>
        <v/>
      </c>
      <c r="AX72" s="4" t="str">
        <f t="shared" ca="1" si="4"/>
        <v/>
      </c>
      <c r="AY72" s="4" t="str">
        <f t="shared" ca="1" si="4"/>
        <v/>
      </c>
      <c r="AZ72" s="4" t="str">
        <f t="shared" ca="1" si="4"/>
        <v/>
      </c>
      <c r="BA72" s="4" t="str">
        <f t="shared" si="5"/>
        <v/>
      </c>
    </row>
    <row r="73" spans="1:53">
      <c r="A73" s="5">
        <v>9</v>
      </c>
      <c r="B73" s="5"/>
      <c r="C73" s="18" t="str">
        <f t="shared" ca="1" si="0"/>
        <v/>
      </c>
      <c r="D73" s="18" t="str">
        <f t="shared" ca="1" si="0"/>
        <v/>
      </c>
      <c r="E73" s="18" t="str">
        <f t="shared" ca="1" si="0"/>
        <v/>
      </c>
      <c r="F73" s="18" t="str">
        <f t="shared" ca="1" si="0"/>
        <v/>
      </c>
      <c r="G73" s="18" t="str">
        <f t="shared" ca="1" si="0"/>
        <v/>
      </c>
      <c r="H73" s="18" t="str">
        <f t="shared" ca="1" si="0"/>
        <v/>
      </c>
      <c r="I73" s="18" t="str">
        <f t="shared" ca="1" si="0"/>
        <v/>
      </c>
      <c r="J73" s="18" t="str">
        <f t="shared" ca="1" si="0"/>
        <v/>
      </c>
      <c r="K73" s="4" t="str">
        <f t="shared" ca="1" si="0"/>
        <v/>
      </c>
      <c r="L73" s="4" t="str">
        <f t="shared" ca="1" si="0"/>
        <v/>
      </c>
      <c r="M73" s="4" t="str">
        <f t="shared" ca="1" si="1"/>
        <v/>
      </c>
      <c r="N73" s="4" t="str">
        <f t="shared" ca="1" si="1"/>
        <v/>
      </c>
      <c r="O73" s="4" t="str">
        <f t="shared" ca="1" si="1"/>
        <v/>
      </c>
      <c r="P73" s="4" t="str">
        <f t="shared" ca="1" si="1"/>
        <v/>
      </c>
      <c r="Q73" s="4" t="str">
        <f t="shared" ca="1" si="1"/>
        <v/>
      </c>
      <c r="R73" s="4" t="str">
        <f t="shared" ca="1" si="1"/>
        <v/>
      </c>
      <c r="S73" s="4" t="str">
        <f t="shared" ca="1" si="1"/>
        <v/>
      </c>
      <c r="T73" s="4" t="str">
        <f t="shared" ca="1" si="1"/>
        <v/>
      </c>
      <c r="U73" s="4" t="str">
        <f t="shared" ca="1" si="1"/>
        <v/>
      </c>
      <c r="V73" s="4" t="str">
        <f t="shared" ca="1" si="1"/>
        <v/>
      </c>
      <c r="W73" s="4" t="str">
        <f t="shared" ca="1" si="2"/>
        <v/>
      </c>
      <c r="X73" s="4" t="str">
        <f t="shared" ca="1" si="2"/>
        <v/>
      </c>
      <c r="Y73" s="4" t="str">
        <f t="shared" ca="1" si="2"/>
        <v/>
      </c>
      <c r="Z73" s="4" t="str">
        <f t="shared" ca="1" si="2"/>
        <v/>
      </c>
      <c r="AA73" s="4" t="str">
        <f t="shared" ca="1" si="2"/>
        <v/>
      </c>
      <c r="AB73" s="4" t="str">
        <f t="shared" ca="1" si="2"/>
        <v/>
      </c>
      <c r="AC73" s="4" t="str">
        <f t="shared" ca="1" si="2"/>
        <v/>
      </c>
      <c r="AD73" s="4" t="str">
        <f t="shared" ca="1" si="2"/>
        <v/>
      </c>
      <c r="AE73" s="4" t="str">
        <f t="shared" ca="1" si="2"/>
        <v/>
      </c>
      <c r="AF73" s="4" t="str">
        <f t="shared" ca="1" si="2"/>
        <v/>
      </c>
      <c r="AG73" s="4" t="str">
        <f t="shared" ca="1" si="3"/>
        <v/>
      </c>
      <c r="AH73" s="4" t="str">
        <f t="shared" ca="1" si="3"/>
        <v/>
      </c>
      <c r="AI73" s="4" t="str">
        <f t="shared" ca="1" si="3"/>
        <v/>
      </c>
      <c r="AJ73" s="4" t="str">
        <f t="shared" ca="1" si="3"/>
        <v/>
      </c>
      <c r="AK73" s="4" t="str">
        <f t="shared" ca="1" si="3"/>
        <v/>
      </c>
      <c r="AL73" s="4" t="str">
        <f t="shared" ca="1" si="3"/>
        <v/>
      </c>
      <c r="AM73" s="4" t="str">
        <f t="shared" ca="1" si="3"/>
        <v/>
      </c>
      <c r="AN73" s="4" t="str">
        <f t="shared" ca="1" si="3"/>
        <v/>
      </c>
      <c r="AO73" s="4" t="str">
        <f t="shared" ca="1" si="3"/>
        <v/>
      </c>
      <c r="AP73" s="4" t="str">
        <f t="shared" ca="1" si="3"/>
        <v/>
      </c>
      <c r="AQ73" s="4" t="str">
        <f t="shared" ca="1" si="4"/>
        <v/>
      </c>
      <c r="AR73" s="4" t="str">
        <f t="shared" ca="1" si="4"/>
        <v/>
      </c>
      <c r="AS73" s="4" t="str">
        <f t="shared" ca="1" si="4"/>
        <v/>
      </c>
      <c r="AT73" s="4" t="str">
        <f t="shared" ca="1" si="4"/>
        <v/>
      </c>
      <c r="AU73" s="4" t="str">
        <f t="shared" ca="1" si="4"/>
        <v/>
      </c>
      <c r="AV73" s="4" t="str">
        <f t="shared" ca="1" si="4"/>
        <v/>
      </c>
      <c r="AW73" s="4" t="str">
        <f t="shared" ca="1" si="4"/>
        <v/>
      </c>
      <c r="AX73" s="4" t="str">
        <f t="shared" ca="1" si="4"/>
        <v/>
      </c>
      <c r="AY73" s="4" t="str">
        <f t="shared" ca="1" si="4"/>
        <v/>
      </c>
      <c r="AZ73" s="4" t="str">
        <f t="shared" ca="1" si="4"/>
        <v/>
      </c>
      <c r="BA73" s="4" t="str">
        <f t="shared" si="5"/>
        <v/>
      </c>
    </row>
    <row r="74" spans="1:53">
      <c r="A74" s="5">
        <v>10</v>
      </c>
      <c r="B74" s="5"/>
      <c r="C74" s="18" t="str">
        <f t="shared" ca="1" si="0"/>
        <v/>
      </c>
      <c r="D74" s="18" t="str">
        <f t="shared" ca="1" si="0"/>
        <v/>
      </c>
      <c r="E74" s="18" t="str">
        <f t="shared" ca="1" si="0"/>
        <v/>
      </c>
      <c r="F74" s="18" t="str">
        <f t="shared" ca="1" si="0"/>
        <v/>
      </c>
      <c r="G74" s="18" t="str">
        <f t="shared" ca="1" si="0"/>
        <v/>
      </c>
      <c r="H74" s="18" t="str">
        <f t="shared" ca="1" si="0"/>
        <v/>
      </c>
      <c r="I74" s="18" t="str">
        <f t="shared" ca="1" si="0"/>
        <v/>
      </c>
      <c r="J74" s="18" t="str">
        <f t="shared" ca="1" si="0"/>
        <v/>
      </c>
      <c r="K74" s="4" t="str">
        <f t="shared" ca="1" si="0"/>
        <v/>
      </c>
      <c r="L74" s="4" t="str">
        <f t="shared" ca="1" si="0"/>
        <v/>
      </c>
      <c r="M74" s="4" t="str">
        <f t="shared" ca="1" si="1"/>
        <v/>
      </c>
      <c r="N74" s="4" t="str">
        <f t="shared" ca="1" si="1"/>
        <v/>
      </c>
      <c r="O74" s="4" t="str">
        <f t="shared" ca="1" si="1"/>
        <v/>
      </c>
      <c r="P74" s="4" t="str">
        <f t="shared" ca="1" si="1"/>
        <v/>
      </c>
      <c r="Q74" s="4" t="str">
        <f t="shared" ca="1" si="1"/>
        <v/>
      </c>
      <c r="R74" s="4" t="str">
        <f t="shared" ca="1" si="1"/>
        <v/>
      </c>
      <c r="S74" s="4" t="str">
        <f t="shared" ca="1" si="1"/>
        <v/>
      </c>
      <c r="T74" s="4" t="str">
        <f t="shared" ca="1" si="1"/>
        <v/>
      </c>
      <c r="U74" s="4" t="str">
        <f t="shared" ca="1" si="1"/>
        <v/>
      </c>
      <c r="V74" s="4" t="str">
        <f t="shared" ca="1" si="1"/>
        <v/>
      </c>
      <c r="W74" s="4" t="str">
        <f t="shared" ca="1" si="2"/>
        <v/>
      </c>
      <c r="X74" s="4" t="str">
        <f t="shared" ca="1" si="2"/>
        <v/>
      </c>
      <c r="Y74" s="4" t="str">
        <f t="shared" ca="1" si="2"/>
        <v/>
      </c>
      <c r="Z74" s="4" t="str">
        <f t="shared" ca="1" si="2"/>
        <v/>
      </c>
      <c r="AA74" s="4" t="str">
        <f t="shared" ca="1" si="2"/>
        <v/>
      </c>
      <c r="AB74" s="4" t="str">
        <f t="shared" ca="1" si="2"/>
        <v/>
      </c>
      <c r="AC74" s="4" t="str">
        <f t="shared" ca="1" si="2"/>
        <v/>
      </c>
      <c r="AD74" s="4" t="str">
        <f t="shared" ca="1" si="2"/>
        <v/>
      </c>
      <c r="AE74" s="4" t="str">
        <f t="shared" ca="1" si="2"/>
        <v/>
      </c>
      <c r="AF74" s="4" t="str">
        <f t="shared" ca="1" si="2"/>
        <v/>
      </c>
      <c r="AG74" s="4" t="str">
        <f t="shared" ca="1" si="3"/>
        <v/>
      </c>
      <c r="AH74" s="4" t="str">
        <f t="shared" ca="1" si="3"/>
        <v/>
      </c>
      <c r="AI74" s="4" t="str">
        <f t="shared" ca="1" si="3"/>
        <v/>
      </c>
      <c r="AJ74" s="4" t="str">
        <f t="shared" ca="1" si="3"/>
        <v/>
      </c>
      <c r="AK74" s="4" t="str">
        <f t="shared" ca="1" si="3"/>
        <v/>
      </c>
      <c r="AL74" s="4" t="str">
        <f t="shared" ca="1" si="3"/>
        <v/>
      </c>
      <c r="AM74" s="4" t="str">
        <f t="shared" ca="1" si="3"/>
        <v/>
      </c>
      <c r="AN74" s="4" t="str">
        <f t="shared" ca="1" si="3"/>
        <v/>
      </c>
      <c r="AO74" s="4" t="str">
        <f t="shared" ca="1" si="3"/>
        <v/>
      </c>
      <c r="AP74" s="4" t="str">
        <f t="shared" ca="1" si="3"/>
        <v/>
      </c>
      <c r="AQ74" s="4" t="str">
        <f t="shared" ca="1" si="4"/>
        <v/>
      </c>
      <c r="AR74" s="4" t="str">
        <f t="shared" ca="1" si="4"/>
        <v/>
      </c>
      <c r="AS74" s="4" t="str">
        <f t="shared" ca="1" si="4"/>
        <v/>
      </c>
      <c r="AT74" s="4" t="str">
        <f t="shared" ca="1" si="4"/>
        <v/>
      </c>
      <c r="AU74" s="4" t="str">
        <f t="shared" ca="1" si="4"/>
        <v/>
      </c>
      <c r="AV74" s="4" t="str">
        <f t="shared" ca="1" si="4"/>
        <v/>
      </c>
      <c r="AW74" s="4" t="str">
        <f t="shared" ca="1" si="4"/>
        <v/>
      </c>
      <c r="AX74" s="4" t="str">
        <f t="shared" ca="1" si="4"/>
        <v/>
      </c>
      <c r="AY74" s="4" t="str">
        <f t="shared" ca="1" si="4"/>
        <v/>
      </c>
      <c r="AZ74" s="4" t="str">
        <f t="shared" ca="1" si="4"/>
        <v/>
      </c>
      <c r="BA74" s="4" t="str">
        <f t="shared" si="5"/>
        <v/>
      </c>
    </row>
    <row r="75" spans="1:53">
      <c r="A75" s="5">
        <v>11</v>
      </c>
      <c r="B75" s="5"/>
      <c r="C75" s="18" t="str">
        <f t="shared" ref="C75:L84" ca="1" si="6">IF(COLUMN()-2&lt;=$E$3,INDEX($B$10:$B$59,RANDBETWEEN(1,$E$3)),"")</f>
        <v/>
      </c>
      <c r="D75" s="18" t="str">
        <f t="shared" ca="1" si="6"/>
        <v/>
      </c>
      <c r="E75" s="18" t="str">
        <f t="shared" ca="1" si="6"/>
        <v/>
      </c>
      <c r="F75" s="18" t="str">
        <f t="shared" ca="1" si="6"/>
        <v/>
      </c>
      <c r="G75" s="18" t="str">
        <f t="shared" ca="1" si="6"/>
        <v/>
      </c>
      <c r="H75" s="18" t="str">
        <f t="shared" ca="1" si="6"/>
        <v/>
      </c>
      <c r="I75" s="18" t="str">
        <f t="shared" ca="1" si="6"/>
        <v/>
      </c>
      <c r="J75" s="18" t="str">
        <f t="shared" ca="1" si="6"/>
        <v/>
      </c>
      <c r="K75" s="4" t="str">
        <f t="shared" ca="1" si="6"/>
        <v/>
      </c>
      <c r="L75" s="4" t="str">
        <f t="shared" ca="1" si="6"/>
        <v/>
      </c>
      <c r="M75" s="4" t="str">
        <f t="shared" ref="M75:V84" ca="1" si="7">IF(COLUMN()-2&lt;=$E$3,INDEX($B$10:$B$59,RANDBETWEEN(1,$E$3)),"")</f>
        <v/>
      </c>
      <c r="N75" s="4" t="str">
        <f t="shared" ca="1" si="7"/>
        <v/>
      </c>
      <c r="O75" s="4" t="str">
        <f t="shared" ca="1" si="7"/>
        <v/>
      </c>
      <c r="P75" s="4" t="str">
        <f t="shared" ca="1" si="7"/>
        <v/>
      </c>
      <c r="Q75" s="4" t="str">
        <f t="shared" ca="1" si="7"/>
        <v/>
      </c>
      <c r="R75" s="4" t="str">
        <f t="shared" ca="1" si="7"/>
        <v/>
      </c>
      <c r="S75" s="4" t="str">
        <f t="shared" ca="1" si="7"/>
        <v/>
      </c>
      <c r="T75" s="4" t="str">
        <f t="shared" ca="1" si="7"/>
        <v/>
      </c>
      <c r="U75" s="4" t="str">
        <f t="shared" ca="1" si="7"/>
        <v/>
      </c>
      <c r="V75" s="4" t="str">
        <f t="shared" ca="1" si="7"/>
        <v/>
      </c>
      <c r="W75" s="4" t="str">
        <f t="shared" ref="W75:AF84" ca="1" si="8">IF(COLUMN()-2&lt;=$E$3,INDEX($B$10:$B$59,RANDBETWEEN(1,$E$3)),"")</f>
        <v/>
      </c>
      <c r="X75" s="4" t="str">
        <f t="shared" ca="1" si="8"/>
        <v/>
      </c>
      <c r="Y75" s="4" t="str">
        <f t="shared" ca="1" si="8"/>
        <v/>
      </c>
      <c r="Z75" s="4" t="str">
        <f t="shared" ca="1" si="8"/>
        <v/>
      </c>
      <c r="AA75" s="4" t="str">
        <f t="shared" ca="1" si="8"/>
        <v/>
      </c>
      <c r="AB75" s="4" t="str">
        <f t="shared" ca="1" si="8"/>
        <v/>
      </c>
      <c r="AC75" s="4" t="str">
        <f t="shared" ca="1" si="8"/>
        <v/>
      </c>
      <c r="AD75" s="4" t="str">
        <f t="shared" ca="1" si="8"/>
        <v/>
      </c>
      <c r="AE75" s="4" t="str">
        <f t="shared" ca="1" si="8"/>
        <v/>
      </c>
      <c r="AF75" s="4" t="str">
        <f t="shared" ca="1" si="8"/>
        <v/>
      </c>
      <c r="AG75" s="4" t="str">
        <f t="shared" ref="AG75:AP84" ca="1" si="9">IF(COLUMN()-2&lt;=$E$3,INDEX($B$10:$B$59,RANDBETWEEN(1,$E$3)),"")</f>
        <v/>
      </c>
      <c r="AH75" s="4" t="str">
        <f t="shared" ca="1" si="9"/>
        <v/>
      </c>
      <c r="AI75" s="4" t="str">
        <f t="shared" ca="1" si="9"/>
        <v/>
      </c>
      <c r="AJ75" s="4" t="str">
        <f t="shared" ca="1" si="9"/>
        <v/>
      </c>
      <c r="AK75" s="4" t="str">
        <f t="shared" ca="1" si="9"/>
        <v/>
      </c>
      <c r="AL75" s="4" t="str">
        <f t="shared" ca="1" si="9"/>
        <v/>
      </c>
      <c r="AM75" s="4" t="str">
        <f t="shared" ca="1" si="9"/>
        <v/>
      </c>
      <c r="AN75" s="4" t="str">
        <f t="shared" ca="1" si="9"/>
        <v/>
      </c>
      <c r="AO75" s="4" t="str">
        <f t="shared" ca="1" si="9"/>
        <v/>
      </c>
      <c r="AP75" s="4" t="str">
        <f t="shared" ca="1" si="9"/>
        <v/>
      </c>
      <c r="AQ75" s="4" t="str">
        <f t="shared" ref="AQ75:AZ84" ca="1" si="10">IF(COLUMN()-2&lt;=$E$3,INDEX($B$10:$B$59,RANDBETWEEN(1,$E$3)),"")</f>
        <v/>
      </c>
      <c r="AR75" s="4" t="str">
        <f t="shared" ca="1" si="10"/>
        <v/>
      </c>
      <c r="AS75" s="4" t="str">
        <f t="shared" ca="1" si="10"/>
        <v/>
      </c>
      <c r="AT75" s="4" t="str">
        <f t="shared" ca="1" si="10"/>
        <v/>
      </c>
      <c r="AU75" s="4" t="str">
        <f t="shared" ca="1" si="10"/>
        <v/>
      </c>
      <c r="AV75" s="4" t="str">
        <f t="shared" ca="1" si="10"/>
        <v/>
      </c>
      <c r="AW75" s="4" t="str">
        <f t="shared" ca="1" si="10"/>
        <v/>
      </c>
      <c r="AX75" s="4" t="str">
        <f t="shared" ca="1" si="10"/>
        <v/>
      </c>
      <c r="AY75" s="4" t="str">
        <f t="shared" ca="1" si="10"/>
        <v/>
      </c>
      <c r="AZ75" s="4" t="str">
        <f t="shared" ca="1" si="10"/>
        <v/>
      </c>
      <c r="BA75" s="4" t="str">
        <f t="shared" si="5"/>
        <v/>
      </c>
    </row>
    <row r="76" spans="1:53">
      <c r="A76" s="5">
        <v>12</v>
      </c>
      <c r="B76" s="5"/>
      <c r="C76" s="18" t="str">
        <f t="shared" ca="1" si="6"/>
        <v/>
      </c>
      <c r="D76" s="18" t="str">
        <f t="shared" ca="1" si="6"/>
        <v/>
      </c>
      <c r="E76" s="18" t="str">
        <f t="shared" ca="1" si="6"/>
        <v/>
      </c>
      <c r="F76" s="18" t="str">
        <f t="shared" ca="1" si="6"/>
        <v/>
      </c>
      <c r="G76" s="18" t="str">
        <f t="shared" ca="1" si="6"/>
        <v/>
      </c>
      <c r="H76" s="18" t="str">
        <f t="shared" ca="1" si="6"/>
        <v/>
      </c>
      <c r="I76" s="18" t="str">
        <f t="shared" ca="1" si="6"/>
        <v/>
      </c>
      <c r="J76" s="18" t="str">
        <f t="shared" ca="1" si="6"/>
        <v/>
      </c>
      <c r="K76" s="4" t="str">
        <f t="shared" ca="1" si="6"/>
        <v/>
      </c>
      <c r="L76" s="4" t="str">
        <f t="shared" ca="1" si="6"/>
        <v/>
      </c>
      <c r="M76" s="4" t="str">
        <f t="shared" ca="1" si="7"/>
        <v/>
      </c>
      <c r="N76" s="4" t="str">
        <f t="shared" ca="1" si="7"/>
        <v/>
      </c>
      <c r="O76" s="4" t="str">
        <f t="shared" ca="1" si="7"/>
        <v/>
      </c>
      <c r="P76" s="4" t="str">
        <f t="shared" ca="1" si="7"/>
        <v/>
      </c>
      <c r="Q76" s="4" t="str">
        <f t="shared" ca="1" si="7"/>
        <v/>
      </c>
      <c r="R76" s="4" t="str">
        <f t="shared" ca="1" si="7"/>
        <v/>
      </c>
      <c r="S76" s="4" t="str">
        <f t="shared" ca="1" si="7"/>
        <v/>
      </c>
      <c r="T76" s="4" t="str">
        <f t="shared" ca="1" si="7"/>
        <v/>
      </c>
      <c r="U76" s="4" t="str">
        <f t="shared" ca="1" si="7"/>
        <v/>
      </c>
      <c r="V76" s="4" t="str">
        <f t="shared" ca="1" si="7"/>
        <v/>
      </c>
      <c r="W76" s="4" t="str">
        <f t="shared" ca="1" si="8"/>
        <v/>
      </c>
      <c r="X76" s="4" t="str">
        <f t="shared" ca="1" si="8"/>
        <v/>
      </c>
      <c r="Y76" s="4" t="str">
        <f t="shared" ca="1" si="8"/>
        <v/>
      </c>
      <c r="Z76" s="4" t="str">
        <f t="shared" ca="1" si="8"/>
        <v/>
      </c>
      <c r="AA76" s="4" t="str">
        <f t="shared" ca="1" si="8"/>
        <v/>
      </c>
      <c r="AB76" s="4" t="str">
        <f t="shared" ca="1" si="8"/>
        <v/>
      </c>
      <c r="AC76" s="4" t="str">
        <f t="shared" ca="1" si="8"/>
        <v/>
      </c>
      <c r="AD76" s="4" t="str">
        <f t="shared" ca="1" si="8"/>
        <v/>
      </c>
      <c r="AE76" s="4" t="str">
        <f t="shared" ca="1" si="8"/>
        <v/>
      </c>
      <c r="AF76" s="4" t="str">
        <f t="shared" ca="1" si="8"/>
        <v/>
      </c>
      <c r="AG76" s="4" t="str">
        <f t="shared" ca="1" si="9"/>
        <v/>
      </c>
      <c r="AH76" s="4" t="str">
        <f t="shared" ca="1" si="9"/>
        <v/>
      </c>
      <c r="AI76" s="4" t="str">
        <f t="shared" ca="1" si="9"/>
        <v/>
      </c>
      <c r="AJ76" s="4" t="str">
        <f t="shared" ca="1" si="9"/>
        <v/>
      </c>
      <c r="AK76" s="4" t="str">
        <f t="shared" ca="1" si="9"/>
        <v/>
      </c>
      <c r="AL76" s="4" t="str">
        <f t="shared" ca="1" si="9"/>
        <v/>
      </c>
      <c r="AM76" s="4" t="str">
        <f t="shared" ca="1" si="9"/>
        <v/>
      </c>
      <c r="AN76" s="4" t="str">
        <f t="shared" ca="1" si="9"/>
        <v/>
      </c>
      <c r="AO76" s="4" t="str">
        <f t="shared" ca="1" si="9"/>
        <v/>
      </c>
      <c r="AP76" s="4" t="str">
        <f t="shared" ca="1" si="9"/>
        <v/>
      </c>
      <c r="AQ76" s="4" t="str">
        <f t="shared" ca="1" si="10"/>
        <v/>
      </c>
      <c r="AR76" s="4" t="str">
        <f t="shared" ca="1" si="10"/>
        <v/>
      </c>
      <c r="AS76" s="4" t="str">
        <f t="shared" ca="1" si="10"/>
        <v/>
      </c>
      <c r="AT76" s="4" t="str">
        <f t="shared" ca="1" si="10"/>
        <v/>
      </c>
      <c r="AU76" s="4" t="str">
        <f t="shared" ca="1" si="10"/>
        <v/>
      </c>
      <c r="AV76" s="4" t="str">
        <f t="shared" ca="1" si="10"/>
        <v/>
      </c>
      <c r="AW76" s="4" t="str">
        <f t="shared" ca="1" si="10"/>
        <v/>
      </c>
      <c r="AX76" s="4" t="str">
        <f t="shared" ca="1" si="10"/>
        <v/>
      </c>
      <c r="AY76" s="4" t="str">
        <f t="shared" ca="1" si="10"/>
        <v/>
      </c>
      <c r="AZ76" s="4" t="str">
        <f t="shared" ca="1" si="10"/>
        <v/>
      </c>
      <c r="BA76" s="4" t="str">
        <f t="shared" si="5"/>
        <v/>
      </c>
    </row>
    <row r="77" spans="1:53">
      <c r="A77" s="5">
        <v>13</v>
      </c>
      <c r="B77" s="5"/>
      <c r="C77" s="18" t="str">
        <f t="shared" ca="1" si="6"/>
        <v/>
      </c>
      <c r="D77" s="18" t="str">
        <f t="shared" ca="1" si="6"/>
        <v/>
      </c>
      <c r="E77" s="18" t="str">
        <f t="shared" ca="1" si="6"/>
        <v/>
      </c>
      <c r="F77" s="18" t="str">
        <f t="shared" ca="1" si="6"/>
        <v/>
      </c>
      <c r="G77" s="18" t="str">
        <f t="shared" ca="1" si="6"/>
        <v/>
      </c>
      <c r="H77" s="18" t="str">
        <f t="shared" ca="1" si="6"/>
        <v/>
      </c>
      <c r="I77" s="18" t="str">
        <f t="shared" ca="1" si="6"/>
        <v/>
      </c>
      <c r="J77" s="18" t="str">
        <f t="shared" ca="1" si="6"/>
        <v/>
      </c>
      <c r="K77" s="4" t="str">
        <f t="shared" ca="1" si="6"/>
        <v/>
      </c>
      <c r="L77" s="4" t="str">
        <f t="shared" ca="1" si="6"/>
        <v/>
      </c>
      <c r="M77" s="4" t="str">
        <f t="shared" ca="1" si="7"/>
        <v/>
      </c>
      <c r="N77" s="4" t="str">
        <f t="shared" ca="1" si="7"/>
        <v/>
      </c>
      <c r="O77" s="4" t="str">
        <f t="shared" ca="1" si="7"/>
        <v/>
      </c>
      <c r="P77" s="4" t="str">
        <f t="shared" ca="1" si="7"/>
        <v/>
      </c>
      <c r="Q77" s="4" t="str">
        <f t="shared" ca="1" si="7"/>
        <v/>
      </c>
      <c r="R77" s="4" t="str">
        <f t="shared" ca="1" si="7"/>
        <v/>
      </c>
      <c r="S77" s="4" t="str">
        <f t="shared" ca="1" si="7"/>
        <v/>
      </c>
      <c r="T77" s="4" t="str">
        <f t="shared" ca="1" si="7"/>
        <v/>
      </c>
      <c r="U77" s="4" t="str">
        <f t="shared" ca="1" si="7"/>
        <v/>
      </c>
      <c r="V77" s="4" t="str">
        <f t="shared" ca="1" si="7"/>
        <v/>
      </c>
      <c r="W77" s="4" t="str">
        <f t="shared" ca="1" si="8"/>
        <v/>
      </c>
      <c r="X77" s="4" t="str">
        <f t="shared" ca="1" si="8"/>
        <v/>
      </c>
      <c r="Y77" s="4" t="str">
        <f t="shared" ca="1" si="8"/>
        <v/>
      </c>
      <c r="Z77" s="4" t="str">
        <f t="shared" ca="1" si="8"/>
        <v/>
      </c>
      <c r="AA77" s="4" t="str">
        <f t="shared" ca="1" si="8"/>
        <v/>
      </c>
      <c r="AB77" s="4" t="str">
        <f t="shared" ca="1" si="8"/>
        <v/>
      </c>
      <c r="AC77" s="4" t="str">
        <f t="shared" ca="1" si="8"/>
        <v/>
      </c>
      <c r="AD77" s="4" t="str">
        <f t="shared" ca="1" si="8"/>
        <v/>
      </c>
      <c r="AE77" s="4" t="str">
        <f t="shared" ca="1" si="8"/>
        <v/>
      </c>
      <c r="AF77" s="4" t="str">
        <f t="shared" ca="1" si="8"/>
        <v/>
      </c>
      <c r="AG77" s="4" t="str">
        <f t="shared" ca="1" si="9"/>
        <v/>
      </c>
      <c r="AH77" s="4" t="str">
        <f t="shared" ca="1" si="9"/>
        <v/>
      </c>
      <c r="AI77" s="4" t="str">
        <f t="shared" ca="1" si="9"/>
        <v/>
      </c>
      <c r="AJ77" s="4" t="str">
        <f t="shared" ca="1" si="9"/>
        <v/>
      </c>
      <c r="AK77" s="4" t="str">
        <f t="shared" ca="1" si="9"/>
        <v/>
      </c>
      <c r="AL77" s="4" t="str">
        <f t="shared" ca="1" si="9"/>
        <v/>
      </c>
      <c r="AM77" s="4" t="str">
        <f t="shared" ca="1" si="9"/>
        <v/>
      </c>
      <c r="AN77" s="4" t="str">
        <f t="shared" ca="1" si="9"/>
        <v/>
      </c>
      <c r="AO77" s="4" t="str">
        <f t="shared" ca="1" si="9"/>
        <v/>
      </c>
      <c r="AP77" s="4" t="str">
        <f t="shared" ca="1" si="9"/>
        <v/>
      </c>
      <c r="AQ77" s="4" t="str">
        <f t="shared" ca="1" si="10"/>
        <v/>
      </c>
      <c r="AR77" s="4" t="str">
        <f t="shared" ca="1" si="10"/>
        <v/>
      </c>
      <c r="AS77" s="4" t="str">
        <f t="shared" ca="1" si="10"/>
        <v/>
      </c>
      <c r="AT77" s="4" t="str">
        <f t="shared" ca="1" si="10"/>
        <v/>
      </c>
      <c r="AU77" s="4" t="str">
        <f t="shared" ca="1" si="10"/>
        <v/>
      </c>
      <c r="AV77" s="4" t="str">
        <f t="shared" ca="1" si="10"/>
        <v/>
      </c>
      <c r="AW77" s="4" t="str">
        <f t="shared" ca="1" si="10"/>
        <v/>
      </c>
      <c r="AX77" s="4" t="str">
        <f t="shared" ca="1" si="10"/>
        <v/>
      </c>
      <c r="AY77" s="4" t="str">
        <f t="shared" ca="1" si="10"/>
        <v/>
      </c>
      <c r="AZ77" s="4" t="str">
        <f t="shared" ca="1" si="10"/>
        <v/>
      </c>
      <c r="BA77" s="4" t="str">
        <f t="shared" si="5"/>
        <v/>
      </c>
    </row>
    <row r="78" spans="1:53">
      <c r="A78" s="5">
        <v>14</v>
      </c>
      <c r="B78" s="5"/>
      <c r="C78" s="18" t="str">
        <f t="shared" ca="1" si="6"/>
        <v/>
      </c>
      <c r="D78" s="18" t="str">
        <f t="shared" ca="1" si="6"/>
        <v/>
      </c>
      <c r="E78" s="18" t="str">
        <f t="shared" ca="1" si="6"/>
        <v/>
      </c>
      <c r="F78" s="18" t="str">
        <f t="shared" ca="1" si="6"/>
        <v/>
      </c>
      <c r="G78" s="18" t="str">
        <f t="shared" ca="1" si="6"/>
        <v/>
      </c>
      <c r="H78" s="18" t="str">
        <f t="shared" ca="1" si="6"/>
        <v/>
      </c>
      <c r="I78" s="18" t="str">
        <f t="shared" ca="1" si="6"/>
        <v/>
      </c>
      <c r="J78" s="18" t="str">
        <f t="shared" ca="1" si="6"/>
        <v/>
      </c>
      <c r="K78" s="4" t="str">
        <f t="shared" ca="1" si="6"/>
        <v/>
      </c>
      <c r="L78" s="4" t="str">
        <f t="shared" ca="1" si="6"/>
        <v/>
      </c>
      <c r="M78" s="4" t="str">
        <f t="shared" ca="1" si="7"/>
        <v/>
      </c>
      <c r="N78" s="4" t="str">
        <f t="shared" ca="1" si="7"/>
        <v/>
      </c>
      <c r="O78" s="4" t="str">
        <f t="shared" ca="1" si="7"/>
        <v/>
      </c>
      <c r="P78" s="4" t="str">
        <f t="shared" ca="1" si="7"/>
        <v/>
      </c>
      <c r="Q78" s="4" t="str">
        <f t="shared" ca="1" si="7"/>
        <v/>
      </c>
      <c r="R78" s="4" t="str">
        <f t="shared" ca="1" si="7"/>
        <v/>
      </c>
      <c r="S78" s="4" t="str">
        <f t="shared" ca="1" si="7"/>
        <v/>
      </c>
      <c r="T78" s="4" t="str">
        <f t="shared" ca="1" si="7"/>
        <v/>
      </c>
      <c r="U78" s="4" t="str">
        <f t="shared" ca="1" si="7"/>
        <v/>
      </c>
      <c r="V78" s="4" t="str">
        <f t="shared" ca="1" si="7"/>
        <v/>
      </c>
      <c r="W78" s="4" t="str">
        <f t="shared" ca="1" si="8"/>
        <v/>
      </c>
      <c r="X78" s="4" t="str">
        <f t="shared" ca="1" si="8"/>
        <v/>
      </c>
      <c r="Y78" s="4" t="str">
        <f t="shared" ca="1" si="8"/>
        <v/>
      </c>
      <c r="Z78" s="4" t="str">
        <f t="shared" ca="1" si="8"/>
        <v/>
      </c>
      <c r="AA78" s="4" t="str">
        <f t="shared" ca="1" si="8"/>
        <v/>
      </c>
      <c r="AB78" s="4" t="str">
        <f t="shared" ca="1" si="8"/>
        <v/>
      </c>
      <c r="AC78" s="4" t="str">
        <f t="shared" ca="1" si="8"/>
        <v/>
      </c>
      <c r="AD78" s="4" t="str">
        <f t="shared" ca="1" si="8"/>
        <v/>
      </c>
      <c r="AE78" s="4" t="str">
        <f t="shared" ca="1" si="8"/>
        <v/>
      </c>
      <c r="AF78" s="4" t="str">
        <f t="shared" ca="1" si="8"/>
        <v/>
      </c>
      <c r="AG78" s="4" t="str">
        <f t="shared" ca="1" si="9"/>
        <v/>
      </c>
      <c r="AH78" s="4" t="str">
        <f t="shared" ca="1" si="9"/>
        <v/>
      </c>
      <c r="AI78" s="4" t="str">
        <f t="shared" ca="1" si="9"/>
        <v/>
      </c>
      <c r="AJ78" s="4" t="str">
        <f t="shared" ca="1" si="9"/>
        <v/>
      </c>
      <c r="AK78" s="4" t="str">
        <f t="shared" ca="1" si="9"/>
        <v/>
      </c>
      <c r="AL78" s="4" t="str">
        <f t="shared" ca="1" si="9"/>
        <v/>
      </c>
      <c r="AM78" s="4" t="str">
        <f t="shared" ca="1" si="9"/>
        <v/>
      </c>
      <c r="AN78" s="4" t="str">
        <f t="shared" ca="1" si="9"/>
        <v/>
      </c>
      <c r="AO78" s="4" t="str">
        <f t="shared" ca="1" si="9"/>
        <v/>
      </c>
      <c r="AP78" s="4" t="str">
        <f t="shared" ca="1" si="9"/>
        <v/>
      </c>
      <c r="AQ78" s="4" t="str">
        <f t="shared" ca="1" si="10"/>
        <v/>
      </c>
      <c r="AR78" s="4" t="str">
        <f t="shared" ca="1" si="10"/>
        <v/>
      </c>
      <c r="AS78" s="4" t="str">
        <f t="shared" ca="1" si="10"/>
        <v/>
      </c>
      <c r="AT78" s="4" t="str">
        <f t="shared" ca="1" si="10"/>
        <v/>
      </c>
      <c r="AU78" s="4" t="str">
        <f t="shared" ca="1" si="10"/>
        <v/>
      </c>
      <c r="AV78" s="4" t="str">
        <f t="shared" ca="1" si="10"/>
        <v/>
      </c>
      <c r="AW78" s="4" t="str">
        <f t="shared" ca="1" si="10"/>
        <v/>
      </c>
      <c r="AX78" s="4" t="str">
        <f t="shared" ca="1" si="10"/>
        <v/>
      </c>
      <c r="AY78" s="4" t="str">
        <f t="shared" ca="1" si="10"/>
        <v/>
      </c>
      <c r="AZ78" s="4" t="str">
        <f t="shared" ca="1" si="10"/>
        <v/>
      </c>
      <c r="BA78" s="4" t="str">
        <f t="shared" si="5"/>
        <v/>
      </c>
    </row>
    <row r="79" spans="1:53">
      <c r="A79" s="5">
        <v>15</v>
      </c>
      <c r="B79" s="5"/>
      <c r="C79" s="18" t="str">
        <f t="shared" ca="1" si="6"/>
        <v/>
      </c>
      <c r="D79" s="18" t="str">
        <f t="shared" ca="1" si="6"/>
        <v/>
      </c>
      <c r="E79" s="18" t="str">
        <f t="shared" ca="1" si="6"/>
        <v/>
      </c>
      <c r="F79" s="18" t="str">
        <f t="shared" ca="1" si="6"/>
        <v/>
      </c>
      <c r="G79" s="18" t="str">
        <f t="shared" ca="1" si="6"/>
        <v/>
      </c>
      <c r="H79" s="18" t="str">
        <f t="shared" ca="1" si="6"/>
        <v/>
      </c>
      <c r="I79" s="18" t="str">
        <f t="shared" ca="1" si="6"/>
        <v/>
      </c>
      <c r="J79" s="18" t="str">
        <f t="shared" ca="1" si="6"/>
        <v/>
      </c>
      <c r="K79" s="4" t="str">
        <f t="shared" ca="1" si="6"/>
        <v/>
      </c>
      <c r="L79" s="4" t="str">
        <f t="shared" ca="1" si="6"/>
        <v/>
      </c>
      <c r="M79" s="4" t="str">
        <f t="shared" ca="1" si="7"/>
        <v/>
      </c>
      <c r="N79" s="4" t="str">
        <f t="shared" ca="1" si="7"/>
        <v/>
      </c>
      <c r="O79" s="4" t="str">
        <f t="shared" ca="1" si="7"/>
        <v/>
      </c>
      <c r="P79" s="4" t="str">
        <f t="shared" ca="1" si="7"/>
        <v/>
      </c>
      <c r="Q79" s="4" t="str">
        <f t="shared" ca="1" si="7"/>
        <v/>
      </c>
      <c r="R79" s="4" t="str">
        <f t="shared" ca="1" si="7"/>
        <v/>
      </c>
      <c r="S79" s="4" t="str">
        <f t="shared" ca="1" si="7"/>
        <v/>
      </c>
      <c r="T79" s="4" t="str">
        <f t="shared" ca="1" si="7"/>
        <v/>
      </c>
      <c r="U79" s="4" t="str">
        <f t="shared" ca="1" si="7"/>
        <v/>
      </c>
      <c r="V79" s="4" t="str">
        <f t="shared" ca="1" si="7"/>
        <v/>
      </c>
      <c r="W79" s="4" t="str">
        <f t="shared" ca="1" si="8"/>
        <v/>
      </c>
      <c r="X79" s="4" t="str">
        <f t="shared" ca="1" si="8"/>
        <v/>
      </c>
      <c r="Y79" s="4" t="str">
        <f t="shared" ca="1" si="8"/>
        <v/>
      </c>
      <c r="Z79" s="4" t="str">
        <f t="shared" ca="1" si="8"/>
        <v/>
      </c>
      <c r="AA79" s="4" t="str">
        <f t="shared" ca="1" si="8"/>
        <v/>
      </c>
      <c r="AB79" s="4" t="str">
        <f t="shared" ca="1" si="8"/>
        <v/>
      </c>
      <c r="AC79" s="4" t="str">
        <f t="shared" ca="1" si="8"/>
        <v/>
      </c>
      <c r="AD79" s="4" t="str">
        <f t="shared" ca="1" si="8"/>
        <v/>
      </c>
      <c r="AE79" s="4" t="str">
        <f t="shared" ca="1" si="8"/>
        <v/>
      </c>
      <c r="AF79" s="4" t="str">
        <f t="shared" ca="1" si="8"/>
        <v/>
      </c>
      <c r="AG79" s="4" t="str">
        <f t="shared" ca="1" si="9"/>
        <v/>
      </c>
      <c r="AH79" s="4" t="str">
        <f t="shared" ca="1" si="9"/>
        <v/>
      </c>
      <c r="AI79" s="4" t="str">
        <f t="shared" ca="1" si="9"/>
        <v/>
      </c>
      <c r="AJ79" s="4" t="str">
        <f t="shared" ca="1" si="9"/>
        <v/>
      </c>
      <c r="AK79" s="4" t="str">
        <f t="shared" ca="1" si="9"/>
        <v/>
      </c>
      <c r="AL79" s="4" t="str">
        <f t="shared" ca="1" si="9"/>
        <v/>
      </c>
      <c r="AM79" s="4" t="str">
        <f t="shared" ca="1" si="9"/>
        <v/>
      </c>
      <c r="AN79" s="4" t="str">
        <f t="shared" ca="1" si="9"/>
        <v/>
      </c>
      <c r="AO79" s="4" t="str">
        <f t="shared" ca="1" si="9"/>
        <v/>
      </c>
      <c r="AP79" s="4" t="str">
        <f t="shared" ca="1" si="9"/>
        <v/>
      </c>
      <c r="AQ79" s="4" t="str">
        <f t="shared" ca="1" si="10"/>
        <v/>
      </c>
      <c r="AR79" s="4" t="str">
        <f t="shared" ca="1" si="10"/>
        <v/>
      </c>
      <c r="AS79" s="4" t="str">
        <f t="shared" ca="1" si="10"/>
        <v/>
      </c>
      <c r="AT79" s="4" t="str">
        <f t="shared" ca="1" si="10"/>
        <v/>
      </c>
      <c r="AU79" s="4" t="str">
        <f t="shared" ca="1" si="10"/>
        <v/>
      </c>
      <c r="AV79" s="4" t="str">
        <f t="shared" ca="1" si="10"/>
        <v/>
      </c>
      <c r="AW79" s="4" t="str">
        <f t="shared" ca="1" si="10"/>
        <v/>
      </c>
      <c r="AX79" s="4" t="str">
        <f t="shared" ca="1" si="10"/>
        <v/>
      </c>
      <c r="AY79" s="4" t="str">
        <f t="shared" ca="1" si="10"/>
        <v/>
      </c>
      <c r="AZ79" s="4" t="str">
        <f t="shared" ca="1" si="10"/>
        <v/>
      </c>
      <c r="BA79" s="4" t="str">
        <f t="shared" si="5"/>
        <v/>
      </c>
    </row>
    <row r="80" spans="1:53">
      <c r="A80" s="5">
        <v>16</v>
      </c>
      <c r="B80" s="5"/>
      <c r="C80" s="18" t="str">
        <f t="shared" ca="1" si="6"/>
        <v/>
      </c>
      <c r="D80" s="18" t="str">
        <f t="shared" ca="1" si="6"/>
        <v/>
      </c>
      <c r="E80" s="18" t="str">
        <f t="shared" ca="1" si="6"/>
        <v/>
      </c>
      <c r="F80" s="18" t="str">
        <f t="shared" ca="1" si="6"/>
        <v/>
      </c>
      <c r="G80" s="18" t="str">
        <f t="shared" ca="1" si="6"/>
        <v/>
      </c>
      <c r="H80" s="18" t="str">
        <f t="shared" ca="1" si="6"/>
        <v/>
      </c>
      <c r="I80" s="18" t="str">
        <f t="shared" ca="1" si="6"/>
        <v/>
      </c>
      <c r="J80" s="18" t="str">
        <f t="shared" ca="1" si="6"/>
        <v/>
      </c>
      <c r="K80" s="4" t="str">
        <f t="shared" ca="1" si="6"/>
        <v/>
      </c>
      <c r="L80" s="4" t="str">
        <f t="shared" ca="1" si="6"/>
        <v/>
      </c>
      <c r="M80" s="4" t="str">
        <f t="shared" ca="1" si="7"/>
        <v/>
      </c>
      <c r="N80" s="4" t="str">
        <f t="shared" ca="1" si="7"/>
        <v/>
      </c>
      <c r="O80" s="4" t="str">
        <f t="shared" ca="1" si="7"/>
        <v/>
      </c>
      <c r="P80" s="4" t="str">
        <f t="shared" ca="1" si="7"/>
        <v/>
      </c>
      <c r="Q80" s="4" t="str">
        <f t="shared" ca="1" si="7"/>
        <v/>
      </c>
      <c r="R80" s="4" t="str">
        <f t="shared" ca="1" si="7"/>
        <v/>
      </c>
      <c r="S80" s="4" t="str">
        <f t="shared" ca="1" si="7"/>
        <v/>
      </c>
      <c r="T80" s="4" t="str">
        <f t="shared" ca="1" si="7"/>
        <v/>
      </c>
      <c r="U80" s="4" t="str">
        <f t="shared" ca="1" si="7"/>
        <v/>
      </c>
      <c r="V80" s="4" t="str">
        <f t="shared" ca="1" si="7"/>
        <v/>
      </c>
      <c r="W80" s="4" t="str">
        <f t="shared" ca="1" si="8"/>
        <v/>
      </c>
      <c r="X80" s="4" t="str">
        <f t="shared" ca="1" si="8"/>
        <v/>
      </c>
      <c r="Y80" s="4" t="str">
        <f t="shared" ca="1" si="8"/>
        <v/>
      </c>
      <c r="Z80" s="4" t="str">
        <f t="shared" ca="1" si="8"/>
        <v/>
      </c>
      <c r="AA80" s="4" t="str">
        <f t="shared" ca="1" si="8"/>
        <v/>
      </c>
      <c r="AB80" s="4" t="str">
        <f t="shared" ca="1" si="8"/>
        <v/>
      </c>
      <c r="AC80" s="4" t="str">
        <f t="shared" ca="1" si="8"/>
        <v/>
      </c>
      <c r="AD80" s="4" t="str">
        <f t="shared" ca="1" si="8"/>
        <v/>
      </c>
      <c r="AE80" s="4" t="str">
        <f t="shared" ca="1" si="8"/>
        <v/>
      </c>
      <c r="AF80" s="4" t="str">
        <f t="shared" ca="1" si="8"/>
        <v/>
      </c>
      <c r="AG80" s="4" t="str">
        <f t="shared" ca="1" si="9"/>
        <v/>
      </c>
      <c r="AH80" s="4" t="str">
        <f t="shared" ca="1" si="9"/>
        <v/>
      </c>
      <c r="AI80" s="4" t="str">
        <f t="shared" ca="1" si="9"/>
        <v/>
      </c>
      <c r="AJ80" s="4" t="str">
        <f t="shared" ca="1" si="9"/>
        <v/>
      </c>
      <c r="AK80" s="4" t="str">
        <f t="shared" ca="1" si="9"/>
        <v/>
      </c>
      <c r="AL80" s="4" t="str">
        <f t="shared" ca="1" si="9"/>
        <v/>
      </c>
      <c r="AM80" s="4" t="str">
        <f t="shared" ca="1" si="9"/>
        <v/>
      </c>
      <c r="AN80" s="4" t="str">
        <f t="shared" ca="1" si="9"/>
        <v/>
      </c>
      <c r="AO80" s="4" t="str">
        <f t="shared" ca="1" si="9"/>
        <v/>
      </c>
      <c r="AP80" s="4" t="str">
        <f t="shared" ca="1" si="9"/>
        <v/>
      </c>
      <c r="AQ80" s="4" t="str">
        <f t="shared" ca="1" si="10"/>
        <v/>
      </c>
      <c r="AR80" s="4" t="str">
        <f t="shared" ca="1" si="10"/>
        <v/>
      </c>
      <c r="AS80" s="4" t="str">
        <f t="shared" ca="1" si="10"/>
        <v/>
      </c>
      <c r="AT80" s="4" t="str">
        <f t="shared" ca="1" si="10"/>
        <v/>
      </c>
      <c r="AU80" s="4" t="str">
        <f t="shared" ca="1" si="10"/>
        <v/>
      </c>
      <c r="AV80" s="4" t="str">
        <f t="shared" ca="1" si="10"/>
        <v/>
      </c>
      <c r="AW80" s="4" t="str">
        <f t="shared" ca="1" si="10"/>
        <v/>
      </c>
      <c r="AX80" s="4" t="str">
        <f t="shared" ca="1" si="10"/>
        <v/>
      </c>
      <c r="AY80" s="4" t="str">
        <f t="shared" ca="1" si="10"/>
        <v/>
      </c>
      <c r="AZ80" s="4" t="str">
        <f t="shared" ca="1" si="10"/>
        <v/>
      </c>
      <c r="BA80" s="4" t="str">
        <f t="shared" si="5"/>
        <v/>
      </c>
    </row>
    <row r="81" spans="1:53">
      <c r="A81">
        <v>17</v>
      </c>
      <c r="C81" s="4" t="str">
        <f t="shared" ca="1" si="6"/>
        <v/>
      </c>
      <c r="D81" s="4" t="str">
        <f t="shared" ca="1" si="6"/>
        <v/>
      </c>
      <c r="E81" s="4" t="str">
        <f t="shared" ca="1" si="6"/>
        <v/>
      </c>
      <c r="F81" s="4" t="str">
        <f t="shared" ca="1" si="6"/>
        <v/>
      </c>
      <c r="G81" s="4" t="str">
        <f t="shared" ca="1" si="6"/>
        <v/>
      </c>
      <c r="H81" s="4" t="str">
        <f t="shared" ca="1" si="6"/>
        <v/>
      </c>
      <c r="I81" s="4" t="str">
        <f t="shared" ca="1" si="6"/>
        <v/>
      </c>
      <c r="J81" s="4" t="str">
        <f t="shared" ca="1" si="6"/>
        <v/>
      </c>
      <c r="K81" s="4" t="str">
        <f t="shared" ca="1" si="6"/>
        <v/>
      </c>
      <c r="L81" s="4" t="str">
        <f t="shared" ca="1" si="6"/>
        <v/>
      </c>
      <c r="M81" s="4" t="str">
        <f t="shared" ca="1" si="7"/>
        <v/>
      </c>
      <c r="N81" s="4" t="str">
        <f t="shared" ca="1" si="7"/>
        <v/>
      </c>
      <c r="O81" s="4" t="str">
        <f t="shared" ca="1" si="7"/>
        <v/>
      </c>
      <c r="P81" s="4" t="str">
        <f t="shared" ca="1" si="7"/>
        <v/>
      </c>
      <c r="Q81" s="4" t="str">
        <f t="shared" ca="1" si="7"/>
        <v/>
      </c>
      <c r="R81" s="4" t="str">
        <f t="shared" ca="1" si="7"/>
        <v/>
      </c>
      <c r="S81" s="4" t="str">
        <f t="shared" ca="1" si="7"/>
        <v/>
      </c>
      <c r="T81" s="4" t="str">
        <f t="shared" ca="1" si="7"/>
        <v/>
      </c>
      <c r="U81" s="4" t="str">
        <f t="shared" ca="1" si="7"/>
        <v/>
      </c>
      <c r="V81" s="4" t="str">
        <f t="shared" ca="1" si="7"/>
        <v/>
      </c>
      <c r="W81" s="4" t="str">
        <f t="shared" ca="1" si="8"/>
        <v/>
      </c>
      <c r="X81" s="4" t="str">
        <f t="shared" ca="1" si="8"/>
        <v/>
      </c>
      <c r="Y81" s="4" t="str">
        <f t="shared" ca="1" si="8"/>
        <v/>
      </c>
      <c r="Z81" s="4" t="str">
        <f t="shared" ca="1" si="8"/>
        <v/>
      </c>
      <c r="AA81" s="4" t="str">
        <f t="shared" ca="1" si="8"/>
        <v/>
      </c>
      <c r="AB81" s="4" t="str">
        <f t="shared" ca="1" si="8"/>
        <v/>
      </c>
      <c r="AC81" s="4" t="str">
        <f t="shared" ca="1" si="8"/>
        <v/>
      </c>
      <c r="AD81" s="4" t="str">
        <f t="shared" ca="1" si="8"/>
        <v/>
      </c>
      <c r="AE81" s="4" t="str">
        <f t="shared" ca="1" si="8"/>
        <v/>
      </c>
      <c r="AF81" s="4" t="str">
        <f t="shared" ca="1" si="8"/>
        <v/>
      </c>
      <c r="AG81" s="4" t="str">
        <f t="shared" ca="1" si="9"/>
        <v/>
      </c>
      <c r="AH81" s="4" t="str">
        <f t="shared" ca="1" si="9"/>
        <v/>
      </c>
      <c r="AI81" s="4" t="str">
        <f t="shared" ca="1" si="9"/>
        <v/>
      </c>
      <c r="AJ81" s="4" t="str">
        <f t="shared" ca="1" si="9"/>
        <v/>
      </c>
      <c r="AK81" s="4" t="str">
        <f t="shared" ca="1" si="9"/>
        <v/>
      </c>
      <c r="AL81" s="4" t="str">
        <f t="shared" ca="1" si="9"/>
        <v/>
      </c>
      <c r="AM81" s="4" t="str">
        <f t="shared" ca="1" si="9"/>
        <v/>
      </c>
      <c r="AN81" s="4" t="str">
        <f t="shared" ca="1" si="9"/>
        <v/>
      </c>
      <c r="AO81" s="4" t="str">
        <f t="shared" ca="1" si="9"/>
        <v/>
      </c>
      <c r="AP81" s="4" t="str">
        <f t="shared" ca="1" si="9"/>
        <v/>
      </c>
      <c r="AQ81" s="4" t="str">
        <f t="shared" ca="1" si="10"/>
        <v/>
      </c>
      <c r="AR81" s="4" t="str">
        <f t="shared" ca="1" si="10"/>
        <v/>
      </c>
      <c r="AS81" s="4" t="str">
        <f t="shared" ca="1" si="10"/>
        <v/>
      </c>
      <c r="AT81" s="4" t="str">
        <f t="shared" ca="1" si="10"/>
        <v/>
      </c>
      <c r="AU81" s="4" t="str">
        <f t="shared" ca="1" si="10"/>
        <v/>
      </c>
      <c r="AV81" s="4" t="str">
        <f t="shared" ca="1" si="10"/>
        <v/>
      </c>
      <c r="AW81" s="4" t="str">
        <f t="shared" ca="1" si="10"/>
        <v/>
      </c>
      <c r="AX81" s="4" t="str">
        <f t="shared" ca="1" si="10"/>
        <v/>
      </c>
      <c r="AY81" s="4" t="str">
        <f t="shared" ca="1" si="10"/>
        <v/>
      </c>
      <c r="AZ81" s="4" t="str">
        <f t="shared" ca="1" si="10"/>
        <v/>
      </c>
      <c r="BA81" s="4" t="str">
        <f t="shared" si="5"/>
        <v/>
      </c>
    </row>
    <row r="82" spans="1:53">
      <c r="A82">
        <v>18</v>
      </c>
      <c r="C82" s="4" t="str">
        <f t="shared" ca="1" si="6"/>
        <v/>
      </c>
      <c r="D82" s="4" t="str">
        <f t="shared" ca="1" si="6"/>
        <v/>
      </c>
      <c r="E82" s="4" t="str">
        <f t="shared" ca="1" si="6"/>
        <v/>
      </c>
      <c r="F82" s="4" t="str">
        <f t="shared" ca="1" si="6"/>
        <v/>
      </c>
      <c r="G82" s="4" t="str">
        <f t="shared" ca="1" si="6"/>
        <v/>
      </c>
      <c r="H82" s="4" t="str">
        <f t="shared" ca="1" si="6"/>
        <v/>
      </c>
      <c r="I82" s="4" t="str">
        <f t="shared" ca="1" si="6"/>
        <v/>
      </c>
      <c r="J82" s="4" t="str">
        <f t="shared" ca="1" si="6"/>
        <v/>
      </c>
      <c r="K82" s="4" t="str">
        <f t="shared" ca="1" si="6"/>
        <v/>
      </c>
      <c r="L82" s="4" t="str">
        <f t="shared" ca="1" si="6"/>
        <v/>
      </c>
      <c r="M82" s="4" t="str">
        <f t="shared" ca="1" si="7"/>
        <v/>
      </c>
      <c r="N82" s="4" t="str">
        <f t="shared" ca="1" si="7"/>
        <v/>
      </c>
      <c r="O82" s="4" t="str">
        <f t="shared" ca="1" si="7"/>
        <v/>
      </c>
      <c r="P82" s="4" t="str">
        <f t="shared" ca="1" si="7"/>
        <v/>
      </c>
      <c r="Q82" s="4" t="str">
        <f t="shared" ca="1" si="7"/>
        <v/>
      </c>
      <c r="R82" s="4" t="str">
        <f t="shared" ca="1" si="7"/>
        <v/>
      </c>
      <c r="S82" s="4" t="str">
        <f t="shared" ca="1" si="7"/>
        <v/>
      </c>
      <c r="T82" s="4" t="str">
        <f t="shared" ca="1" si="7"/>
        <v/>
      </c>
      <c r="U82" s="4" t="str">
        <f t="shared" ca="1" si="7"/>
        <v/>
      </c>
      <c r="V82" s="4" t="str">
        <f t="shared" ca="1" si="7"/>
        <v/>
      </c>
      <c r="W82" s="4" t="str">
        <f t="shared" ca="1" si="8"/>
        <v/>
      </c>
      <c r="X82" s="4" t="str">
        <f t="shared" ca="1" si="8"/>
        <v/>
      </c>
      <c r="Y82" s="4" t="str">
        <f t="shared" ca="1" si="8"/>
        <v/>
      </c>
      <c r="Z82" s="4" t="str">
        <f t="shared" ca="1" si="8"/>
        <v/>
      </c>
      <c r="AA82" s="4" t="str">
        <f t="shared" ca="1" si="8"/>
        <v/>
      </c>
      <c r="AB82" s="4" t="str">
        <f t="shared" ca="1" si="8"/>
        <v/>
      </c>
      <c r="AC82" s="4" t="str">
        <f t="shared" ca="1" si="8"/>
        <v/>
      </c>
      <c r="AD82" s="4" t="str">
        <f t="shared" ca="1" si="8"/>
        <v/>
      </c>
      <c r="AE82" s="4" t="str">
        <f t="shared" ca="1" si="8"/>
        <v/>
      </c>
      <c r="AF82" s="4" t="str">
        <f t="shared" ca="1" si="8"/>
        <v/>
      </c>
      <c r="AG82" s="4" t="str">
        <f t="shared" ca="1" si="9"/>
        <v/>
      </c>
      <c r="AH82" s="4" t="str">
        <f t="shared" ca="1" si="9"/>
        <v/>
      </c>
      <c r="AI82" s="4" t="str">
        <f t="shared" ca="1" si="9"/>
        <v/>
      </c>
      <c r="AJ82" s="4" t="str">
        <f t="shared" ca="1" si="9"/>
        <v/>
      </c>
      <c r="AK82" s="4" t="str">
        <f t="shared" ca="1" si="9"/>
        <v/>
      </c>
      <c r="AL82" s="4" t="str">
        <f t="shared" ca="1" si="9"/>
        <v/>
      </c>
      <c r="AM82" s="4" t="str">
        <f t="shared" ca="1" si="9"/>
        <v/>
      </c>
      <c r="AN82" s="4" t="str">
        <f t="shared" ca="1" si="9"/>
        <v/>
      </c>
      <c r="AO82" s="4" t="str">
        <f t="shared" ca="1" si="9"/>
        <v/>
      </c>
      <c r="AP82" s="4" t="str">
        <f t="shared" ca="1" si="9"/>
        <v/>
      </c>
      <c r="AQ82" s="4" t="str">
        <f t="shared" ca="1" si="10"/>
        <v/>
      </c>
      <c r="AR82" s="4" t="str">
        <f t="shared" ca="1" si="10"/>
        <v/>
      </c>
      <c r="AS82" s="4" t="str">
        <f t="shared" ca="1" si="10"/>
        <v/>
      </c>
      <c r="AT82" s="4" t="str">
        <f t="shared" ca="1" si="10"/>
        <v/>
      </c>
      <c r="AU82" s="4" t="str">
        <f t="shared" ca="1" si="10"/>
        <v/>
      </c>
      <c r="AV82" s="4" t="str">
        <f t="shared" ca="1" si="10"/>
        <v/>
      </c>
      <c r="AW82" s="4" t="str">
        <f t="shared" ca="1" si="10"/>
        <v/>
      </c>
      <c r="AX82" s="4" t="str">
        <f t="shared" ca="1" si="10"/>
        <v/>
      </c>
      <c r="AY82" s="4" t="str">
        <f t="shared" ca="1" si="10"/>
        <v/>
      </c>
      <c r="AZ82" s="4" t="str">
        <f t="shared" ca="1" si="10"/>
        <v/>
      </c>
      <c r="BA82" s="4" t="str">
        <f t="shared" si="5"/>
        <v/>
      </c>
    </row>
    <row r="83" spans="1:53">
      <c r="A83">
        <v>19</v>
      </c>
      <c r="C83" s="4" t="str">
        <f t="shared" ca="1" si="6"/>
        <v/>
      </c>
      <c r="D83" s="4" t="str">
        <f t="shared" ca="1" si="6"/>
        <v/>
      </c>
      <c r="E83" s="4" t="str">
        <f t="shared" ca="1" si="6"/>
        <v/>
      </c>
      <c r="F83" s="4" t="str">
        <f t="shared" ca="1" si="6"/>
        <v/>
      </c>
      <c r="G83" s="4" t="str">
        <f t="shared" ca="1" si="6"/>
        <v/>
      </c>
      <c r="H83" s="4" t="str">
        <f t="shared" ca="1" si="6"/>
        <v/>
      </c>
      <c r="I83" s="4" t="str">
        <f t="shared" ca="1" si="6"/>
        <v/>
      </c>
      <c r="J83" s="4" t="str">
        <f t="shared" ca="1" si="6"/>
        <v/>
      </c>
      <c r="K83" s="4" t="str">
        <f t="shared" ca="1" si="6"/>
        <v/>
      </c>
      <c r="L83" s="4" t="str">
        <f t="shared" ca="1" si="6"/>
        <v/>
      </c>
      <c r="M83" s="4" t="str">
        <f t="shared" ca="1" si="7"/>
        <v/>
      </c>
      <c r="N83" s="4" t="str">
        <f t="shared" ca="1" si="7"/>
        <v/>
      </c>
      <c r="O83" s="4" t="str">
        <f t="shared" ca="1" si="7"/>
        <v/>
      </c>
      <c r="P83" s="4" t="str">
        <f t="shared" ca="1" si="7"/>
        <v/>
      </c>
      <c r="Q83" s="4" t="str">
        <f t="shared" ca="1" si="7"/>
        <v/>
      </c>
      <c r="R83" s="4" t="str">
        <f t="shared" ca="1" si="7"/>
        <v/>
      </c>
      <c r="S83" s="4" t="str">
        <f t="shared" ca="1" si="7"/>
        <v/>
      </c>
      <c r="T83" s="4" t="str">
        <f t="shared" ca="1" si="7"/>
        <v/>
      </c>
      <c r="U83" s="4" t="str">
        <f t="shared" ca="1" si="7"/>
        <v/>
      </c>
      <c r="V83" s="4" t="str">
        <f t="shared" ca="1" si="7"/>
        <v/>
      </c>
      <c r="W83" s="4" t="str">
        <f t="shared" ca="1" si="8"/>
        <v/>
      </c>
      <c r="X83" s="4" t="str">
        <f t="shared" ca="1" si="8"/>
        <v/>
      </c>
      <c r="Y83" s="4" t="str">
        <f t="shared" ca="1" si="8"/>
        <v/>
      </c>
      <c r="Z83" s="4" t="str">
        <f t="shared" ca="1" si="8"/>
        <v/>
      </c>
      <c r="AA83" s="4" t="str">
        <f t="shared" ca="1" si="8"/>
        <v/>
      </c>
      <c r="AB83" s="4" t="str">
        <f t="shared" ca="1" si="8"/>
        <v/>
      </c>
      <c r="AC83" s="4" t="str">
        <f t="shared" ca="1" si="8"/>
        <v/>
      </c>
      <c r="AD83" s="4" t="str">
        <f t="shared" ca="1" si="8"/>
        <v/>
      </c>
      <c r="AE83" s="4" t="str">
        <f t="shared" ca="1" si="8"/>
        <v/>
      </c>
      <c r="AF83" s="4" t="str">
        <f t="shared" ca="1" si="8"/>
        <v/>
      </c>
      <c r="AG83" s="4" t="str">
        <f t="shared" ca="1" si="9"/>
        <v/>
      </c>
      <c r="AH83" s="4" t="str">
        <f t="shared" ca="1" si="9"/>
        <v/>
      </c>
      <c r="AI83" s="4" t="str">
        <f t="shared" ca="1" si="9"/>
        <v/>
      </c>
      <c r="AJ83" s="4" t="str">
        <f t="shared" ca="1" si="9"/>
        <v/>
      </c>
      <c r="AK83" s="4" t="str">
        <f t="shared" ca="1" si="9"/>
        <v/>
      </c>
      <c r="AL83" s="4" t="str">
        <f t="shared" ca="1" si="9"/>
        <v/>
      </c>
      <c r="AM83" s="4" t="str">
        <f t="shared" ca="1" si="9"/>
        <v/>
      </c>
      <c r="AN83" s="4" t="str">
        <f t="shared" ca="1" si="9"/>
        <v/>
      </c>
      <c r="AO83" s="4" t="str">
        <f t="shared" ca="1" si="9"/>
        <v/>
      </c>
      <c r="AP83" s="4" t="str">
        <f t="shared" ca="1" si="9"/>
        <v/>
      </c>
      <c r="AQ83" s="4" t="str">
        <f t="shared" ca="1" si="10"/>
        <v/>
      </c>
      <c r="AR83" s="4" t="str">
        <f t="shared" ca="1" si="10"/>
        <v/>
      </c>
      <c r="AS83" s="4" t="str">
        <f t="shared" ca="1" si="10"/>
        <v/>
      </c>
      <c r="AT83" s="4" t="str">
        <f t="shared" ca="1" si="10"/>
        <v/>
      </c>
      <c r="AU83" s="4" t="str">
        <f t="shared" ca="1" si="10"/>
        <v/>
      </c>
      <c r="AV83" s="4" t="str">
        <f t="shared" ca="1" si="10"/>
        <v/>
      </c>
      <c r="AW83" s="4" t="str">
        <f t="shared" ca="1" si="10"/>
        <v/>
      </c>
      <c r="AX83" s="4" t="str">
        <f t="shared" ca="1" si="10"/>
        <v/>
      </c>
      <c r="AY83" s="4" t="str">
        <f t="shared" ca="1" si="10"/>
        <v/>
      </c>
      <c r="AZ83" s="4" t="str">
        <f t="shared" ca="1" si="10"/>
        <v/>
      </c>
      <c r="BA83" s="4" t="str">
        <f t="shared" si="5"/>
        <v/>
      </c>
    </row>
    <row r="84" spans="1:53">
      <c r="A84">
        <v>20</v>
      </c>
      <c r="C84" s="4" t="str">
        <f t="shared" ca="1" si="6"/>
        <v/>
      </c>
      <c r="D84" s="4" t="str">
        <f t="shared" ca="1" si="6"/>
        <v/>
      </c>
      <c r="E84" s="4" t="str">
        <f t="shared" ca="1" si="6"/>
        <v/>
      </c>
      <c r="F84" s="4" t="str">
        <f t="shared" ca="1" si="6"/>
        <v/>
      </c>
      <c r="G84" s="4" t="str">
        <f t="shared" ca="1" si="6"/>
        <v/>
      </c>
      <c r="H84" s="4" t="str">
        <f t="shared" ca="1" si="6"/>
        <v/>
      </c>
      <c r="I84" s="4" t="str">
        <f t="shared" ca="1" si="6"/>
        <v/>
      </c>
      <c r="J84" s="4" t="str">
        <f t="shared" ca="1" si="6"/>
        <v/>
      </c>
      <c r="K84" s="4" t="str">
        <f t="shared" ca="1" si="6"/>
        <v/>
      </c>
      <c r="L84" s="4" t="str">
        <f t="shared" ca="1" si="6"/>
        <v/>
      </c>
      <c r="M84" s="4" t="str">
        <f t="shared" ca="1" si="7"/>
        <v/>
      </c>
      <c r="N84" s="4" t="str">
        <f t="shared" ca="1" si="7"/>
        <v/>
      </c>
      <c r="O84" s="4" t="str">
        <f t="shared" ca="1" si="7"/>
        <v/>
      </c>
      <c r="P84" s="4" t="str">
        <f t="shared" ca="1" si="7"/>
        <v/>
      </c>
      <c r="Q84" s="4" t="str">
        <f t="shared" ca="1" si="7"/>
        <v/>
      </c>
      <c r="R84" s="4" t="str">
        <f t="shared" ca="1" si="7"/>
        <v/>
      </c>
      <c r="S84" s="4" t="str">
        <f t="shared" ca="1" si="7"/>
        <v/>
      </c>
      <c r="T84" s="4" t="str">
        <f t="shared" ca="1" si="7"/>
        <v/>
      </c>
      <c r="U84" s="4" t="str">
        <f t="shared" ca="1" si="7"/>
        <v/>
      </c>
      <c r="V84" s="4" t="str">
        <f t="shared" ca="1" si="7"/>
        <v/>
      </c>
      <c r="W84" s="4" t="str">
        <f t="shared" ca="1" si="8"/>
        <v/>
      </c>
      <c r="X84" s="4" t="str">
        <f t="shared" ca="1" si="8"/>
        <v/>
      </c>
      <c r="Y84" s="4" t="str">
        <f t="shared" ca="1" si="8"/>
        <v/>
      </c>
      <c r="Z84" s="4" t="str">
        <f t="shared" ca="1" si="8"/>
        <v/>
      </c>
      <c r="AA84" s="4" t="str">
        <f t="shared" ca="1" si="8"/>
        <v/>
      </c>
      <c r="AB84" s="4" t="str">
        <f t="shared" ca="1" si="8"/>
        <v/>
      </c>
      <c r="AC84" s="4" t="str">
        <f t="shared" ca="1" si="8"/>
        <v/>
      </c>
      <c r="AD84" s="4" t="str">
        <f t="shared" ca="1" si="8"/>
        <v/>
      </c>
      <c r="AE84" s="4" t="str">
        <f t="shared" ca="1" si="8"/>
        <v/>
      </c>
      <c r="AF84" s="4" t="str">
        <f t="shared" ca="1" si="8"/>
        <v/>
      </c>
      <c r="AG84" s="4" t="str">
        <f t="shared" ca="1" si="9"/>
        <v/>
      </c>
      <c r="AH84" s="4" t="str">
        <f t="shared" ca="1" si="9"/>
        <v/>
      </c>
      <c r="AI84" s="4" t="str">
        <f t="shared" ca="1" si="9"/>
        <v/>
      </c>
      <c r="AJ84" s="4" t="str">
        <f t="shared" ca="1" si="9"/>
        <v/>
      </c>
      <c r="AK84" s="4" t="str">
        <f t="shared" ca="1" si="9"/>
        <v/>
      </c>
      <c r="AL84" s="4" t="str">
        <f t="shared" ca="1" si="9"/>
        <v/>
      </c>
      <c r="AM84" s="4" t="str">
        <f t="shared" ca="1" si="9"/>
        <v/>
      </c>
      <c r="AN84" s="4" t="str">
        <f t="shared" ca="1" si="9"/>
        <v/>
      </c>
      <c r="AO84" s="4" t="str">
        <f t="shared" ca="1" si="9"/>
        <v/>
      </c>
      <c r="AP84" s="4" t="str">
        <f t="shared" ca="1" si="9"/>
        <v/>
      </c>
      <c r="AQ84" s="4" t="str">
        <f t="shared" ca="1" si="10"/>
        <v/>
      </c>
      <c r="AR84" s="4" t="str">
        <f t="shared" ca="1" si="10"/>
        <v/>
      </c>
      <c r="AS84" s="4" t="str">
        <f t="shared" ca="1" si="10"/>
        <v/>
      </c>
      <c r="AT84" s="4" t="str">
        <f t="shared" ca="1" si="10"/>
        <v/>
      </c>
      <c r="AU84" s="4" t="str">
        <f t="shared" ca="1" si="10"/>
        <v/>
      </c>
      <c r="AV84" s="4" t="str">
        <f t="shared" ca="1" si="10"/>
        <v/>
      </c>
      <c r="AW84" s="4" t="str">
        <f t="shared" ca="1" si="10"/>
        <v/>
      </c>
      <c r="AX84" s="4" t="str">
        <f t="shared" ca="1" si="10"/>
        <v/>
      </c>
      <c r="AY84" s="4" t="str">
        <f t="shared" ca="1" si="10"/>
        <v/>
      </c>
      <c r="AZ84" s="4" t="str">
        <f t="shared" ca="1" si="10"/>
        <v/>
      </c>
      <c r="BA84" s="4" t="str">
        <f t="shared" si="5"/>
        <v/>
      </c>
    </row>
    <row r="85" spans="1:53">
      <c r="A85">
        <v>21</v>
      </c>
      <c r="C85" s="4" t="str">
        <f t="shared" ref="C85:L94" ca="1" si="11">IF(COLUMN()-2&lt;=$E$3,INDEX($B$10:$B$59,RANDBETWEEN(1,$E$3)),"")</f>
        <v/>
      </c>
      <c r="D85" s="4" t="str">
        <f t="shared" ca="1" si="11"/>
        <v/>
      </c>
      <c r="E85" s="4" t="str">
        <f t="shared" ca="1" si="11"/>
        <v/>
      </c>
      <c r="F85" s="4" t="str">
        <f t="shared" ca="1" si="11"/>
        <v/>
      </c>
      <c r="G85" s="4" t="str">
        <f t="shared" ca="1" si="11"/>
        <v/>
      </c>
      <c r="H85" s="4" t="str">
        <f t="shared" ca="1" si="11"/>
        <v/>
      </c>
      <c r="I85" s="4" t="str">
        <f t="shared" ca="1" si="11"/>
        <v/>
      </c>
      <c r="J85" s="4" t="str">
        <f t="shared" ca="1" si="11"/>
        <v/>
      </c>
      <c r="K85" s="4" t="str">
        <f t="shared" ca="1" si="11"/>
        <v/>
      </c>
      <c r="L85" s="4" t="str">
        <f t="shared" ca="1" si="11"/>
        <v/>
      </c>
      <c r="M85" s="4" t="str">
        <f t="shared" ref="M85:V94" ca="1" si="12">IF(COLUMN()-2&lt;=$E$3,INDEX($B$10:$B$59,RANDBETWEEN(1,$E$3)),"")</f>
        <v/>
      </c>
      <c r="N85" s="4" t="str">
        <f t="shared" ca="1" si="12"/>
        <v/>
      </c>
      <c r="O85" s="4" t="str">
        <f t="shared" ca="1" si="12"/>
        <v/>
      </c>
      <c r="P85" s="4" t="str">
        <f t="shared" ca="1" si="12"/>
        <v/>
      </c>
      <c r="Q85" s="4" t="str">
        <f t="shared" ca="1" si="12"/>
        <v/>
      </c>
      <c r="R85" s="4" t="str">
        <f t="shared" ca="1" si="12"/>
        <v/>
      </c>
      <c r="S85" s="4" t="str">
        <f t="shared" ca="1" si="12"/>
        <v/>
      </c>
      <c r="T85" s="4" t="str">
        <f t="shared" ca="1" si="12"/>
        <v/>
      </c>
      <c r="U85" s="4" t="str">
        <f t="shared" ca="1" si="12"/>
        <v/>
      </c>
      <c r="V85" s="4" t="str">
        <f t="shared" ca="1" si="12"/>
        <v/>
      </c>
      <c r="W85" s="4" t="str">
        <f t="shared" ref="W85:AF94" ca="1" si="13">IF(COLUMN()-2&lt;=$E$3,INDEX($B$10:$B$59,RANDBETWEEN(1,$E$3)),"")</f>
        <v/>
      </c>
      <c r="X85" s="4" t="str">
        <f t="shared" ca="1" si="13"/>
        <v/>
      </c>
      <c r="Y85" s="4" t="str">
        <f t="shared" ca="1" si="13"/>
        <v/>
      </c>
      <c r="Z85" s="4" t="str">
        <f t="shared" ca="1" si="13"/>
        <v/>
      </c>
      <c r="AA85" s="4" t="str">
        <f t="shared" ca="1" si="13"/>
        <v/>
      </c>
      <c r="AB85" s="4" t="str">
        <f t="shared" ca="1" si="13"/>
        <v/>
      </c>
      <c r="AC85" s="4" t="str">
        <f t="shared" ca="1" si="13"/>
        <v/>
      </c>
      <c r="AD85" s="4" t="str">
        <f t="shared" ca="1" si="13"/>
        <v/>
      </c>
      <c r="AE85" s="4" t="str">
        <f t="shared" ca="1" si="13"/>
        <v/>
      </c>
      <c r="AF85" s="4" t="str">
        <f t="shared" ca="1" si="13"/>
        <v/>
      </c>
      <c r="AG85" s="4" t="str">
        <f t="shared" ref="AG85:AP94" ca="1" si="14">IF(COLUMN()-2&lt;=$E$3,INDEX($B$10:$B$59,RANDBETWEEN(1,$E$3)),"")</f>
        <v/>
      </c>
      <c r="AH85" s="4" t="str">
        <f t="shared" ca="1" si="14"/>
        <v/>
      </c>
      <c r="AI85" s="4" t="str">
        <f t="shared" ca="1" si="14"/>
        <v/>
      </c>
      <c r="AJ85" s="4" t="str">
        <f t="shared" ca="1" si="14"/>
        <v/>
      </c>
      <c r="AK85" s="4" t="str">
        <f t="shared" ca="1" si="14"/>
        <v/>
      </c>
      <c r="AL85" s="4" t="str">
        <f t="shared" ca="1" si="14"/>
        <v/>
      </c>
      <c r="AM85" s="4" t="str">
        <f t="shared" ca="1" si="14"/>
        <v/>
      </c>
      <c r="AN85" s="4" t="str">
        <f t="shared" ca="1" si="14"/>
        <v/>
      </c>
      <c r="AO85" s="4" t="str">
        <f t="shared" ca="1" si="14"/>
        <v/>
      </c>
      <c r="AP85" s="4" t="str">
        <f t="shared" ca="1" si="14"/>
        <v/>
      </c>
      <c r="AQ85" s="4" t="str">
        <f t="shared" ref="AQ85:AZ94" ca="1" si="15">IF(COLUMN()-2&lt;=$E$3,INDEX($B$10:$B$59,RANDBETWEEN(1,$E$3)),"")</f>
        <v/>
      </c>
      <c r="AR85" s="4" t="str">
        <f t="shared" ca="1" si="15"/>
        <v/>
      </c>
      <c r="AS85" s="4" t="str">
        <f t="shared" ca="1" si="15"/>
        <v/>
      </c>
      <c r="AT85" s="4" t="str">
        <f t="shared" ca="1" si="15"/>
        <v/>
      </c>
      <c r="AU85" s="4" t="str">
        <f t="shared" ca="1" si="15"/>
        <v/>
      </c>
      <c r="AV85" s="4" t="str">
        <f t="shared" ca="1" si="15"/>
        <v/>
      </c>
      <c r="AW85" s="4" t="str">
        <f t="shared" ca="1" si="15"/>
        <v/>
      </c>
      <c r="AX85" s="4" t="str">
        <f t="shared" ca="1" si="15"/>
        <v/>
      </c>
      <c r="AY85" s="4" t="str">
        <f t="shared" ca="1" si="15"/>
        <v/>
      </c>
      <c r="AZ85" s="4" t="str">
        <f t="shared" ca="1" si="15"/>
        <v/>
      </c>
      <c r="BA85" s="4" t="str">
        <f t="shared" si="5"/>
        <v/>
      </c>
    </row>
    <row r="86" spans="1:53">
      <c r="A86">
        <v>22</v>
      </c>
      <c r="C86" s="4" t="str">
        <f t="shared" ca="1" si="11"/>
        <v/>
      </c>
      <c r="D86" s="4" t="str">
        <f t="shared" ca="1" si="11"/>
        <v/>
      </c>
      <c r="E86" s="4" t="str">
        <f t="shared" ca="1" si="11"/>
        <v/>
      </c>
      <c r="F86" s="4" t="str">
        <f t="shared" ca="1" si="11"/>
        <v/>
      </c>
      <c r="G86" s="4" t="str">
        <f t="shared" ca="1" si="11"/>
        <v/>
      </c>
      <c r="H86" s="4" t="str">
        <f t="shared" ca="1" si="11"/>
        <v/>
      </c>
      <c r="I86" s="4" t="str">
        <f t="shared" ca="1" si="11"/>
        <v/>
      </c>
      <c r="J86" s="4" t="str">
        <f t="shared" ca="1" si="11"/>
        <v/>
      </c>
      <c r="K86" s="4" t="str">
        <f t="shared" ca="1" si="11"/>
        <v/>
      </c>
      <c r="L86" s="4" t="str">
        <f t="shared" ca="1" si="11"/>
        <v/>
      </c>
      <c r="M86" s="4" t="str">
        <f t="shared" ca="1" si="12"/>
        <v/>
      </c>
      <c r="N86" s="4" t="str">
        <f t="shared" ca="1" si="12"/>
        <v/>
      </c>
      <c r="O86" s="4" t="str">
        <f t="shared" ca="1" si="12"/>
        <v/>
      </c>
      <c r="P86" s="4" t="str">
        <f t="shared" ca="1" si="12"/>
        <v/>
      </c>
      <c r="Q86" s="4" t="str">
        <f t="shared" ca="1" si="12"/>
        <v/>
      </c>
      <c r="R86" s="4" t="str">
        <f t="shared" ca="1" si="12"/>
        <v/>
      </c>
      <c r="S86" s="4" t="str">
        <f t="shared" ca="1" si="12"/>
        <v/>
      </c>
      <c r="T86" s="4" t="str">
        <f t="shared" ca="1" si="12"/>
        <v/>
      </c>
      <c r="U86" s="4" t="str">
        <f t="shared" ca="1" si="12"/>
        <v/>
      </c>
      <c r="V86" s="4" t="str">
        <f t="shared" ca="1" si="12"/>
        <v/>
      </c>
      <c r="W86" s="4" t="str">
        <f t="shared" ca="1" si="13"/>
        <v/>
      </c>
      <c r="X86" s="4" t="str">
        <f t="shared" ca="1" si="13"/>
        <v/>
      </c>
      <c r="Y86" s="4" t="str">
        <f t="shared" ca="1" si="13"/>
        <v/>
      </c>
      <c r="Z86" s="4" t="str">
        <f t="shared" ca="1" si="13"/>
        <v/>
      </c>
      <c r="AA86" s="4" t="str">
        <f t="shared" ca="1" si="13"/>
        <v/>
      </c>
      <c r="AB86" s="4" t="str">
        <f t="shared" ca="1" si="13"/>
        <v/>
      </c>
      <c r="AC86" s="4" t="str">
        <f t="shared" ca="1" si="13"/>
        <v/>
      </c>
      <c r="AD86" s="4" t="str">
        <f t="shared" ca="1" si="13"/>
        <v/>
      </c>
      <c r="AE86" s="4" t="str">
        <f t="shared" ca="1" si="13"/>
        <v/>
      </c>
      <c r="AF86" s="4" t="str">
        <f t="shared" ca="1" si="13"/>
        <v/>
      </c>
      <c r="AG86" s="4" t="str">
        <f t="shared" ca="1" si="14"/>
        <v/>
      </c>
      <c r="AH86" s="4" t="str">
        <f t="shared" ca="1" si="14"/>
        <v/>
      </c>
      <c r="AI86" s="4" t="str">
        <f t="shared" ca="1" si="14"/>
        <v/>
      </c>
      <c r="AJ86" s="4" t="str">
        <f t="shared" ca="1" si="14"/>
        <v/>
      </c>
      <c r="AK86" s="4" t="str">
        <f t="shared" ca="1" si="14"/>
        <v/>
      </c>
      <c r="AL86" s="4" t="str">
        <f t="shared" ca="1" si="14"/>
        <v/>
      </c>
      <c r="AM86" s="4" t="str">
        <f t="shared" ca="1" si="14"/>
        <v/>
      </c>
      <c r="AN86" s="4" t="str">
        <f t="shared" ca="1" si="14"/>
        <v/>
      </c>
      <c r="AO86" s="4" t="str">
        <f t="shared" ca="1" si="14"/>
        <v/>
      </c>
      <c r="AP86" s="4" t="str">
        <f t="shared" ca="1" si="14"/>
        <v/>
      </c>
      <c r="AQ86" s="4" t="str">
        <f t="shared" ca="1" si="15"/>
        <v/>
      </c>
      <c r="AR86" s="4" t="str">
        <f t="shared" ca="1" si="15"/>
        <v/>
      </c>
      <c r="AS86" s="4" t="str">
        <f t="shared" ca="1" si="15"/>
        <v/>
      </c>
      <c r="AT86" s="4" t="str">
        <f t="shared" ca="1" si="15"/>
        <v/>
      </c>
      <c r="AU86" s="4" t="str">
        <f t="shared" ca="1" si="15"/>
        <v/>
      </c>
      <c r="AV86" s="4" t="str">
        <f t="shared" ca="1" si="15"/>
        <v/>
      </c>
      <c r="AW86" s="4" t="str">
        <f t="shared" ca="1" si="15"/>
        <v/>
      </c>
      <c r="AX86" s="4" t="str">
        <f t="shared" ca="1" si="15"/>
        <v/>
      </c>
      <c r="AY86" s="4" t="str">
        <f t="shared" ca="1" si="15"/>
        <v/>
      </c>
      <c r="AZ86" s="4" t="str">
        <f t="shared" ca="1" si="15"/>
        <v/>
      </c>
      <c r="BA86" s="4" t="str">
        <f t="shared" si="5"/>
        <v/>
      </c>
    </row>
    <row r="87" spans="1:53">
      <c r="A87">
        <v>23</v>
      </c>
      <c r="C87" s="4" t="str">
        <f t="shared" ca="1" si="11"/>
        <v/>
      </c>
      <c r="D87" s="4" t="str">
        <f t="shared" ca="1" si="11"/>
        <v/>
      </c>
      <c r="E87" s="4" t="str">
        <f t="shared" ca="1" si="11"/>
        <v/>
      </c>
      <c r="F87" s="4" t="str">
        <f t="shared" ca="1" si="11"/>
        <v/>
      </c>
      <c r="G87" s="4" t="str">
        <f t="shared" ca="1" si="11"/>
        <v/>
      </c>
      <c r="H87" s="4" t="str">
        <f t="shared" ca="1" si="11"/>
        <v/>
      </c>
      <c r="I87" s="4" t="str">
        <f t="shared" ca="1" si="11"/>
        <v/>
      </c>
      <c r="J87" s="4" t="str">
        <f t="shared" ca="1" si="11"/>
        <v/>
      </c>
      <c r="K87" s="4" t="str">
        <f t="shared" ca="1" si="11"/>
        <v/>
      </c>
      <c r="L87" s="4" t="str">
        <f t="shared" ca="1" si="11"/>
        <v/>
      </c>
      <c r="M87" s="4" t="str">
        <f t="shared" ca="1" si="12"/>
        <v/>
      </c>
      <c r="N87" s="4" t="str">
        <f t="shared" ca="1" si="12"/>
        <v/>
      </c>
      <c r="O87" s="4" t="str">
        <f t="shared" ca="1" si="12"/>
        <v/>
      </c>
      <c r="P87" s="4" t="str">
        <f t="shared" ca="1" si="12"/>
        <v/>
      </c>
      <c r="Q87" s="4" t="str">
        <f t="shared" ca="1" si="12"/>
        <v/>
      </c>
      <c r="R87" s="4" t="str">
        <f t="shared" ca="1" si="12"/>
        <v/>
      </c>
      <c r="S87" s="4" t="str">
        <f t="shared" ca="1" si="12"/>
        <v/>
      </c>
      <c r="T87" s="4" t="str">
        <f t="shared" ca="1" si="12"/>
        <v/>
      </c>
      <c r="U87" s="4" t="str">
        <f t="shared" ca="1" si="12"/>
        <v/>
      </c>
      <c r="V87" s="4" t="str">
        <f t="shared" ca="1" si="12"/>
        <v/>
      </c>
      <c r="W87" s="4" t="str">
        <f t="shared" ca="1" si="13"/>
        <v/>
      </c>
      <c r="X87" s="4" t="str">
        <f t="shared" ca="1" si="13"/>
        <v/>
      </c>
      <c r="Y87" s="4" t="str">
        <f t="shared" ca="1" si="13"/>
        <v/>
      </c>
      <c r="Z87" s="4" t="str">
        <f t="shared" ca="1" si="13"/>
        <v/>
      </c>
      <c r="AA87" s="4" t="str">
        <f t="shared" ca="1" si="13"/>
        <v/>
      </c>
      <c r="AB87" s="4" t="str">
        <f t="shared" ca="1" si="13"/>
        <v/>
      </c>
      <c r="AC87" s="4" t="str">
        <f t="shared" ca="1" si="13"/>
        <v/>
      </c>
      <c r="AD87" s="4" t="str">
        <f t="shared" ca="1" si="13"/>
        <v/>
      </c>
      <c r="AE87" s="4" t="str">
        <f t="shared" ca="1" si="13"/>
        <v/>
      </c>
      <c r="AF87" s="4" t="str">
        <f t="shared" ca="1" si="13"/>
        <v/>
      </c>
      <c r="AG87" s="4" t="str">
        <f t="shared" ca="1" si="14"/>
        <v/>
      </c>
      <c r="AH87" s="4" t="str">
        <f t="shared" ca="1" si="14"/>
        <v/>
      </c>
      <c r="AI87" s="4" t="str">
        <f t="shared" ca="1" si="14"/>
        <v/>
      </c>
      <c r="AJ87" s="4" t="str">
        <f t="shared" ca="1" si="14"/>
        <v/>
      </c>
      <c r="AK87" s="4" t="str">
        <f t="shared" ca="1" si="14"/>
        <v/>
      </c>
      <c r="AL87" s="4" t="str">
        <f t="shared" ca="1" si="14"/>
        <v/>
      </c>
      <c r="AM87" s="4" t="str">
        <f t="shared" ca="1" si="14"/>
        <v/>
      </c>
      <c r="AN87" s="4" t="str">
        <f t="shared" ca="1" si="14"/>
        <v/>
      </c>
      <c r="AO87" s="4" t="str">
        <f t="shared" ca="1" si="14"/>
        <v/>
      </c>
      <c r="AP87" s="4" t="str">
        <f t="shared" ca="1" si="14"/>
        <v/>
      </c>
      <c r="AQ87" s="4" t="str">
        <f t="shared" ca="1" si="15"/>
        <v/>
      </c>
      <c r="AR87" s="4" t="str">
        <f t="shared" ca="1" si="15"/>
        <v/>
      </c>
      <c r="AS87" s="4" t="str">
        <f t="shared" ca="1" si="15"/>
        <v/>
      </c>
      <c r="AT87" s="4" t="str">
        <f t="shared" ca="1" si="15"/>
        <v/>
      </c>
      <c r="AU87" s="4" t="str">
        <f t="shared" ca="1" si="15"/>
        <v/>
      </c>
      <c r="AV87" s="4" t="str">
        <f t="shared" ca="1" si="15"/>
        <v/>
      </c>
      <c r="AW87" s="4" t="str">
        <f t="shared" ca="1" si="15"/>
        <v/>
      </c>
      <c r="AX87" s="4" t="str">
        <f t="shared" ca="1" si="15"/>
        <v/>
      </c>
      <c r="AY87" s="4" t="str">
        <f t="shared" ca="1" si="15"/>
        <v/>
      </c>
      <c r="AZ87" s="4" t="str">
        <f t="shared" ca="1" si="15"/>
        <v/>
      </c>
      <c r="BA87" s="4" t="str">
        <f t="shared" si="5"/>
        <v/>
      </c>
    </row>
    <row r="88" spans="1:53">
      <c r="A88">
        <v>24</v>
      </c>
      <c r="C88" s="4" t="str">
        <f t="shared" ca="1" si="11"/>
        <v/>
      </c>
      <c r="D88" s="4" t="str">
        <f t="shared" ca="1" si="11"/>
        <v/>
      </c>
      <c r="E88" s="4" t="str">
        <f t="shared" ca="1" si="11"/>
        <v/>
      </c>
      <c r="F88" s="4" t="str">
        <f t="shared" ca="1" si="11"/>
        <v/>
      </c>
      <c r="G88" s="4" t="str">
        <f t="shared" ca="1" si="11"/>
        <v/>
      </c>
      <c r="H88" s="4" t="str">
        <f t="shared" ca="1" si="11"/>
        <v/>
      </c>
      <c r="I88" s="4" t="str">
        <f t="shared" ca="1" si="11"/>
        <v/>
      </c>
      <c r="J88" s="4" t="str">
        <f t="shared" ca="1" si="11"/>
        <v/>
      </c>
      <c r="K88" s="4" t="str">
        <f t="shared" ca="1" si="11"/>
        <v/>
      </c>
      <c r="L88" s="4" t="str">
        <f t="shared" ca="1" si="11"/>
        <v/>
      </c>
      <c r="M88" s="4" t="str">
        <f t="shared" ca="1" si="12"/>
        <v/>
      </c>
      <c r="N88" s="4" t="str">
        <f t="shared" ca="1" si="12"/>
        <v/>
      </c>
      <c r="O88" s="4" t="str">
        <f t="shared" ca="1" si="12"/>
        <v/>
      </c>
      <c r="P88" s="4" t="str">
        <f t="shared" ca="1" si="12"/>
        <v/>
      </c>
      <c r="Q88" s="4" t="str">
        <f t="shared" ca="1" si="12"/>
        <v/>
      </c>
      <c r="R88" s="4" t="str">
        <f t="shared" ca="1" si="12"/>
        <v/>
      </c>
      <c r="S88" s="4" t="str">
        <f t="shared" ca="1" si="12"/>
        <v/>
      </c>
      <c r="T88" s="4" t="str">
        <f t="shared" ca="1" si="12"/>
        <v/>
      </c>
      <c r="U88" s="4" t="str">
        <f t="shared" ca="1" si="12"/>
        <v/>
      </c>
      <c r="V88" s="4" t="str">
        <f t="shared" ca="1" si="12"/>
        <v/>
      </c>
      <c r="W88" s="4" t="str">
        <f t="shared" ca="1" si="13"/>
        <v/>
      </c>
      <c r="X88" s="4" t="str">
        <f t="shared" ca="1" si="13"/>
        <v/>
      </c>
      <c r="Y88" s="4" t="str">
        <f t="shared" ca="1" si="13"/>
        <v/>
      </c>
      <c r="Z88" s="4" t="str">
        <f t="shared" ca="1" si="13"/>
        <v/>
      </c>
      <c r="AA88" s="4" t="str">
        <f t="shared" ca="1" si="13"/>
        <v/>
      </c>
      <c r="AB88" s="4" t="str">
        <f t="shared" ca="1" si="13"/>
        <v/>
      </c>
      <c r="AC88" s="4" t="str">
        <f t="shared" ca="1" si="13"/>
        <v/>
      </c>
      <c r="AD88" s="4" t="str">
        <f t="shared" ca="1" si="13"/>
        <v/>
      </c>
      <c r="AE88" s="4" t="str">
        <f t="shared" ca="1" si="13"/>
        <v/>
      </c>
      <c r="AF88" s="4" t="str">
        <f t="shared" ca="1" si="13"/>
        <v/>
      </c>
      <c r="AG88" s="4" t="str">
        <f t="shared" ca="1" si="14"/>
        <v/>
      </c>
      <c r="AH88" s="4" t="str">
        <f t="shared" ca="1" si="14"/>
        <v/>
      </c>
      <c r="AI88" s="4" t="str">
        <f t="shared" ca="1" si="14"/>
        <v/>
      </c>
      <c r="AJ88" s="4" t="str">
        <f t="shared" ca="1" si="14"/>
        <v/>
      </c>
      <c r="AK88" s="4" t="str">
        <f t="shared" ca="1" si="14"/>
        <v/>
      </c>
      <c r="AL88" s="4" t="str">
        <f t="shared" ca="1" si="14"/>
        <v/>
      </c>
      <c r="AM88" s="4" t="str">
        <f t="shared" ca="1" si="14"/>
        <v/>
      </c>
      <c r="AN88" s="4" t="str">
        <f t="shared" ca="1" si="14"/>
        <v/>
      </c>
      <c r="AO88" s="4" t="str">
        <f t="shared" ca="1" si="14"/>
        <v/>
      </c>
      <c r="AP88" s="4" t="str">
        <f t="shared" ca="1" si="14"/>
        <v/>
      </c>
      <c r="AQ88" s="4" t="str">
        <f t="shared" ca="1" si="15"/>
        <v/>
      </c>
      <c r="AR88" s="4" t="str">
        <f t="shared" ca="1" si="15"/>
        <v/>
      </c>
      <c r="AS88" s="4" t="str">
        <f t="shared" ca="1" si="15"/>
        <v/>
      </c>
      <c r="AT88" s="4" t="str">
        <f t="shared" ca="1" si="15"/>
        <v/>
      </c>
      <c r="AU88" s="4" t="str">
        <f t="shared" ca="1" si="15"/>
        <v/>
      </c>
      <c r="AV88" s="4" t="str">
        <f t="shared" ca="1" si="15"/>
        <v/>
      </c>
      <c r="AW88" s="4" t="str">
        <f t="shared" ca="1" si="15"/>
        <v/>
      </c>
      <c r="AX88" s="4" t="str">
        <f t="shared" ca="1" si="15"/>
        <v/>
      </c>
      <c r="AY88" s="4" t="str">
        <f t="shared" ca="1" si="15"/>
        <v/>
      </c>
      <c r="AZ88" s="4" t="str">
        <f t="shared" ca="1" si="15"/>
        <v/>
      </c>
      <c r="BA88" s="4" t="str">
        <f t="shared" si="5"/>
        <v/>
      </c>
    </row>
    <row r="89" spans="1:53">
      <c r="A89">
        <v>25</v>
      </c>
      <c r="C89" s="4" t="str">
        <f t="shared" ca="1" si="11"/>
        <v/>
      </c>
      <c r="D89" s="4" t="str">
        <f t="shared" ca="1" si="11"/>
        <v/>
      </c>
      <c r="E89" s="4" t="str">
        <f t="shared" ca="1" si="11"/>
        <v/>
      </c>
      <c r="F89" s="4" t="str">
        <f t="shared" ca="1" si="11"/>
        <v/>
      </c>
      <c r="G89" s="4" t="str">
        <f t="shared" ca="1" si="11"/>
        <v/>
      </c>
      <c r="H89" s="4" t="str">
        <f t="shared" ca="1" si="11"/>
        <v/>
      </c>
      <c r="I89" s="4" t="str">
        <f t="shared" ca="1" si="11"/>
        <v/>
      </c>
      <c r="J89" s="4" t="str">
        <f t="shared" ca="1" si="11"/>
        <v/>
      </c>
      <c r="K89" s="4" t="str">
        <f t="shared" ca="1" si="11"/>
        <v/>
      </c>
      <c r="L89" s="4" t="str">
        <f t="shared" ca="1" si="11"/>
        <v/>
      </c>
      <c r="M89" s="4" t="str">
        <f t="shared" ca="1" si="12"/>
        <v/>
      </c>
      <c r="N89" s="4" t="str">
        <f t="shared" ca="1" si="12"/>
        <v/>
      </c>
      <c r="O89" s="4" t="str">
        <f t="shared" ca="1" si="12"/>
        <v/>
      </c>
      <c r="P89" s="4" t="str">
        <f t="shared" ca="1" si="12"/>
        <v/>
      </c>
      <c r="Q89" s="4" t="str">
        <f t="shared" ca="1" si="12"/>
        <v/>
      </c>
      <c r="R89" s="4" t="str">
        <f t="shared" ca="1" si="12"/>
        <v/>
      </c>
      <c r="S89" s="4" t="str">
        <f t="shared" ca="1" si="12"/>
        <v/>
      </c>
      <c r="T89" s="4" t="str">
        <f t="shared" ca="1" si="12"/>
        <v/>
      </c>
      <c r="U89" s="4" t="str">
        <f t="shared" ca="1" si="12"/>
        <v/>
      </c>
      <c r="V89" s="4" t="str">
        <f t="shared" ca="1" si="12"/>
        <v/>
      </c>
      <c r="W89" s="4" t="str">
        <f t="shared" ca="1" si="13"/>
        <v/>
      </c>
      <c r="X89" s="4" t="str">
        <f t="shared" ca="1" si="13"/>
        <v/>
      </c>
      <c r="Y89" s="4" t="str">
        <f t="shared" ca="1" si="13"/>
        <v/>
      </c>
      <c r="Z89" s="4" t="str">
        <f t="shared" ca="1" si="13"/>
        <v/>
      </c>
      <c r="AA89" s="4" t="str">
        <f t="shared" ca="1" si="13"/>
        <v/>
      </c>
      <c r="AB89" s="4" t="str">
        <f t="shared" ca="1" si="13"/>
        <v/>
      </c>
      <c r="AC89" s="4" t="str">
        <f t="shared" ca="1" si="13"/>
        <v/>
      </c>
      <c r="AD89" s="4" t="str">
        <f t="shared" ca="1" si="13"/>
        <v/>
      </c>
      <c r="AE89" s="4" t="str">
        <f t="shared" ca="1" si="13"/>
        <v/>
      </c>
      <c r="AF89" s="4" t="str">
        <f t="shared" ca="1" si="13"/>
        <v/>
      </c>
      <c r="AG89" s="4" t="str">
        <f t="shared" ca="1" si="14"/>
        <v/>
      </c>
      <c r="AH89" s="4" t="str">
        <f t="shared" ca="1" si="14"/>
        <v/>
      </c>
      <c r="AI89" s="4" t="str">
        <f t="shared" ca="1" si="14"/>
        <v/>
      </c>
      <c r="AJ89" s="4" t="str">
        <f t="shared" ca="1" si="14"/>
        <v/>
      </c>
      <c r="AK89" s="4" t="str">
        <f t="shared" ca="1" si="14"/>
        <v/>
      </c>
      <c r="AL89" s="4" t="str">
        <f t="shared" ca="1" si="14"/>
        <v/>
      </c>
      <c r="AM89" s="4" t="str">
        <f t="shared" ca="1" si="14"/>
        <v/>
      </c>
      <c r="AN89" s="4" t="str">
        <f t="shared" ca="1" si="14"/>
        <v/>
      </c>
      <c r="AO89" s="4" t="str">
        <f t="shared" ca="1" si="14"/>
        <v/>
      </c>
      <c r="AP89" s="4" t="str">
        <f t="shared" ca="1" si="14"/>
        <v/>
      </c>
      <c r="AQ89" s="4" t="str">
        <f t="shared" ca="1" si="15"/>
        <v/>
      </c>
      <c r="AR89" s="4" t="str">
        <f t="shared" ca="1" si="15"/>
        <v/>
      </c>
      <c r="AS89" s="4" t="str">
        <f t="shared" ca="1" si="15"/>
        <v/>
      </c>
      <c r="AT89" s="4" t="str">
        <f t="shared" ca="1" si="15"/>
        <v/>
      </c>
      <c r="AU89" s="4" t="str">
        <f t="shared" ca="1" si="15"/>
        <v/>
      </c>
      <c r="AV89" s="4" t="str">
        <f t="shared" ca="1" si="15"/>
        <v/>
      </c>
      <c r="AW89" s="4" t="str">
        <f t="shared" ca="1" si="15"/>
        <v/>
      </c>
      <c r="AX89" s="4" t="str">
        <f t="shared" ca="1" si="15"/>
        <v/>
      </c>
      <c r="AY89" s="4" t="str">
        <f t="shared" ca="1" si="15"/>
        <v/>
      </c>
      <c r="AZ89" s="4" t="str">
        <f t="shared" ca="1" si="15"/>
        <v/>
      </c>
      <c r="BA89" s="4" t="str">
        <f t="shared" si="5"/>
        <v/>
      </c>
    </row>
    <row r="90" spans="1:53">
      <c r="A90">
        <v>26</v>
      </c>
      <c r="C90" s="4" t="str">
        <f t="shared" ca="1" si="11"/>
        <v/>
      </c>
      <c r="D90" s="4" t="str">
        <f t="shared" ca="1" si="11"/>
        <v/>
      </c>
      <c r="E90" s="4" t="str">
        <f t="shared" ca="1" si="11"/>
        <v/>
      </c>
      <c r="F90" s="4" t="str">
        <f t="shared" ca="1" si="11"/>
        <v/>
      </c>
      <c r="G90" s="4" t="str">
        <f t="shared" ca="1" si="11"/>
        <v/>
      </c>
      <c r="H90" s="4" t="str">
        <f t="shared" ca="1" si="11"/>
        <v/>
      </c>
      <c r="I90" s="4" t="str">
        <f t="shared" ca="1" si="11"/>
        <v/>
      </c>
      <c r="J90" s="4" t="str">
        <f t="shared" ca="1" si="11"/>
        <v/>
      </c>
      <c r="K90" s="4" t="str">
        <f t="shared" ca="1" si="11"/>
        <v/>
      </c>
      <c r="L90" s="4" t="str">
        <f t="shared" ca="1" si="11"/>
        <v/>
      </c>
      <c r="M90" s="4" t="str">
        <f t="shared" ca="1" si="12"/>
        <v/>
      </c>
      <c r="N90" s="4" t="str">
        <f t="shared" ca="1" si="12"/>
        <v/>
      </c>
      <c r="O90" s="4" t="str">
        <f t="shared" ca="1" si="12"/>
        <v/>
      </c>
      <c r="P90" s="4" t="str">
        <f t="shared" ca="1" si="12"/>
        <v/>
      </c>
      <c r="Q90" s="4" t="str">
        <f t="shared" ca="1" si="12"/>
        <v/>
      </c>
      <c r="R90" s="4" t="str">
        <f t="shared" ca="1" si="12"/>
        <v/>
      </c>
      <c r="S90" s="4" t="str">
        <f t="shared" ca="1" si="12"/>
        <v/>
      </c>
      <c r="T90" s="4" t="str">
        <f t="shared" ca="1" si="12"/>
        <v/>
      </c>
      <c r="U90" s="4" t="str">
        <f t="shared" ca="1" si="12"/>
        <v/>
      </c>
      <c r="V90" s="4" t="str">
        <f t="shared" ca="1" si="12"/>
        <v/>
      </c>
      <c r="W90" s="4" t="str">
        <f t="shared" ca="1" si="13"/>
        <v/>
      </c>
      <c r="X90" s="4" t="str">
        <f t="shared" ca="1" si="13"/>
        <v/>
      </c>
      <c r="Y90" s="4" t="str">
        <f t="shared" ca="1" si="13"/>
        <v/>
      </c>
      <c r="Z90" s="4" t="str">
        <f t="shared" ca="1" si="13"/>
        <v/>
      </c>
      <c r="AA90" s="4" t="str">
        <f t="shared" ca="1" si="13"/>
        <v/>
      </c>
      <c r="AB90" s="4" t="str">
        <f t="shared" ca="1" si="13"/>
        <v/>
      </c>
      <c r="AC90" s="4" t="str">
        <f t="shared" ca="1" si="13"/>
        <v/>
      </c>
      <c r="AD90" s="4" t="str">
        <f t="shared" ca="1" si="13"/>
        <v/>
      </c>
      <c r="AE90" s="4" t="str">
        <f t="shared" ca="1" si="13"/>
        <v/>
      </c>
      <c r="AF90" s="4" t="str">
        <f t="shared" ca="1" si="13"/>
        <v/>
      </c>
      <c r="AG90" s="4" t="str">
        <f t="shared" ca="1" si="14"/>
        <v/>
      </c>
      <c r="AH90" s="4" t="str">
        <f t="shared" ca="1" si="14"/>
        <v/>
      </c>
      <c r="AI90" s="4" t="str">
        <f t="shared" ca="1" si="14"/>
        <v/>
      </c>
      <c r="AJ90" s="4" t="str">
        <f t="shared" ca="1" si="14"/>
        <v/>
      </c>
      <c r="AK90" s="4" t="str">
        <f t="shared" ca="1" si="14"/>
        <v/>
      </c>
      <c r="AL90" s="4" t="str">
        <f t="shared" ca="1" si="14"/>
        <v/>
      </c>
      <c r="AM90" s="4" t="str">
        <f t="shared" ca="1" si="14"/>
        <v/>
      </c>
      <c r="AN90" s="4" t="str">
        <f t="shared" ca="1" si="14"/>
        <v/>
      </c>
      <c r="AO90" s="4" t="str">
        <f t="shared" ca="1" si="14"/>
        <v/>
      </c>
      <c r="AP90" s="4" t="str">
        <f t="shared" ca="1" si="14"/>
        <v/>
      </c>
      <c r="AQ90" s="4" t="str">
        <f t="shared" ca="1" si="15"/>
        <v/>
      </c>
      <c r="AR90" s="4" t="str">
        <f t="shared" ca="1" si="15"/>
        <v/>
      </c>
      <c r="AS90" s="4" t="str">
        <f t="shared" ca="1" si="15"/>
        <v/>
      </c>
      <c r="AT90" s="4" t="str">
        <f t="shared" ca="1" si="15"/>
        <v/>
      </c>
      <c r="AU90" s="4" t="str">
        <f t="shared" ca="1" si="15"/>
        <v/>
      </c>
      <c r="AV90" s="4" t="str">
        <f t="shared" ca="1" si="15"/>
        <v/>
      </c>
      <c r="AW90" s="4" t="str">
        <f t="shared" ca="1" si="15"/>
        <v/>
      </c>
      <c r="AX90" s="4" t="str">
        <f t="shared" ca="1" si="15"/>
        <v/>
      </c>
      <c r="AY90" s="4" t="str">
        <f t="shared" ca="1" si="15"/>
        <v/>
      </c>
      <c r="AZ90" s="4" t="str">
        <f t="shared" ca="1" si="15"/>
        <v/>
      </c>
      <c r="BA90" s="4" t="str">
        <f t="shared" si="5"/>
        <v/>
      </c>
    </row>
    <row r="91" spans="1:53">
      <c r="A91">
        <v>27</v>
      </c>
      <c r="C91" s="4" t="str">
        <f t="shared" ca="1" si="11"/>
        <v/>
      </c>
      <c r="D91" s="4" t="str">
        <f t="shared" ca="1" si="11"/>
        <v/>
      </c>
      <c r="E91" s="4" t="str">
        <f t="shared" ca="1" si="11"/>
        <v/>
      </c>
      <c r="F91" s="4" t="str">
        <f t="shared" ca="1" si="11"/>
        <v/>
      </c>
      <c r="G91" s="4" t="str">
        <f t="shared" ca="1" si="11"/>
        <v/>
      </c>
      <c r="H91" s="4" t="str">
        <f t="shared" ca="1" si="11"/>
        <v/>
      </c>
      <c r="I91" s="4" t="str">
        <f t="shared" ca="1" si="11"/>
        <v/>
      </c>
      <c r="J91" s="4" t="str">
        <f t="shared" ca="1" si="11"/>
        <v/>
      </c>
      <c r="K91" s="4" t="str">
        <f t="shared" ca="1" si="11"/>
        <v/>
      </c>
      <c r="L91" s="4" t="str">
        <f t="shared" ca="1" si="11"/>
        <v/>
      </c>
      <c r="M91" s="4" t="str">
        <f t="shared" ca="1" si="12"/>
        <v/>
      </c>
      <c r="N91" s="4" t="str">
        <f t="shared" ca="1" si="12"/>
        <v/>
      </c>
      <c r="O91" s="4" t="str">
        <f t="shared" ca="1" si="12"/>
        <v/>
      </c>
      <c r="P91" s="4" t="str">
        <f t="shared" ca="1" si="12"/>
        <v/>
      </c>
      <c r="Q91" s="4" t="str">
        <f t="shared" ca="1" si="12"/>
        <v/>
      </c>
      <c r="R91" s="4" t="str">
        <f t="shared" ca="1" si="12"/>
        <v/>
      </c>
      <c r="S91" s="4" t="str">
        <f t="shared" ca="1" si="12"/>
        <v/>
      </c>
      <c r="T91" s="4" t="str">
        <f t="shared" ca="1" si="12"/>
        <v/>
      </c>
      <c r="U91" s="4" t="str">
        <f t="shared" ca="1" si="12"/>
        <v/>
      </c>
      <c r="V91" s="4" t="str">
        <f t="shared" ca="1" si="12"/>
        <v/>
      </c>
      <c r="W91" s="4" t="str">
        <f t="shared" ca="1" si="13"/>
        <v/>
      </c>
      <c r="X91" s="4" t="str">
        <f t="shared" ca="1" si="13"/>
        <v/>
      </c>
      <c r="Y91" s="4" t="str">
        <f t="shared" ca="1" si="13"/>
        <v/>
      </c>
      <c r="Z91" s="4" t="str">
        <f t="shared" ca="1" si="13"/>
        <v/>
      </c>
      <c r="AA91" s="4" t="str">
        <f t="shared" ca="1" si="13"/>
        <v/>
      </c>
      <c r="AB91" s="4" t="str">
        <f t="shared" ca="1" si="13"/>
        <v/>
      </c>
      <c r="AC91" s="4" t="str">
        <f t="shared" ca="1" si="13"/>
        <v/>
      </c>
      <c r="AD91" s="4" t="str">
        <f t="shared" ca="1" si="13"/>
        <v/>
      </c>
      <c r="AE91" s="4" t="str">
        <f t="shared" ca="1" si="13"/>
        <v/>
      </c>
      <c r="AF91" s="4" t="str">
        <f t="shared" ca="1" si="13"/>
        <v/>
      </c>
      <c r="AG91" s="4" t="str">
        <f t="shared" ca="1" si="14"/>
        <v/>
      </c>
      <c r="AH91" s="4" t="str">
        <f t="shared" ca="1" si="14"/>
        <v/>
      </c>
      <c r="AI91" s="4" t="str">
        <f t="shared" ca="1" si="14"/>
        <v/>
      </c>
      <c r="AJ91" s="4" t="str">
        <f t="shared" ca="1" si="14"/>
        <v/>
      </c>
      <c r="AK91" s="4" t="str">
        <f t="shared" ca="1" si="14"/>
        <v/>
      </c>
      <c r="AL91" s="4" t="str">
        <f t="shared" ca="1" si="14"/>
        <v/>
      </c>
      <c r="AM91" s="4" t="str">
        <f t="shared" ca="1" si="14"/>
        <v/>
      </c>
      <c r="AN91" s="4" t="str">
        <f t="shared" ca="1" si="14"/>
        <v/>
      </c>
      <c r="AO91" s="4" t="str">
        <f t="shared" ca="1" si="14"/>
        <v/>
      </c>
      <c r="AP91" s="4" t="str">
        <f t="shared" ca="1" si="14"/>
        <v/>
      </c>
      <c r="AQ91" s="4" t="str">
        <f t="shared" ca="1" si="15"/>
        <v/>
      </c>
      <c r="AR91" s="4" t="str">
        <f t="shared" ca="1" si="15"/>
        <v/>
      </c>
      <c r="AS91" s="4" t="str">
        <f t="shared" ca="1" si="15"/>
        <v/>
      </c>
      <c r="AT91" s="4" t="str">
        <f t="shared" ca="1" si="15"/>
        <v/>
      </c>
      <c r="AU91" s="4" t="str">
        <f t="shared" ca="1" si="15"/>
        <v/>
      </c>
      <c r="AV91" s="4" t="str">
        <f t="shared" ca="1" si="15"/>
        <v/>
      </c>
      <c r="AW91" s="4" t="str">
        <f t="shared" ca="1" si="15"/>
        <v/>
      </c>
      <c r="AX91" s="4" t="str">
        <f t="shared" ca="1" si="15"/>
        <v/>
      </c>
      <c r="AY91" s="4" t="str">
        <f t="shared" ca="1" si="15"/>
        <v/>
      </c>
      <c r="AZ91" s="4" t="str">
        <f t="shared" ca="1" si="15"/>
        <v/>
      </c>
      <c r="BA91" s="4" t="str">
        <f t="shared" si="5"/>
        <v/>
      </c>
    </row>
    <row r="92" spans="1:53">
      <c r="A92">
        <v>28</v>
      </c>
      <c r="C92" s="4" t="str">
        <f t="shared" ca="1" si="11"/>
        <v/>
      </c>
      <c r="D92" s="4" t="str">
        <f t="shared" ca="1" si="11"/>
        <v/>
      </c>
      <c r="E92" s="4" t="str">
        <f t="shared" ca="1" si="11"/>
        <v/>
      </c>
      <c r="F92" s="4" t="str">
        <f t="shared" ca="1" si="11"/>
        <v/>
      </c>
      <c r="G92" s="4" t="str">
        <f t="shared" ca="1" si="11"/>
        <v/>
      </c>
      <c r="H92" s="4" t="str">
        <f t="shared" ca="1" si="11"/>
        <v/>
      </c>
      <c r="I92" s="4" t="str">
        <f t="shared" ca="1" si="11"/>
        <v/>
      </c>
      <c r="J92" s="4" t="str">
        <f t="shared" ca="1" si="11"/>
        <v/>
      </c>
      <c r="K92" s="4" t="str">
        <f t="shared" ca="1" si="11"/>
        <v/>
      </c>
      <c r="L92" s="4" t="str">
        <f t="shared" ca="1" si="11"/>
        <v/>
      </c>
      <c r="M92" s="4" t="str">
        <f t="shared" ca="1" si="12"/>
        <v/>
      </c>
      <c r="N92" s="4" t="str">
        <f t="shared" ca="1" si="12"/>
        <v/>
      </c>
      <c r="O92" s="4" t="str">
        <f t="shared" ca="1" si="12"/>
        <v/>
      </c>
      <c r="P92" s="4" t="str">
        <f t="shared" ca="1" si="12"/>
        <v/>
      </c>
      <c r="Q92" s="4" t="str">
        <f t="shared" ca="1" si="12"/>
        <v/>
      </c>
      <c r="R92" s="4" t="str">
        <f t="shared" ca="1" si="12"/>
        <v/>
      </c>
      <c r="S92" s="4" t="str">
        <f t="shared" ca="1" si="12"/>
        <v/>
      </c>
      <c r="T92" s="4" t="str">
        <f t="shared" ca="1" si="12"/>
        <v/>
      </c>
      <c r="U92" s="4" t="str">
        <f t="shared" ca="1" si="12"/>
        <v/>
      </c>
      <c r="V92" s="4" t="str">
        <f t="shared" ca="1" si="12"/>
        <v/>
      </c>
      <c r="W92" s="4" t="str">
        <f t="shared" ca="1" si="13"/>
        <v/>
      </c>
      <c r="X92" s="4" t="str">
        <f t="shared" ca="1" si="13"/>
        <v/>
      </c>
      <c r="Y92" s="4" t="str">
        <f t="shared" ca="1" si="13"/>
        <v/>
      </c>
      <c r="Z92" s="4" t="str">
        <f t="shared" ca="1" si="13"/>
        <v/>
      </c>
      <c r="AA92" s="4" t="str">
        <f t="shared" ca="1" si="13"/>
        <v/>
      </c>
      <c r="AB92" s="4" t="str">
        <f t="shared" ca="1" si="13"/>
        <v/>
      </c>
      <c r="AC92" s="4" t="str">
        <f t="shared" ca="1" si="13"/>
        <v/>
      </c>
      <c r="AD92" s="4" t="str">
        <f t="shared" ca="1" si="13"/>
        <v/>
      </c>
      <c r="AE92" s="4" t="str">
        <f t="shared" ca="1" si="13"/>
        <v/>
      </c>
      <c r="AF92" s="4" t="str">
        <f t="shared" ca="1" si="13"/>
        <v/>
      </c>
      <c r="AG92" s="4" t="str">
        <f t="shared" ca="1" si="14"/>
        <v/>
      </c>
      <c r="AH92" s="4" t="str">
        <f t="shared" ca="1" si="14"/>
        <v/>
      </c>
      <c r="AI92" s="4" t="str">
        <f t="shared" ca="1" si="14"/>
        <v/>
      </c>
      <c r="AJ92" s="4" t="str">
        <f t="shared" ca="1" si="14"/>
        <v/>
      </c>
      <c r="AK92" s="4" t="str">
        <f t="shared" ca="1" si="14"/>
        <v/>
      </c>
      <c r="AL92" s="4" t="str">
        <f t="shared" ca="1" si="14"/>
        <v/>
      </c>
      <c r="AM92" s="4" t="str">
        <f t="shared" ca="1" si="14"/>
        <v/>
      </c>
      <c r="AN92" s="4" t="str">
        <f t="shared" ca="1" si="14"/>
        <v/>
      </c>
      <c r="AO92" s="4" t="str">
        <f t="shared" ca="1" si="14"/>
        <v/>
      </c>
      <c r="AP92" s="4" t="str">
        <f t="shared" ca="1" si="14"/>
        <v/>
      </c>
      <c r="AQ92" s="4" t="str">
        <f t="shared" ca="1" si="15"/>
        <v/>
      </c>
      <c r="AR92" s="4" t="str">
        <f t="shared" ca="1" si="15"/>
        <v/>
      </c>
      <c r="AS92" s="4" t="str">
        <f t="shared" ca="1" si="15"/>
        <v/>
      </c>
      <c r="AT92" s="4" t="str">
        <f t="shared" ca="1" si="15"/>
        <v/>
      </c>
      <c r="AU92" s="4" t="str">
        <f t="shared" ca="1" si="15"/>
        <v/>
      </c>
      <c r="AV92" s="4" t="str">
        <f t="shared" ca="1" si="15"/>
        <v/>
      </c>
      <c r="AW92" s="4" t="str">
        <f t="shared" ca="1" si="15"/>
        <v/>
      </c>
      <c r="AX92" s="4" t="str">
        <f t="shared" ca="1" si="15"/>
        <v/>
      </c>
      <c r="AY92" s="4" t="str">
        <f t="shared" ca="1" si="15"/>
        <v/>
      </c>
      <c r="AZ92" s="4" t="str">
        <f t="shared" ca="1" si="15"/>
        <v/>
      </c>
      <c r="BA92" s="4" t="str">
        <f t="shared" si="5"/>
        <v/>
      </c>
    </row>
    <row r="93" spans="1:53">
      <c r="A93">
        <v>29</v>
      </c>
      <c r="C93" s="4" t="str">
        <f t="shared" ca="1" si="11"/>
        <v/>
      </c>
      <c r="D93" s="4" t="str">
        <f t="shared" ca="1" si="11"/>
        <v/>
      </c>
      <c r="E93" s="4" t="str">
        <f t="shared" ca="1" si="11"/>
        <v/>
      </c>
      <c r="F93" s="4" t="str">
        <f t="shared" ca="1" si="11"/>
        <v/>
      </c>
      <c r="G93" s="4" t="str">
        <f t="shared" ca="1" si="11"/>
        <v/>
      </c>
      <c r="H93" s="4" t="str">
        <f t="shared" ca="1" si="11"/>
        <v/>
      </c>
      <c r="I93" s="4" t="str">
        <f t="shared" ca="1" si="11"/>
        <v/>
      </c>
      <c r="J93" s="4" t="str">
        <f t="shared" ca="1" si="11"/>
        <v/>
      </c>
      <c r="K93" s="4" t="str">
        <f t="shared" ca="1" si="11"/>
        <v/>
      </c>
      <c r="L93" s="4" t="str">
        <f t="shared" ca="1" si="11"/>
        <v/>
      </c>
      <c r="M93" s="4" t="str">
        <f t="shared" ca="1" si="12"/>
        <v/>
      </c>
      <c r="N93" s="4" t="str">
        <f t="shared" ca="1" si="12"/>
        <v/>
      </c>
      <c r="O93" s="4" t="str">
        <f t="shared" ca="1" si="12"/>
        <v/>
      </c>
      <c r="P93" s="4" t="str">
        <f t="shared" ca="1" si="12"/>
        <v/>
      </c>
      <c r="Q93" s="4" t="str">
        <f t="shared" ca="1" si="12"/>
        <v/>
      </c>
      <c r="R93" s="4" t="str">
        <f t="shared" ca="1" si="12"/>
        <v/>
      </c>
      <c r="S93" s="4" t="str">
        <f t="shared" ca="1" si="12"/>
        <v/>
      </c>
      <c r="T93" s="4" t="str">
        <f t="shared" ca="1" si="12"/>
        <v/>
      </c>
      <c r="U93" s="4" t="str">
        <f t="shared" ca="1" si="12"/>
        <v/>
      </c>
      <c r="V93" s="4" t="str">
        <f t="shared" ca="1" si="12"/>
        <v/>
      </c>
      <c r="W93" s="4" t="str">
        <f t="shared" ca="1" si="13"/>
        <v/>
      </c>
      <c r="X93" s="4" t="str">
        <f t="shared" ca="1" si="13"/>
        <v/>
      </c>
      <c r="Y93" s="4" t="str">
        <f t="shared" ca="1" si="13"/>
        <v/>
      </c>
      <c r="Z93" s="4" t="str">
        <f t="shared" ca="1" si="13"/>
        <v/>
      </c>
      <c r="AA93" s="4" t="str">
        <f t="shared" ca="1" si="13"/>
        <v/>
      </c>
      <c r="AB93" s="4" t="str">
        <f t="shared" ca="1" si="13"/>
        <v/>
      </c>
      <c r="AC93" s="4" t="str">
        <f t="shared" ca="1" si="13"/>
        <v/>
      </c>
      <c r="AD93" s="4" t="str">
        <f t="shared" ca="1" si="13"/>
        <v/>
      </c>
      <c r="AE93" s="4" t="str">
        <f t="shared" ca="1" si="13"/>
        <v/>
      </c>
      <c r="AF93" s="4" t="str">
        <f t="shared" ca="1" si="13"/>
        <v/>
      </c>
      <c r="AG93" s="4" t="str">
        <f t="shared" ca="1" si="14"/>
        <v/>
      </c>
      <c r="AH93" s="4" t="str">
        <f t="shared" ca="1" si="14"/>
        <v/>
      </c>
      <c r="AI93" s="4" t="str">
        <f t="shared" ca="1" si="14"/>
        <v/>
      </c>
      <c r="AJ93" s="4" t="str">
        <f t="shared" ca="1" si="14"/>
        <v/>
      </c>
      <c r="AK93" s="4" t="str">
        <f t="shared" ca="1" si="14"/>
        <v/>
      </c>
      <c r="AL93" s="4" t="str">
        <f t="shared" ca="1" si="14"/>
        <v/>
      </c>
      <c r="AM93" s="4" t="str">
        <f t="shared" ca="1" si="14"/>
        <v/>
      </c>
      <c r="AN93" s="4" t="str">
        <f t="shared" ca="1" si="14"/>
        <v/>
      </c>
      <c r="AO93" s="4" t="str">
        <f t="shared" ca="1" si="14"/>
        <v/>
      </c>
      <c r="AP93" s="4" t="str">
        <f t="shared" ca="1" si="14"/>
        <v/>
      </c>
      <c r="AQ93" s="4" t="str">
        <f t="shared" ca="1" si="15"/>
        <v/>
      </c>
      <c r="AR93" s="4" t="str">
        <f t="shared" ca="1" si="15"/>
        <v/>
      </c>
      <c r="AS93" s="4" t="str">
        <f t="shared" ca="1" si="15"/>
        <v/>
      </c>
      <c r="AT93" s="4" t="str">
        <f t="shared" ca="1" si="15"/>
        <v/>
      </c>
      <c r="AU93" s="4" t="str">
        <f t="shared" ca="1" si="15"/>
        <v/>
      </c>
      <c r="AV93" s="4" t="str">
        <f t="shared" ca="1" si="15"/>
        <v/>
      </c>
      <c r="AW93" s="4" t="str">
        <f t="shared" ca="1" si="15"/>
        <v/>
      </c>
      <c r="AX93" s="4" t="str">
        <f t="shared" ca="1" si="15"/>
        <v/>
      </c>
      <c r="AY93" s="4" t="str">
        <f t="shared" ca="1" si="15"/>
        <v/>
      </c>
      <c r="AZ93" s="4" t="str">
        <f t="shared" ca="1" si="15"/>
        <v/>
      </c>
      <c r="BA93" s="4" t="str">
        <f t="shared" si="5"/>
        <v/>
      </c>
    </row>
    <row r="94" spans="1:53">
      <c r="A94">
        <v>30</v>
      </c>
      <c r="C94" s="4" t="str">
        <f t="shared" ca="1" si="11"/>
        <v/>
      </c>
      <c r="D94" s="4" t="str">
        <f t="shared" ca="1" si="11"/>
        <v/>
      </c>
      <c r="E94" s="4" t="str">
        <f t="shared" ca="1" si="11"/>
        <v/>
      </c>
      <c r="F94" s="4" t="str">
        <f t="shared" ca="1" si="11"/>
        <v/>
      </c>
      <c r="G94" s="4" t="str">
        <f t="shared" ca="1" si="11"/>
        <v/>
      </c>
      <c r="H94" s="4" t="str">
        <f t="shared" ca="1" si="11"/>
        <v/>
      </c>
      <c r="I94" s="4" t="str">
        <f t="shared" ca="1" si="11"/>
        <v/>
      </c>
      <c r="J94" s="4" t="str">
        <f t="shared" ca="1" si="11"/>
        <v/>
      </c>
      <c r="K94" s="4" t="str">
        <f t="shared" ca="1" si="11"/>
        <v/>
      </c>
      <c r="L94" s="4" t="str">
        <f t="shared" ca="1" si="11"/>
        <v/>
      </c>
      <c r="M94" s="4" t="str">
        <f t="shared" ca="1" si="12"/>
        <v/>
      </c>
      <c r="N94" s="4" t="str">
        <f t="shared" ca="1" si="12"/>
        <v/>
      </c>
      <c r="O94" s="4" t="str">
        <f t="shared" ca="1" si="12"/>
        <v/>
      </c>
      <c r="P94" s="4" t="str">
        <f t="shared" ca="1" si="12"/>
        <v/>
      </c>
      <c r="Q94" s="4" t="str">
        <f t="shared" ca="1" si="12"/>
        <v/>
      </c>
      <c r="R94" s="4" t="str">
        <f t="shared" ca="1" si="12"/>
        <v/>
      </c>
      <c r="S94" s="4" t="str">
        <f t="shared" ca="1" si="12"/>
        <v/>
      </c>
      <c r="T94" s="4" t="str">
        <f t="shared" ca="1" si="12"/>
        <v/>
      </c>
      <c r="U94" s="4" t="str">
        <f t="shared" ca="1" si="12"/>
        <v/>
      </c>
      <c r="V94" s="4" t="str">
        <f t="shared" ca="1" si="12"/>
        <v/>
      </c>
      <c r="W94" s="4" t="str">
        <f t="shared" ca="1" si="13"/>
        <v/>
      </c>
      <c r="X94" s="4" t="str">
        <f t="shared" ca="1" si="13"/>
        <v/>
      </c>
      <c r="Y94" s="4" t="str">
        <f t="shared" ca="1" si="13"/>
        <v/>
      </c>
      <c r="Z94" s="4" t="str">
        <f t="shared" ca="1" si="13"/>
        <v/>
      </c>
      <c r="AA94" s="4" t="str">
        <f t="shared" ca="1" si="13"/>
        <v/>
      </c>
      <c r="AB94" s="4" t="str">
        <f t="shared" ca="1" si="13"/>
        <v/>
      </c>
      <c r="AC94" s="4" t="str">
        <f t="shared" ca="1" si="13"/>
        <v/>
      </c>
      <c r="AD94" s="4" t="str">
        <f t="shared" ca="1" si="13"/>
        <v/>
      </c>
      <c r="AE94" s="4" t="str">
        <f t="shared" ca="1" si="13"/>
        <v/>
      </c>
      <c r="AF94" s="4" t="str">
        <f t="shared" ca="1" si="13"/>
        <v/>
      </c>
      <c r="AG94" s="4" t="str">
        <f t="shared" ca="1" si="14"/>
        <v/>
      </c>
      <c r="AH94" s="4" t="str">
        <f t="shared" ca="1" si="14"/>
        <v/>
      </c>
      <c r="AI94" s="4" t="str">
        <f t="shared" ca="1" si="14"/>
        <v/>
      </c>
      <c r="AJ94" s="4" t="str">
        <f t="shared" ca="1" si="14"/>
        <v/>
      </c>
      <c r="AK94" s="4" t="str">
        <f t="shared" ca="1" si="14"/>
        <v/>
      </c>
      <c r="AL94" s="4" t="str">
        <f t="shared" ca="1" si="14"/>
        <v/>
      </c>
      <c r="AM94" s="4" t="str">
        <f t="shared" ca="1" si="14"/>
        <v/>
      </c>
      <c r="AN94" s="4" t="str">
        <f t="shared" ca="1" si="14"/>
        <v/>
      </c>
      <c r="AO94" s="4" t="str">
        <f t="shared" ca="1" si="14"/>
        <v/>
      </c>
      <c r="AP94" s="4" t="str">
        <f t="shared" ca="1" si="14"/>
        <v/>
      </c>
      <c r="AQ94" s="4" t="str">
        <f t="shared" ca="1" si="15"/>
        <v/>
      </c>
      <c r="AR94" s="4" t="str">
        <f t="shared" ca="1" si="15"/>
        <v/>
      </c>
      <c r="AS94" s="4" t="str">
        <f t="shared" ca="1" si="15"/>
        <v/>
      </c>
      <c r="AT94" s="4" t="str">
        <f t="shared" ca="1" si="15"/>
        <v/>
      </c>
      <c r="AU94" s="4" t="str">
        <f t="shared" ca="1" si="15"/>
        <v/>
      </c>
      <c r="AV94" s="4" t="str">
        <f t="shared" ca="1" si="15"/>
        <v/>
      </c>
      <c r="AW94" s="4" t="str">
        <f t="shared" ca="1" si="15"/>
        <v/>
      </c>
      <c r="AX94" s="4" t="str">
        <f t="shared" ca="1" si="15"/>
        <v/>
      </c>
      <c r="AY94" s="4" t="str">
        <f t="shared" ca="1" si="15"/>
        <v/>
      </c>
      <c r="AZ94" s="4" t="str">
        <f t="shared" ca="1" si="15"/>
        <v/>
      </c>
      <c r="BA94" s="4" t="str">
        <f t="shared" si="5"/>
        <v/>
      </c>
    </row>
    <row r="95" spans="1:53">
      <c r="A95">
        <v>31</v>
      </c>
      <c r="C95" s="4" t="str">
        <f t="shared" ref="C95:L104" ca="1" si="16">IF(COLUMN()-2&lt;=$E$3,INDEX($B$10:$B$59,RANDBETWEEN(1,$E$3)),"")</f>
        <v/>
      </c>
      <c r="D95" s="4" t="str">
        <f t="shared" ca="1" si="16"/>
        <v/>
      </c>
      <c r="E95" s="4" t="str">
        <f t="shared" ca="1" si="16"/>
        <v/>
      </c>
      <c r="F95" s="4" t="str">
        <f t="shared" ca="1" si="16"/>
        <v/>
      </c>
      <c r="G95" s="4" t="str">
        <f t="shared" ca="1" si="16"/>
        <v/>
      </c>
      <c r="H95" s="4" t="str">
        <f t="shared" ca="1" si="16"/>
        <v/>
      </c>
      <c r="I95" s="4" t="str">
        <f t="shared" ca="1" si="16"/>
        <v/>
      </c>
      <c r="J95" s="4" t="str">
        <f t="shared" ca="1" si="16"/>
        <v/>
      </c>
      <c r="K95" s="4" t="str">
        <f t="shared" ca="1" si="16"/>
        <v/>
      </c>
      <c r="L95" s="4" t="str">
        <f t="shared" ca="1" si="16"/>
        <v/>
      </c>
      <c r="M95" s="4" t="str">
        <f t="shared" ref="M95:V104" ca="1" si="17">IF(COLUMN()-2&lt;=$E$3,INDEX($B$10:$B$59,RANDBETWEEN(1,$E$3)),"")</f>
        <v/>
      </c>
      <c r="N95" s="4" t="str">
        <f t="shared" ca="1" si="17"/>
        <v/>
      </c>
      <c r="O95" s="4" t="str">
        <f t="shared" ca="1" si="17"/>
        <v/>
      </c>
      <c r="P95" s="4" t="str">
        <f t="shared" ca="1" si="17"/>
        <v/>
      </c>
      <c r="Q95" s="4" t="str">
        <f t="shared" ca="1" si="17"/>
        <v/>
      </c>
      <c r="R95" s="4" t="str">
        <f t="shared" ca="1" si="17"/>
        <v/>
      </c>
      <c r="S95" s="4" t="str">
        <f t="shared" ca="1" si="17"/>
        <v/>
      </c>
      <c r="T95" s="4" t="str">
        <f t="shared" ca="1" si="17"/>
        <v/>
      </c>
      <c r="U95" s="4" t="str">
        <f t="shared" ca="1" si="17"/>
        <v/>
      </c>
      <c r="V95" s="4" t="str">
        <f t="shared" ca="1" si="17"/>
        <v/>
      </c>
      <c r="W95" s="4" t="str">
        <f t="shared" ref="W95:AF104" ca="1" si="18">IF(COLUMN()-2&lt;=$E$3,INDEX($B$10:$B$59,RANDBETWEEN(1,$E$3)),"")</f>
        <v/>
      </c>
      <c r="X95" s="4" t="str">
        <f t="shared" ca="1" si="18"/>
        <v/>
      </c>
      <c r="Y95" s="4" t="str">
        <f t="shared" ca="1" si="18"/>
        <v/>
      </c>
      <c r="Z95" s="4" t="str">
        <f t="shared" ca="1" si="18"/>
        <v/>
      </c>
      <c r="AA95" s="4" t="str">
        <f t="shared" ca="1" si="18"/>
        <v/>
      </c>
      <c r="AB95" s="4" t="str">
        <f t="shared" ca="1" si="18"/>
        <v/>
      </c>
      <c r="AC95" s="4" t="str">
        <f t="shared" ca="1" si="18"/>
        <v/>
      </c>
      <c r="AD95" s="4" t="str">
        <f t="shared" ca="1" si="18"/>
        <v/>
      </c>
      <c r="AE95" s="4" t="str">
        <f t="shared" ca="1" si="18"/>
        <v/>
      </c>
      <c r="AF95" s="4" t="str">
        <f t="shared" ca="1" si="18"/>
        <v/>
      </c>
      <c r="AG95" s="4" t="str">
        <f t="shared" ref="AG95:AP104" ca="1" si="19">IF(COLUMN()-2&lt;=$E$3,INDEX($B$10:$B$59,RANDBETWEEN(1,$E$3)),"")</f>
        <v/>
      </c>
      <c r="AH95" s="4" t="str">
        <f t="shared" ca="1" si="19"/>
        <v/>
      </c>
      <c r="AI95" s="4" t="str">
        <f t="shared" ca="1" si="19"/>
        <v/>
      </c>
      <c r="AJ95" s="4" t="str">
        <f t="shared" ca="1" si="19"/>
        <v/>
      </c>
      <c r="AK95" s="4" t="str">
        <f t="shared" ca="1" si="19"/>
        <v/>
      </c>
      <c r="AL95" s="4" t="str">
        <f t="shared" ca="1" si="19"/>
        <v/>
      </c>
      <c r="AM95" s="4" t="str">
        <f t="shared" ca="1" si="19"/>
        <v/>
      </c>
      <c r="AN95" s="4" t="str">
        <f t="shared" ca="1" si="19"/>
        <v/>
      </c>
      <c r="AO95" s="4" t="str">
        <f t="shared" ca="1" si="19"/>
        <v/>
      </c>
      <c r="AP95" s="4" t="str">
        <f t="shared" ca="1" si="19"/>
        <v/>
      </c>
      <c r="AQ95" s="4" t="str">
        <f t="shared" ref="AQ95:AZ104" ca="1" si="20">IF(COLUMN()-2&lt;=$E$3,INDEX($B$10:$B$59,RANDBETWEEN(1,$E$3)),"")</f>
        <v/>
      </c>
      <c r="AR95" s="4" t="str">
        <f t="shared" ca="1" si="20"/>
        <v/>
      </c>
      <c r="AS95" s="4" t="str">
        <f t="shared" ca="1" si="20"/>
        <v/>
      </c>
      <c r="AT95" s="4" t="str">
        <f t="shared" ca="1" si="20"/>
        <v/>
      </c>
      <c r="AU95" s="4" t="str">
        <f t="shared" ca="1" si="20"/>
        <v/>
      </c>
      <c r="AV95" s="4" t="str">
        <f t="shared" ca="1" si="20"/>
        <v/>
      </c>
      <c r="AW95" s="4" t="str">
        <f t="shared" ca="1" si="20"/>
        <v/>
      </c>
      <c r="AX95" s="4" t="str">
        <f t="shared" ca="1" si="20"/>
        <v/>
      </c>
      <c r="AY95" s="4" t="str">
        <f t="shared" ca="1" si="20"/>
        <v/>
      </c>
      <c r="AZ95" s="4" t="str">
        <f t="shared" ca="1" si="20"/>
        <v/>
      </c>
      <c r="BA95" s="4" t="str">
        <f t="shared" si="5"/>
        <v/>
      </c>
    </row>
    <row r="96" spans="1:53">
      <c r="A96">
        <v>32</v>
      </c>
      <c r="C96" s="4" t="str">
        <f t="shared" ca="1" si="16"/>
        <v/>
      </c>
      <c r="D96" s="4" t="str">
        <f t="shared" ca="1" si="16"/>
        <v/>
      </c>
      <c r="E96" s="4" t="str">
        <f t="shared" ca="1" si="16"/>
        <v/>
      </c>
      <c r="F96" s="4" t="str">
        <f t="shared" ca="1" si="16"/>
        <v/>
      </c>
      <c r="G96" s="4" t="str">
        <f t="shared" ca="1" si="16"/>
        <v/>
      </c>
      <c r="H96" s="4" t="str">
        <f t="shared" ca="1" si="16"/>
        <v/>
      </c>
      <c r="I96" s="4" t="str">
        <f t="shared" ca="1" si="16"/>
        <v/>
      </c>
      <c r="J96" s="4" t="str">
        <f t="shared" ca="1" si="16"/>
        <v/>
      </c>
      <c r="K96" s="4" t="str">
        <f t="shared" ca="1" si="16"/>
        <v/>
      </c>
      <c r="L96" s="4" t="str">
        <f t="shared" ca="1" si="16"/>
        <v/>
      </c>
      <c r="M96" s="4" t="str">
        <f t="shared" ca="1" si="17"/>
        <v/>
      </c>
      <c r="N96" s="4" t="str">
        <f t="shared" ca="1" si="17"/>
        <v/>
      </c>
      <c r="O96" s="4" t="str">
        <f t="shared" ca="1" si="17"/>
        <v/>
      </c>
      <c r="P96" s="4" t="str">
        <f t="shared" ca="1" si="17"/>
        <v/>
      </c>
      <c r="Q96" s="4" t="str">
        <f t="shared" ca="1" si="17"/>
        <v/>
      </c>
      <c r="R96" s="4" t="str">
        <f t="shared" ca="1" si="17"/>
        <v/>
      </c>
      <c r="S96" s="4" t="str">
        <f t="shared" ca="1" si="17"/>
        <v/>
      </c>
      <c r="T96" s="4" t="str">
        <f t="shared" ca="1" si="17"/>
        <v/>
      </c>
      <c r="U96" s="4" t="str">
        <f t="shared" ca="1" si="17"/>
        <v/>
      </c>
      <c r="V96" s="4" t="str">
        <f t="shared" ca="1" si="17"/>
        <v/>
      </c>
      <c r="W96" s="4" t="str">
        <f t="shared" ca="1" si="18"/>
        <v/>
      </c>
      <c r="X96" s="4" t="str">
        <f t="shared" ca="1" si="18"/>
        <v/>
      </c>
      <c r="Y96" s="4" t="str">
        <f t="shared" ca="1" si="18"/>
        <v/>
      </c>
      <c r="Z96" s="4" t="str">
        <f t="shared" ca="1" si="18"/>
        <v/>
      </c>
      <c r="AA96" s="4" t="str">
        <f t="shared" ca="1" si="18"/>
        <v/>
      </c>
      <c r="AB96" s="4" t="str">
        <f t="shared" ca="1" si="18"/>
        <v/>
      </c>
      <c r="AC96" s="4" t="str">
        <f t="shared" ca="1" si="18"/>
        <v/>
      </c>
      <c r="AD96" s="4" t="str">
        <f t="shared" ca="1" si="18"/>
        <v/>
      </c>
      <c r="AE96" s="4" t="str">
        <f t="shared" ca="1" si="18"/>
        <v/>
      </c>
      <c r="AF96" s="4" t="str">
        <f t="shared" ca="1" si="18"/>
        <v/>
      </c>
      <c r="AG96" s="4" t="str">
        <f t="shared" ca="1" si="19"/>
        <v/>
      </c>
      <c r="AH96" s="4" t="str">
        <f t="shared" ca="1" si="19"/>
        <v/>
      </c>
      <c r="AI96" s="4" t="str">
        <f t="shared" ca="1" si="19"/>
        <v/>
      </c>
      <c r="AJ96" s="4" t="str">
        <f t="shared" ca="1" si="19"/>
        <v/>
      </c>
      <c r="AK96" s="4" t="str">
        <f t="shared" ca="1" si="19"/>
        <v/>
      </c>
      <c r="AL96" s="4" t="str">
        <f t="shared" ca="1" si="19"/>
        <v/>
      </c>
      <c r="AM96" s="4" t="str">
        <f t="shared" ca="1" si="19"/>
        <v/>
      </c>
      <c r="AN96" s="4" t="str">
        <f t="shared" ca="1" si="19"/>
        <v/>
      </c>
      <c r="AO96" s="4" t="str">
        <f t="shared" ca="1" si="19"/>
        <v/>
      </c>
      <c r="AP96" s="4" t="str">
        <f t="shared" ca="1" si="19"/>
        <v/>
      </c>
      <c r="AQ96" s="4" t="str">
        <f t="shared" ca="1" si="20"/>
        <v/>
      </c>
      <c r="AR96" s="4" t="str">
        <f t="shared" ca="1" si="20"/>
        <v/>
      </c>
      <c r="AS96" s="4" t="str">
        <f t="shared" ca="1" si="20"/>
        <v/>
      </c>
      <c r="AT96" s="4" t="str">
        <f t="shared" ca="1" si="20"/>
        <v/>
      </c>
      <c r="AU96" s="4" t="str">
        <f t="shared" ca="1" si="20"/>
        <v/>
      </c>
      <c r="AV96" s="4" t="str">
        <f t="shared" ca="1" si="20"/>
        <v/>
      </c>
      <c r="AW96" s="4" t="str">
        <f t="shared" ca="1" si="20"/>
        <v/>
      </c>
      <c r="AX96" s="4" t="str">
        <f t="shared" ca="1" si="20"/>
        <v/>
      </c>
      <c r="AY96" s="4" t="str">
        <f t="shared" ca="1" si="20"/>
        <v/>
      </c>
      <c r="AZ96" s="4" t="str">
        <f t="shared" ca="1" si="20"/>
        <v/>
      </c>
      <c r="BA96" s="4" t="str">
        <f t="shared" si="5"/>
        <v/>
      </c>
    </row>
    <row r="97" spans="1:53">
      <c r="A97">
        <v>33</v>
      </c>
      <c r="C97" s="4" t="str">
        <f t="shared" ca="1" si="16"/>
        <v/>
      </c>
      <c r="D97" s="4" t="str">
        <f t="shared" ca="1" si="16"/>
        <v/>
      </c>
      <c r="E97" s="4" t="str">
        <f t="shared" ca="1" si="16"/>
        <v/>
      </c>
      <c r="F97" s="4" t="str">
        <f t="shared" ca="1" si="16"/>
        <v/>
      </c>
      <c r="G97" s="4" t="str">
        <f t="shared" ca="1" si="16"/>
        <v/>
      </c>
      <c r="H97" s="4" t="str">
        <f t="shared" ca="1" si="16"/>
        <v/>
      </c>
      <c r="I97" s="4" t="str">
        <f t="shared" ca="1" si="16"/>
        <v/>
      </c>
      <c r="J97" s="4" t="str">
        <f t="shared" ca="1" si="16"/>
        <v/>
      </c>
      <c r="K97" s="4" t="str">
        <f t="shared" ca="1" si="16"/>
        <v/>
      </c>
      <c r="L97" s="4" t="str">
        <f t="shared" ca="1" si="16"/>
        <v/>
      </c>
      <c r="M97" s="4" t="str">
        <f t="shared" ca="1" si="17"/>
        <v/>
      </c>
      <c r="N97" s="4" t="str">
        <f t="shared" ca="1" si="17"/>
        <v/>
      </c>
      <c r="O97" s="4" t="str">
        <f t="shared" ca="1" si="17"/>
        <v/>
      </c>
      <c r="P97" s="4" t="str">
        <f t="shared" ca="1" si="17"/>
        <v/>
      </c>
      <c r="Q97" s="4" t="str">
        <f t="shared" ca="1" si="17"/>
        <v/>
      </c>
      <c r="R97" s="4" t="str">
        <f t="shared" ca="1" si="17"/>
        <v/>
      </c>
      <c r="S97" s="4" t="str">
        <f t="shared" ca="1" si="17"/>
        <v/>
      </c>
      <c r="T97" s="4" t="str">
        <f t="shared" ca="1" si="17"/>
        <v/>
      </c>
      <c r="U97" s="4" t="str">
        <f t="shared" ca="1" si="17"/>
        <v/>
      </c>
      <c r="V97" s="4" t="str">
        <f t="shared" ca="1" si="17"/>
        <v/>
      </c>
      <c r="W97" s="4" t="str">
        <f t="shared" ca="1" si="18"/>
        <v/>
      </c>
      <c r="X97" s="4" t="str">
        <f t="shared" ca="1" si="18"/>
        <v/>
      </c>
      <c r="Y97" s="4" t="str">
        <f t="shared" ca="1" si="18"/>
        <v/>
      </c>
      <c r="Z97" s="4" t="str">
        <f t="shared" ca="1" si="18"/>
        <v/>
      </c>
      <c r="AA97" s="4" t="str">
        <f t="shared" ca="1" si="18"/>
        <v/>
      </c>
      <c r="AB97" s="4" t="str">
        <f t="shared" ca="1" si="18"/>
        <v/>
      </c>
      <c r="AC97" s="4" t="str">
        <f t="shared" ca="1" si="18"/>
        <v/>
      </c>
      <c r="AD97" s="4" t="str">
        <f t="shared" ca="1" si="18"/>
        <v/>
      </c>
      <c r="AE97" s="4" t="str">
        <f t="shared" ca="1" si="18"/>
        <v/>
      </c>
      <c r="AF97" s="4" t="str">
        <f t="shared" ca="1" si="18"/>
        <v/>
      </c>
      <c r="AG97" s="4" t="str">
        <f t="shared" ca="1" si="19"/>
        <v/>
      </c>
      <c r="AH97" s="4" t="str">
        <f t="shared" ca="1" si="19"/>
        <v/>
      </c>
      <c r="AI97" s="4" t="str">
        <f t="shared" ca="1" si="19"/>
        <v/>
      </c>
      <c r="AJ97" s="4" t="str">
        <f t="shared" ca="1" si="19"/>
        <v/>
      </c>
      <c r="AK97" s="4" t="str">
        <f t="shared" ca="1" si="19"/>
        <v/>
      </c>
      <c r="AL97" s="4" t="str">
        <f t="shared" ca="1" si="19"/>
        <v/>
      </c>
      <c r="AM97" s="4" t="str">
        <f t="shared" ca="1" si="19"/>
        <v/>
      </c>
      <c r="AN97" s="4" t="str">
        <f t="shared" ca="1" si="19"/>
        <v/>
      </c>
      <c r="AO97" s="4" t="str">
        <f t="shared" ca="1" si="19"/>
        <v/>
      </c>
      <c r="AP97" s="4" t="str">
        <f t="shared" ca="1" si="19"/>
        <v/>
      </c>
      <c r="AQ97" s="4" t="str">
        <f t="shared" ca="1" si="20"/>
        <v/>
      </c>
      <c r="AR97" s="4" t="str">
        <f t="shared" ca="1" si="20"/>
        <v/>
      </c>
      <c r="AS97" s="4" t="str">
        <f t="shared" ca="1" si="20"/>
        <v/>
      </c>
      <c r="AT97" s="4" t="str">
        <f t="shared" ca="1" si="20"/>
        <v/>
      </c>
      <c r="AU97" s="4" t="str">
        <f t="shared" ca="1" si="20"/>
        <v/>
      </c>
      <c r="AV97" s="4" t="str">
        <f t="shared" ca="1" si="20"/>
        <v/>
      </c>
      <c r="AW97" s="4" t="str">
        <f t="shared" ca="1" si="20"/>
        <v/>
      </c>
      <c r="AX97" s="4" t="str">
        <f t="shared" ca="1" si="20"/>
        <v/>
      </c>
      <c r="AY97" s="4" t="str">
        <f t="shared" ca="1" si="20"/>
        <v/>
      </c>
      <c r="AZ97" s="4" t="str">
        <f t="shared" ca="1" si="20"/>
        <v/>
      </c>
      <c r="BA97" s="4" t="str">
        <f t="shared" ref="BA97:BA128" si="21">IF($E$3=0,"",AVERAGE(C97:AZ97))</f>
        <v/>
      </c>
    </row>
    <row r="98" spans="1:53">
      <c r="A98">
        <v>34</v>
      </c>
      <c r="C98" s="4" t="str">
        <f t="shared" ca="1" si="16"/>
        <v/>
      </c>
      <c r="D98" s="4" t="str">
        <f t="shared" ca="1" si="16"/>
        <v/>
      </c>
      <c r="E98" s="4" t="str">
        <f t="shared" ca="1" si="16"/>
        <v/>
      </c>
      <c r="F98" s="4" t="str">
        <f t="shared" ca="1" si="16"/>
        <v/>
      </c>
      <c r="G98" s="4" t="str">
        <f t="shared" ca="1" si="16"/>
        <v/>
      </c>
      <c r="H98" s="4" t="str">
        <f t="shared" ca="1" si="16"/>
        <v/>
      </c>
      <c r="I98" s="4" t="str">
        <f t="shared" ca="1" si="16"/>
        <v/>
      </c>
      <c r="J98" s="4" t="str">
        <f t="shared" ca="1" si="16"/>
        <v/>
      </c>
      <c r="K98" s="4" t="str">
        <f t="shared" ca="1" si="16"/>
        <v/>
      </c>
      <c r="L98" s="4" t="str">
        <f t="shared" ca="1" si="16"/>
        <v/>
      </c>
      <c r="M98" s="4" t="str">
        <f t="shared" ca="1" si="17"/>
        <v/>
      </c>
      <c r="N98" s="4" t="str">
        <f t="shared" ca="1" si="17"/>
        <v/>
      </c>
      <c r="O98" s="4" t="str">
        <f t="shared" ca="1" si="17"/>
        <v/>
      </c>
      <c r="P98" s="4" t="str">
        <f t="shared" ca="1" si="17"/>
        <v/>
      </c>
      <c r="Q98" s="4" t="str">
        <f t="shared" ca="1" si="17"/>
        <v/>
      </c>
      <c r="R98" s="4" t="str">
        <f t="shared" ca="1" si="17"/>
        <v/>
      </c>
      <c r="S98" s="4" t="str">
        <f t="shared" ca="1" si="17"/>
        <v/>
      </c>
      <c r="T98" s="4" t="str">
        <f t="shared" ca="1" si="17"/>
        <v/>
      </c>
      <c r="U98" s="4" t="str">
        <f t="shared" ca="1" si="17"/>
        <v/>
      </c>
      <c r="V98" s="4" t="str">
        <f t="shared" ca="1" si="17"/>
        <v/>
      </c>
      <c r="W98" s="4" t="str">
        <f t="shared" ca="1" si="18"/>
        <v/>
      </c>
      <c r="X98" s="4" t="str">
        <f t="shared" ca="1" si="18"/>
        <v/>
      </c>
      <c r="Y98" s="4" t="str">
        <f t="shared" ca="1" si="18"/>
        <v/>
      </c>
      <c r="Z98" s="4" t="str">
        <f t="shared" ca="1" si="18"/>
        <v/>
      </c>
      <c r="AA98" s="4" t="str">
        <f t="shared" ca="1" si="18"/>
        <v/>
      </c>
      <c r="AB98" s="4" t="str">
        <f t="shared" ca="1" si="18"/>
        <v/>
      </c>
      <c r="AC98" s="4" t="str">
        <f t="shared" ca="1" si="18"/>
        <v/>
      </c>
      <c r="AD98" s="4" t="str">
        <f t="shared" ca="1" si="18"/>
        <v/>
      </c>
      <c r="AE98" s="4" t="str">
        <f t="shared" ca="1" si="18"/>
        <v/>
      </c>
      <c r="AF98" s="4" t="str">
        <f t="shared" ca="1" si="18"/>
        <v/>
      </c>
      <c r="AG98" s="4" t="str">
        <f t="shared" ca="1" si="19"/>
        <v/>
      </c>
      <c r="AH98" s="4" t="str">
        <f t="shared" ca="1" si="19"/>
        <v/>
      </c>
      <c r="AI98" s="4" t="str">
        <f t="shared" ca="1" si="19"/>
        <v/>
      </c>
      <c r="AJ98" s="4" t="str">
        <f t="shared" ca="1" si="19"/>
        <v/>
      </c>
      <c r="AK98" s="4" t="str">
        <f t="shared" ca="1" si="19"/>
        <v/>
      </c>
      <c r="AL98" s="4" t="str">
        <f t="shared" ca="1" si="19"/>
        <v/>
      </c>
      <c r="AM98" s="4" t="str">
        <f t="shared" ca="1" si="19"/>
        <v/>
      </c>
      <c r="AN98" s="4" t="str">
        <f t="shared" ca="1" si="19"/>
        <v/>
      </c>
      <c r="AO98" s="4" t="str">
        <f t="shared" ca="1" si="19"/>
        <v/>
      </c>
      <c r="AP98" s="4" t="str">
        <f t="shared" ca="1" si="19"/>
        <v/>
      </c>
      <c r="AQ98" s="4" t="str">
        <f t="shared" ca="1" si="20"/>
        <v/>
      </c>
      <c r="AR98" s="4" t="str">
        <f t="shared" ca="1" si="20"/>
        <v/>
      </c>
      <c r="AS98" s="4" t="str">
        <f t="shared" ca="1" si="20"/>
        <v/>
      </c>
      <c r="AT98" s="4" t="str">
        <f t="shared" ca="1" si="20"/>
        <v/>
      </c>
      <c r="AU98" s="4" t="str">
        <f t="shared" ca="1" si="20"/>
        <v/>
      </c>
      <c r="AV98" s="4" t="str">
        <f t="shared" ca="1" si="20"/>
        <v/>
      </c>
      <c r="AW98" s="4" t="str">
        <f t="shared" ca="1" si="20"/>
        <v/>
      </c>
      <c r="AX98" s="4" t="str">
        <f t="shared" ca="1" si="20"/>
        <v/>
      </c>
      <c r="AY98" s="4" t="str">
        <f t="shared" ca="1" si="20"/>
        <v/>
      </c>
      <c r="AZ98" s="4" t="str">
        <f t="shared" ca="1" si="20"/>
        <v/>
      </c>
      <c r="BA98" s="4" t="str">
        <f t="shared" si="21"/>
        <v/>
      </c>
    </row>
    <row r="99" spans="1:53">
      <c r="A99">
        <v>35</v>
      </c>
      <c r="C99" s="4" t="str">
        <f t="shared" ca="1" si="16"/>
        <v/>
      </c>
      <c r="D99" s="4" t="str">
        <f t="shared" ca="1" si="16"/>
        <v/>
      </c>
      <c r="E99" s="4" t="str">
        <f t="shared" ca="1" si="16"/>
        <v/>
      </c>
      <c r="F99" s="4" t="str">
        <f t="shared" ca="1" si="16"/>
        <v/>
      </c>
      <c r="G99" s="4" t="str">
        <f t="shared" ca="1" si="16"/>
        <v/>
      </c>
      <c r="H99" s="4" t="str">
        <f t="shared" ca="1" si="16"/>
        <v/>
      </c>
      <c r="I99" s="4" t="str">
        <f t="shared" ca="1" si="16"/>
        <v/>
      </c>
      <c r="J99" s="4" t="str">
        <f t="shared" ca="1" si="16"/>
        <v/>
      </c>
      <c r="K99" s="4" t="str">
        <f t="shared" ca="1" si="16"/>
        <v/>
      </c>
      <c r="L99" s="4" t="str">
        <f t="shared" ca="1" si="16"/>
        <v/>
      </c>
      <c r="M99" s="4" t="str">
        <f t="shared" ca="1" si="17"/>
        <v/>
      </c>
      <c r="N99" s="4" t="str">
        <f t="shared" ca="1" si="17"/>
        <v/>
      </c>
      <c r="O99" s="4" t="str">
        <f t="shared" ca="1" si="17"/>
        <v/>
      </c>
      <c r="P99" s="4" t="str">
        <f t="shared" ca="1" si="17"/>
        <v/>
      </c>
      <c r="Q99" s="4" t="str">
        <f t="shared" ca="1" si="17"/>
        <v/>
      </c>
      <c r="R99" s="4" t="str">
        <f t="shared" ca="1" si="17"/>
        <v/>
      </c>
      <c r="S99" s="4" t="str">
        <f t="shared" ca="1" si="17"/>
        <v/>
      </c>
      <c r="T99" s="4" t="str">
        <f t="shared" ca="1" si="17"/>
        <v/>
      </c>
      <c r="U99" s="4" t="str">
        <f t="shared" ca="1" si="17"/>
        <v/>
      </c>
      <c r="V99" s="4" t="str">
        <f t="shared" ca="1" si="17"/>
        <v/>
      </c>
      <c r="W99" s="4" t="str">
        <f t="shared" ca="1" si="18"/>
        <v/>
      </c>
      <c r="X99" s="4" t="str">
        <f t="shared" ca="1" si="18"/>
        <v/>
      </c>
      <c r="Y99" s="4" t="str">
        <f t="shared" ca="1" si="18"/>
        <v/>
      </c>
      <c r="Z99" s="4" t="str">
        <f t="shared" ca="1" si="18"/>
        <v/>
      </c>
      <c r="AA99" s="4" t="str">
        <f t="shared" ca="1" si="18"/>
        <v/>
      </c>
      <c r="AB99" s="4" t="str">
        <f t="shared" ca="1" si="18"/>
        <v/>
      </c>
      <c r="AC99" s="4" t="str">
        <f t="shared" ca="1" si="18"/>
        <v/>
      </c>
      <c r="AD99" s="4" t="str">
        <f t="shared" ca="1" si="18"/>
        <v/>
      </c>
      <c r="AE99" s="4" t="str">
        <f t="shared" ca="1" si="18"/>
        <v/>
      </c>
      <c r="AF99" s="4" t="str">
        <f t="shared" ca="1" si="18"/>
        <v/>
      </c>
      <c r="AG99" s="4" t="str">
        <f t="shared" ca="1" si="19"/>
        <v/>
      </c>
      <c r="AH99" s="4" t="str">
        <f t="shared" ca="1" si="19"/>
        <v/>
      </c>
      <c r="AI99" s="4" t="str">
        <f t="shared" ca="1" si="19"/>
        <v/>
      </c>
      <c r="AJ99" s="4" t="str">
        <f t="shared" ca="1" si="19"/>
        <v/>
      </c>
      <c r="AK99" s="4" t="str">
        <f t="shared" ca="1" si="19"/>
        <v/>
      </c>
      <c r="AL99" s="4" t="str">
        <f t="shared" ca="1" si="19"/>
        <v/>
      </c>
      <c r="AM99" s="4" t="str">
        <f t="shared" ca="1" si="19"/>
        <v/>
      </c>
      <c r="AN99" s="4" t="str">
        <f t="shared" ca="1" si="19"/>
        <v/>
      </c>
      <c r="AO99" s="4" t="str">
        <f t="shared" ca="1" si="19"/>
        <v/>
      </c>
      <c r="AP99" s="4" t="str">
        <f t="shared" ca="1" si="19"/>
        <v/>
      </c>
      <c r="AQ99" s="4" t="str">
        <f t="shared" ca="1" si="20"/>
        <v/>
      </c>
      <c r="AR99" s="4" t="str">
        <f t="shared" ca="1" si="20"/>
        <v/>
      </c>
      <c r="AS99" s="4" t="str">
        <f t="shared" ca="1" si="20"/>
        <v/>
      </c>
      <c r="AT99" s="4" t="str">
        <f t="shared" ca="1" si="20"/>
        <v/>
      </c>
      <c r="AU99" s="4" t="str">
        <f t="shared" ca="1" si="20"/>
        <v/>
      </c>
      <c r="AV99" s="4" t="str">
        <f t="shared" ca="1" si="20"/>
        <v/>
      </c>
      <c r="AW99" s="4" t="str">
        <f t="shared" ca="1" si="20"/>
        <v/>
      </c>
      <c r="AX99" s="4" t="str">
        <f t="shared" ca="1" si="20"/>
        <v/>
      </c>
      <c r="AY99" s="4" t="str">
        <f t="shared" ca="1" si="20"/>
        <v/>
      </c>
      <c r="AZ99" s="4" t="str">
        <f t="shared" ca="1" si="20"/>
        <v/>
      </c>
      <c r="BA99" s="4" t="str">
        <f t="shared" si="21"/>
        <v/>
      </c>
    </row>
    <row r="100" spans="1:53">
      <c r="A100">
        <v>36</v>
      </c>
      <c r="C100" s="4" t="str">
        <f t="shared" ca="1" si="16"/>
        <v/>
      </c>
      <c r="D100" s="4" t="str">
        <f t="shared" ca="1" si="16"/>
        <v/>
      </c>
      <c r="E100" s="4" t="str">
        <f t="shared" ca="1" si="16"/>
        <v/>
      </c>
      <c r="F100" s="4" t="str">
        <f t="shared" ca="1" si="16"/>
        <v/>
      </c>
      <c r="G100" s="4" t="str">
        <f t="shared" ca="1" si="16"/>
        <v/>
      </c>
      <c r="H100" s="4" t="str">
        <f t="shared" ca="1" si="16"/>
        <v/>
      </c>
      <c r="I100" s="4" t="str">
        <f t="shared" ca="1" si="16"/>
        <v/>
      </c>
      <c r="J100" s="4" t="str">
        <f t="shared" ca="1" si="16"/>
        <v/>
      </c>
      <c r="K100" s="4" t="str">
        <f t="shared" ca="1" si="16"/>
        <v/>
      </c>
      <c r="L100" s="4" t="str">
        <f t="shared" ca="1" si="16"/>
        <v/>
      </c>
      <c r="M100" s="4" t="str">
        <f t="shared" ca="1" si="17"/>
        <v/>
      </c>
      <c r="N100" s="4" t="str">
        <f t="shared" ca="1" si="17"/>
        <v/>
      </c>
      <c r="O100" s="4" t="str">
        <f t="shared" ca="1" si="17"/>
        <v/>
      </c>
      <c r="P100" s="4" t="str">
        <f t="shared" ca="1" si="17"/>
        <v/>
      </c>
      <c r="Q100" s="4" t="str">
        <f t="shared" ca="1" si="17"/>
        <v/>
      </c>
      <c r="R100" s="4" t="str">
        <f t="shared" ca="1" si="17"/>
        <v/>
      </c>
      <c r="S100" s="4" t="str">
        <f t="shared" ca="1" si="17"/>
        <v/>
      </c>
      <c r="T100" s="4" t="str">
        <f t="shared" ca="1" si="17"/>
        <v/>
      </c>
      <c r="U100" s="4" t="str">
        <f t="shared" ca="1" si="17"/>
        <v/>
      </c>
      <c r="V100" s="4" t="str">
        <f t="shared" ca="1" si="17"/>
        <v/>
      </c>
      <c r="W100" s="4" t="str">
        <f t="shared" ca="1" si="18"/>
        <v/>
      </c>
      <c r="X100" s="4" t="str">
        <f t="shared" ca="1" si="18"/>
        <v/>
      </c>
      <c r="Y100" s="4" t="str">
        <f t="shared" ca="1" si="18"/>
        <v/>
      </c>
      <c r="Z100" s="4" t="str">
        <f t="shared" ca="1" si="18"/>
        <v/>
      </c>
      <c r="AA100" s="4" t="str">
        <f t="shared" ca="1" si="18"/>
        <v/>
      </c>
      <c r="AB100" s="4" t="str">
        <f t="shared" ca="1" si="18"/>
        <v/>
      </c>
      <c r="AC100" s="4" t="str">
        <f t="shared" ca="1" si="18"/>
        <v/>
      </c>
      <c r="AD100" s="4" t="str">
        <f t="shared" ca="1" si="18"/>
        <v/>
      </c>
      <c r="AE100" s="4" t="str">
        <f t="shared" ca="1" si="18"/>
        <v/>
      </c>
      <c r="AF100" s="4" t="str">
        <f t="shared" ca="1" si="18"/>
        <v/>
      </c>
      <c r="AG100" s="4" t="str">
        <f t="shared" ca="1" si="19"/>
        <v/>
      </c>
      <c r="AH100" s="4" t="str">
        <f t="shared" ca="1" si="19"/>
        <v/>
      </c>
      <c r="AI100" s="4" t="str">
        <f t="shared" ca="1" si="19"/>
        <v/>
      </c>
      <c r="AJ100" s="4" t="str">
        <f t="shared" ca="1" si="19"/>
        <v/>
      </c>
      <c r="AK100" s="4" t="str">
        <f t="shared" ca="1" si="19"/>
        <v/>
      </c>
      <c r="AL100" s="4" t="str">
        <f t="shared" ca="1" si="19"/>
        <v/>
      </c>
      <c r="AM100" s="4" t="str">
        <f t="shared" ca="1" si="19"/>
        <v/>
      </c>
      <c r="AN100" s="4" t="str">
        <f t="shared" ca="1" si="19"/>
        <v/>
      </c>
      <c r="AO100" s="4" t="str">
        <f t="shared" ca="1" si="19"/>
        <v/>
      </c>
      <c r="AP100" s="4" t="str">
        <f t="shared" ca="1" si="19"/>
        <v/>
      </c>
      <c r="AQ100" s="4" t="str">
        <f t="shared" ca="1" si="20"/>
        <v/>
      </c>
      <c r="AR100" s="4" t="str">
        <f t="shared" ca="1" si="20"/>
        <v/>
      </c>
      <c r="AS100" s="4" t="str">
        <f t="shared" ca="1" si="20"/>
        <v/>
      </c>
      <c r="AT100" s="4" t="str">
        <f t="shared" ca="1" si="20"/>
        <v/>
      </c>
      <c r="AU100" s="4" t="str">
        <f t="shared" ca="1" si="20"/>
        <v/>
      </c>
      <c r="AV100" s="4" t="str">
        <f t="shared" ca="1" si="20"/>
        <v/>
      </c>
      <c r="AW100" s="4" t="str">
        <f t="shared" ca="1" si="20"/>
        <v/>
      </c>
      <c r="AX100" s="4" t="str">
        <f t="shared" ca="1" si="20"/>
        <v/>
      </c>
      <c r="AY100" s="4" t="str">
        <f t="shared" ca="1" si="20"/>
        <v/>
      </c>
      <c r="AZ100" s="4" t="str">
        <f t="shared" ca="1" si="20"/>
        <v/>
      </c>
      <c r="BA100" s="4" t="str">
        <f t="shared" si="21"/>
        <v/>
      </c>
    </row>
    <row r="101" spans="1:53">
      <c r="A101">
        <v>37</v>
      </c>
      <c r="C101" s="4" t="str">
        <f t="shared" ca="1" si="16"/>
        <v/>
      </c>
      <c r="D101" s="4" t="str">
        <f t="shared" ca="1" si="16"/>
        <v/>
      </c>
      <c r="E101" s="4" t="str">
        <f t="shared" ca="1" si="16"/>
        <v/>
      </c>
      <c r="F101" s="4" t="str">
        <f t="shared" ca="1" si="16"/>
        <v/>
      </c>
      <c r="G101" s="4" t="str">
        <f t="shared" ca="1" si="16"/>
        <v/>
      </c>
      <c r="H101" s="4" t="str">
        <f t="shared" ca="1" si="16"/>
        <v/>
      </c>
      <c r="I101" s="4" t="str">
        <f t="shared" ca="1" si="16"/>
        <v/>
      </c>
      <c r="J101" s="4" t="str">
        <f t="shared" ca="1" si="16"/>
        <v/>
      </c>
      <c r="K101" s="4" t="str">
        <f t="shared" ca="1" si="16"/>
        <v/>
      </c>
      <c r="L101" s="4" t="str">
        <f t="shared" ca="1" si="16"/>
        <v/>
      </c>
      <c r="M101" s="4" t="str">
        <f t="shared" ca="1" si="17"/>
        <v/>
      </c>
      <c r="N101" s="4" t="str">
        <f t="shared" ca="1" si="17"/>
        <v/>
      </c>
      <c r="O101" s="4" t="str">
        <f t="shared" ca="1" si="17"/>
        <v/>
      </c>
      <c r="P101" s="4" t="str">
        <f t="shared" ca="1" si="17"/>
        <v/>
      </c>
      <c r="Q101" s="4" t="str">
        <f t="shared" ca="1" si="17"/>
        <v/>
      </c>
      <c r="R101" s="4" t="str">
        <f t="shared" ca="1" si="17"/>
        <v/>
      </c>
      <c r="S101" s="4" t="str">
        <f t="shared" ca="1" si="17"/>
        <v/>
      </c>
      <c r="T101" s="4" t="str">
        <f t="shared" ca="1" si="17"/>
        <v/>
      </c>
      <c r="U101" s="4" t="str">
        <f t="shared" ca="1" si="17"/>
        <v/>
      </c>
      <c r="V101" s="4" t="str">
        <f t="shared" ca="1" si="17"/>
        <v/>
      </c>
      <c r="W101" s="4" t="str">
        <f t="shared" ca="1" si="18"/>
        <v/>
      </c>
      <c r="X101" s="4" t="str">
        <f t="shared" ca="1" si="18"/>
        <v/>
      </c>
      <c r="Y101" s="4" t="str">
        <f t="shared" ca="1" si="18"/>
        <v/>
      </c>
      <c r="Z101" s="4" t="str">
        <f t="shared" ca="1" si="18"/>
        <v/>
      </c>
      <c r="AA101" s="4" t="str">
        <f t="shared" ca="1" si="18"/>
        <v/>
      </c>
      <c r="AB101" s="4" t="str">
        <f t="shared" ca="1" si="18"/>
        <v/>
      </c>
      <c r="AC101" s="4" t="str">
        <f t="shared" ca="1" si="18"/>
        <v/>
      </c>
      <c r="AD101" s="4" t="str">
        <f t="shared" ca="1" si="18"/>
        <v/>
      </c>
      <c r="AE101" s="4" t="str">
        <f t="shared" ca="1" si="18"/>
        <v/>
      </c>
      <c r="AF101" s="4" t="str">
        <f t="shared" ca="1" si="18"/>
        <v/>
      </c>
      <c r="AG101" s="4" t="str">
        <f t="shared" ca="1" si="19"/>
        <v/>
      </c>
      <c r="AH101" s="4" t="str">
        <f t="shared" ca="1" si="19"/>
        <v/>
      </c>
      <c r="AI101" s="4" t="str">
        <f t="shared" ca="1" si="19"/>
        <v/>
      </c>
      <c r="AJ101" s="4" t="str">
        <f t="shared" ca="1" si="19"/>
        <v/>
      </c>
      <c r="AK101" s="4" t="str">
        <f t="shared" ca="1" si="19"/>
        <v/>
      </c>
      <c r="AL101" s="4" t="str">
        <f t="shared" ca="1" si="19"/>
        <v/>
      </c>
      <c r="AM101" s="4" t="str">
        <f t="shared" ca="1" si="19"/>
        <v/>
      </c>
      <c r="AN101" s="4" t="str">
        <f t="shared" ca="1" si="19"/>
        <v/>
      </c>
      <c r="AO101" s="4" t="str">
        <f t="shared" ca="1" si="19"/>
        <v/>
      </c>
      <c r="AP101" s="4" t="str">
        <f t="shared" ca="1" si="19"/>
        <v/>
      </c>
      <c r="AQ101" s="4" t="str">
        <f t="shared" ca="1" si="20"/>
        <v/>
      </c>
      <c r="AR101" s="4" t="str">
        <f t="shared" ca="1" si="20"/>
        <v/>
      </c>
      <c r="AS101" s="4" t="str">
        <f t="shared" ca="1" si="20"/>
        <v/>
      </c>
      <c r="AT101" s="4" t="str">
        <f t="shared" ca="1" si="20"/>
        <v/>
      </c>
      <c r="AU101" s="4" t="str">
        <f t="shared" ca="1" si="20"/>
        <v/>
      </c>
      <c r="AV101" s="4" t="str">
        <f t="shared" ca="1" si="20"/>
        <v/>
      </c>
      <c r="AW101" s="4" t="str">
        <f t="shared" ca="1" si="20"/>
        <v/>
      </c>
      <c r="AX101" s="4" t="str">
        <f t="shared" ca="1" si="20"/>
        <v/>
      </c>
      <c r="AY101" s="4" t="str">
        <f t="shared" ca="1" si="20"/>
        <v/>
      </c>
      <c r="AZ101" s="4" t="str">
        <f t="shared" ca="1" si="20"/>
        <v/>
      </c>
      <c r="BA101" s="4" t="str">
        <f t="shared" si="21"/>
        <v/>
      </c>
    </row>
    <row r="102" spans="1:53">
      <c r="A102">
        <v>38</v>
      </c>
      <c r="C102" s="4" t="str">
        <f t="shared" ca="1" si="16"/>
        <v/>
      </c>
      <c r="D102" s="4" t="str">
        <f t="shared" ca="1" si="16"/>
        <v/>
      </c>
      <c r="E102" s="4" t="str">
        <f t="shared" ca="1" si="16"/>
        <v/>
      </c>
      <c r="F102" s="4" t="str">
        <f t="shared" ca="1" si="16"/>
        <v/>
      </c>
      <c r="G102" s="4" t="str">
        <f t="shared" ca="1" si="16"/>
        <v/>
      </c>
      <c r="H102" s="4" t="str">
        <f t="shared" ca="1" si="16"/>
        <v/>
      </c>
      <c r="I102" s="4" t="str">
        <f t="shared" ca="1" si="16"/>
        <v/>
      </c>
      <c r="J102" s="4" t="str">
        <f t="shared" ca="1" si="16"/>
        <v/>
      </c>
      <c r="K102" s="4" t="str">
        <f t="shared" ca="1" si="16"/>
        <v/>
      </c>
      <c r="L102" s="4" t="str">
        <f t="shared" ca="1" si="16"/>
        <v/>
      </c>
      <c r="M102" s="4" t="str">
        <f t="shared" ca="1" si="17"/>
        <v/>
      </c>
      <c r="N102" s="4" t="str">
        <f t="shared" ca="1" si="17"/>
        <v/>
      </c>
      <c r="O102" s="4" t="str">
        <f t="shared" ca="1" si="17"/>
        <v/>
      </c>
      <c r="P102" s="4" t="str">
        <f t="shared" ca="1" si="17"/>
        <v/>
      </c>
      <c r="Q102" s="4" t="str">
        <f t="shared" ca="1" si="17"/>
        <v/>
      </c>
      <c r="R102" s="4" t="str">
        <f t="shared" ca="1" si="17"/>
        <v/>
      </c>
      <c r="S102" s="4" t="str">
        <f t="shared" ca="1" si="17"/>
        <v/>
      </c>
      <c r="T102" s="4" t="str">
        <f t="shared" ca="1" si="17"/>
        <v/>
      </c>
      <c r="U102" s="4" t="str">
        <f t="shared" ca="1" si="17"/>
        <v/>
      </c>
      <c r="V102" s="4" t="str">
        <f t="shared" ca="1" si="17"/>
        <v/>
      </c>
      <c r="W102" s="4" t="str">
        <f t="shared" ca="1" si="18"/>
        <v/>
      </c>
      <c r="X102" s="4" t="str">
        <f t="shared" ca="1" si="18"/>
        <v/>
      </c>
      <c r="Y102" s="4" t="str">
        <f t="shared" ca="1" si="18"/>
        <v/>
      </c>
      <c r="Z102" s="4" t="str">
        <f t="shared" ca="1" si="18"/>
        <v/>
      </c>
      <c r="AA102" s="4" t="str">
        <f t="shared" ca="1" si="18"/>
        <v/>
      </c>
      <c r="AB102" s="4" t="str">
        <f t="shared" ca="1" si="18"/>
        <v/>
      </c>
      <c r="AC102" s="4" t="str">
        <f t="shared" ca="1" si="18"/>
        <v/>
      </c>
      <c r="AD102" s="4" t="str">
        <f t="shared" ca="1" si="18"/>
        <v/>
      </c>
      <c r="AE102" s="4" t="str">
        <f t="shared" ca="1" si="18"/>
        <v/>
      </c>
      <c r="AF102" s="4" t="str">
        <f t="shared" ca="1" si="18"/>
        <v/>
      </c>
      <c r="AG102" s="4" t="str">
        <f t="shared" ca="1" si="19"/>
        <v/>
      </c>
      <c r="AH102" s="4" t="str">
        <f t="shared" ca="1" si="19"/>
        <v/>
      </c>
      <c r="AI102" s="4" t="str">
        <f t="shared" ca="1" si="19"/>
        <v/>
      </c>
      <c r="AJ102" s="4" t="str">
        <f t="shared" ca="1" si="19"/>
        <v/>
      </c>
      <c r="AK102" s="4" t="str">
        <f t="shared" ca="1" si="19"/>
        <v/>
      </c>
      <c r="AL102" s="4" t="str">
        <f t="shared" ca="1" si="19"/>
        <v/>
      </c>
      <c r="AM102" s="4" t="str">
        <f t="shared" ca="1" si="19"/>
        <v/>
      </c>
      <c r="AN102" s="4" t="str">
        <f t="shared" ca="1" si="19"/>
        <v/>
      </c>
      <c r="AO102" s="4" t="str">
        <f t="shared" ca="1" si="19"/>
        <v/>
      </c>
      <c r="AP102" s="4" t="str">
        <f t="shared" ca="1" si="19"/>
        <v/>
      </c>
      <c r="AQ102" s="4" t="str">
        <f t="shared" ca="1" si="20"/>
        <v/>
      </c>
      <c r="AR102" s="4" t="str">
        <f t="shared" ca="1" si="20"/>
        <v/>
      </c>
      <c r="AS102" s="4" t="str">
        <f t="shared" ca="1" si="20"/>
        <v/>
      </c>
      <c r="AT102" s="4" t="str">
        <f t="shared" ca="1" si="20"/>
        <v/>
      </c>
      <c r="AU102" s="4" t="str">
        <f t="shared" ca="1" si="20"/>
        <v/>
      </c>
      <c r="AV102" s="4" t="str">
        <f t="shared" ca="1" si="20"/>
        <v/>
      </c>
      <c r="AW102" s="4" t="str">
        <f t="shared" ca="1" si="20"/>
        <v/>
      </c>
      <c r="AX102" s="4" t="str">
        <f t="shared" ca="1" si="20"/>
        <v/>
      </c>
      <c r="AY102" s="4" t="str">
        <f t="shared" ca="1" si="20"/>
        <v/>
      </c>
      <c r="AZ102" s="4" t="str">
        <f t="shared" ca="1" si="20"/>
        <v/>
      </c>
      <c r="BA102" s="4" t="str">
        <f t="shared" si="21"/>
        <v/>
      </c>
    </row>
    <row r="103" spans="1:53">
      <c r="A103">
        <v>39</v>
      </c>
      <c r="C103" s="4" t="str">
        <f t="shared" ca="1" si="16"/>
        <v/>
      </c>
      <c r="D103" s="4" t="str">
        <f t="shared" ca="1" si="16"/>
        <v/>
      </c>
      <c r="E103" s="4" t="str">
        <f t="shared" ca="1" si="16"/>
        <v/>
      </c>
      <c r="F103" s="4" t="str">
        <f t="shared" ca="1" si="16"/>
        <v/>
      </c>
      <c r="G103" s="4" t="str">
        <f t="shared" ca="1" si="16"/>
        <v/>
      </c>
      <c r="H103" s="4" t="str">
        <f t="shared" ca="1" si="16"/>
        <v/>
      </c>
      <c r="I103" s="4" t="str">
        <f t="shared" ca="1" si="16"/>
        <v/>
      </c>
      <c r="J103" s="4" t="str">
        <f t="shared" ca="1" si="16"/>
        <v/>
      </c>
      <c r="K103" s="4" t="str">
        <f t="shared" ca="1" si="16"/>
        <v/>
      </c>
      <c r="L103" s="4" t="str">
        <f t="shared" ca="1" si="16"/>
        <v/>
      </c>
      <c r="M103" s="4" t="str">
        <f t="shared" ca="1" si="17"/>
        <v/>
      </c>
      <c r="N103" s="4" t="str">
        <f t="shared" ca="1" si="17"/>
        <v/>
      </c>
      <c r="O103" s="4" t="str">
        <f t="shared" ca="1" si="17"/>
        <v/>
      </c>
      <c r="P103" s="4" t="str">
        <f t="shared" ca="1" si="17"/>
        <v/>
      </c>
      <c r="Q103" s="4" t="str">
        <f t="shared" ca="1" si="17"/>
        <v/>
      </c>
      <c r="R103" s="4" t="str">
        <f t="shared" ca="1" si="17"/>
        <v/>
      </c>
      <c r="S103" s="4" t="str">
        <f t="shared" ca="1" si="17"/>
        <v/>
      </c>
      <c r="T103" s="4" t="str">
        <f t="shared" ca="1" si="17"/>
        <v/>
      </c>
      <c r="U103" s="4" t="str">
        <f t="shared" ca="1" si="17"/>
        <v/>
      </c>
      <c r="V103" s="4" t="str">
        <f t="shared" ca="1" si="17"/>
        <v/>
      </c>
      <c r="W103" s="4" t="str">
        <f t="shared" ca="1" si="18"/>
        <v/>
      </c>
      <c r="X103" s="4" t="str">
        <f t="shared" ca="1" si="18"/>
        <v/>
      </c>
      <c r="Y103" s="4" t="str">
        <f t="shared" ca="1" si="18"/>
        <v/>
      </c>
      <c r="Z103" s="4" t="str">
        <f t="shared" ca="1" si="18"/>
        <v/>
      </c>
      <c r="AA103" s="4" t="str">
        <f t="shared" ca="1" si="18"/>
        <v/>
      </c>
      <c r="AB103" s="4" t="str">
        <f t="shared" ca="1" si="18"/>
        <v/>
      </c>
      <c r="AC103" s="4" t="str">
        <f t="shared" ca="1" si="18"/>
        <v/>
      </c>
      <c r="AD103" s="4" t="str">
        <f t="shared" ca="1" si="18"/>
        <v/>
      </c>
      <c r="AE103" s="4" t="str">
        <f t="shared" ca="1" si="18"/>
        <v/>
      </c>
      <c r="AF103" s="4" t="str">
        <f t="shared" ca="1" si="18"/>
        <v/>
      </c>
      <c r="AG103" s="4" t="str">
        <f t="shared" ca="1" si="19"/>
        <v/>
      </c>
      <c r="AH103" s="4" t="str">
        <f t="shared" ca="1" si="19"/>
        <v/>
      </c>
      <c r="AI103" s="4" t="str">
        <f t="shared" ca="1" si="19"/>
        <v/>
      </c>
      <c r="AJ103" s="4" t="str">
        <f t="shared" ca="1" si="19"/>
        <v/>
      </c>
      <c r="AK103" s="4" t="str">
        <f t="shared" ca="1" si="19"/>
        <v/>
      </c>
      <c r="AL103" s="4" t="str">
        <f t="shared" ca="1" si="19"/>
        <v/>
      </c>
      <c r="AM103" s="4" t="str">
        <f t="shared" ca="1" si="19"/>
        <v/>
      </c>
      <c r="AN103" s="4" t="str">
        <f t="shared" ca="1" si="19"/>
        <v/>
      </c>
      <c r="AO103" s="4" t="str">
        <f t="shared" ca="1" si="19"/>
        <v/>
      </c>
      <c r="AP103" s="4" t="str">
        <f t="shared" ca="1" si="19"/>
        <v/>
      </c>
      <c r="AQ103" s="4" t="str">
        <f t="shared" ca="1" si="20"/>
        <v/>
      </c>
      <c r="AR103" s="4" t="str">
        <f t="shared" ca="1" si="20"/>
        <v/>
      </c>
      <c r="AS103" s="4" t="str">
        <f t="shared" ca="1" si="20"/>
        <v/>
      </c>
      <c r="AT103" s="4" t="str">
        <f t="shared" ca="1" si="20"/>
        <v/>
      </c>
      <c r="AU103" s="4" t="str">
        <f t="shared" ca="1" si="20"/>
        <v/>
      </c>
      <c r="AV103" s="4" t="str">
        <f t="shared" ca="1" si="20"/>
        <v/>
      </c>
      <c r="AW103" s="4" t="str">
        <f t="shared" ca="1" si="20"/>
        <v/>
      </c>
      <c r="AX103" s="4" t="str">
        <f t="shared" ca="1" si="20"/>
        <v/>
      </c>
      <c r="AY103" s="4" t="str">
        <f t="shared" ca="1" si="20"/>
        <v/>
      </c>
      <c r="AZ103" s="4" t="str">
        <f t="shared" ca="1" si="20"/>
        <v/>
      </c>
      <c r="BA103" s="4" t="str">
        <f t="shared" si="21"/>
        <v/>
      </c>
    </row>
    <row r="104" spans="1:53">
      <c r="A104">
        <v>40</v>
      </c>
      <c r="C104" s="4" t="str">
        <f t="shared" ca="1" si="16"/>
        <v/>
      </c>
      <c r="D104" s="4" t="str">
        <f t="shared" ca="1" si="16"/>
        <v/>
      </c>
      <c r="E104" s="4" t="str">
        <f t="shared" ca="1" si="16"/>
        <v/>
      </c>
      <c r="F104" s="4" t="str">
        <f t="shared" ca="1" si="16"/>
        <v/>
      </c>
      <c r="G104" s="4" t="str">
        <f t="shared" ca="1" si="16"/>
        <v/>
      </c>
      <c r="H104" s="4" t="str">
        <f t="shared" ca="1" si="16"/>
        <v/>
      </c>
      <c r="I104" s="4" t="str">
        <f t="shared" ca="1" si="16"/>
        <v/>
      </c>
      <c r="J104" s="4" t="str">
        <f t="shared" ca="1" si="16"/>
        <v/>
      </c>
      <c r="K104" s="4" t="str">
        <f t="shared" ca="1" si="16"/>
        <v/>
      </c>
      <c r="L104" s="4" t="str">
        <f t="shared" ca="1" si="16"/>
        <v/>
      </c>
      <c r="M104" s="4" t="str">
        <f t="shared" ca="1" si="17"/>
        <v/>
      </c>
      <c r="N104" s="4" t="str">
        <f t="shared" ca="1" si="17"/>
        <v/>
      </c>
      <c r="O104" s="4" t="str">
        <f t="shared" ca="1" si="17"/>
        <v/>
      </c>
      <c r="P104" s="4" t="str">
        <f t="shared" ca="1" si="17"/>
        <v/>
      </c>
      <c r="Q104" s="4" t="str">
        <f t="shared" ca="1" si="17"/>
        <v/>
      </c>
      <c r="R104" s="4" t="str">
        <f t="shared" ca="1" si="17"/>
        <v/>
      </c>
      <c r="S104" s="4" t="str">
        <f t="shared" ca="1" si="17"/>
        <v/>
      </c>
      <c r="T104" s="4" t="str">
        <f t="shared" ca="1" si="17"/>
        <v/>
      </c>
      <c r="U104" s="4" t="str">
        <f t="shared" ca="1" si="17"/>
        <v/>
      </c>
      <c r="V104" s="4" t="str">
        <f t="shared" ca="1" si="17"/>
        <v/>
      </c>
      <c r="W104" s="4" t="str">
        <f t="shared" ca="1" si="18"/>
        <v/>
      </c>
      <c r="X104" s="4" t="str">
        <f t="shared" ca="1" si="18"/>
        <v/>
      </c>
      <c r="Y104" s="4" t="str">
        <f t="shared" ca="1" si="18"/>
        <v/>
      </c>
      <c r="Z104" s="4" t="str">
        <f t="shared" ca="1" si="18"/>
        <v/>
      </c>
      <c r="AA104" s="4" t="str">
        <f t="shared" ca="1" si="18"/>
        <v/>
      </c>
      <c r="AB104" s="4" t="str">
        <f t="shared" ca="1" si="18"/>
        <v/>
      </c>
      <c r="AC104" s="4" t="str">
        <f t="shared" ca="1" si="18"/>
        <v/>
      </c>
      <c r="AD104" s="4" t="str">
        <f t="shared" ca="1" si="18"/>
        <v/>
      </c>
      <c r="AE104" s="4" t="str">
        <f t="shared" ca="1" si="18"/>
        <v/>
      </c>
      <c r="AF104" s="4" t="str">
        <f t="shared" ca="1" si="18"/>
        <v/>
      </c>
      <c r="AG104" s="4" t="str">
        <f t="shared" ca="1" si="19"/>
        <v/>
      </c>
      <c r="AH104" s="4" t="str">
        <f t="shared" ca="1" si="19"/>
        <v/>
      </c>
      <c r="AI104" s="4" t="str">
        <f t="shared" ca="1" si="19"/>
        <v/>
      </c>
      <c r="AJ104" s="4" t="str">
        <f t="shared" ca="1" si="19"/>
        <v/>
      </c>
      <c r="AK104" s="4" t="str">
        <f t="shared" ca="1" si="19"/>
        <v/>
      </c>
      <c r="AL104" s="4" t="str">
        <f t="shared" ca="1" si="19"/>
        <v/>
      </c>
      <c r="AM104" s="4" t="str">
        <f t="shared" ca="1" si="19"/>
        <v/>
      </c>
      <c r="AN104" s="4" t="str">
        <f t="shared" ca="1" si="19"/>
        <v/>
      </c>
      <c r="AO104" s="4" t="str">
        <f t="shared" ca="1" si="19"/>
        <v/>
      </c>
      <c r="AP104" s="4" t="str">
        <f t="shared" ca="1" si="19"/>
        <v/>
      </c>
      <c r="AQ104" s="4" t="str">
        <f t="shared" ca="1" si="20"/>
        <v/>
      </c>
      <c r="AR104" s="4" t="str">
        <f t="shared" ca="1" si="20"/>
        <v/>
      </c>
      <c r="AS104" s="4" t="str">
        <f t="shared" ca="1" si="20"/>
        <v/>
      </c>
      <c r="AT104" s="4" t="str">
        <f t="shared" ca="1" si="20"/>
        <v/>
      </c>
      <c r="AU104" s="4" t="str">
        <f t="shared" ca="1" si="20"/>
        <v/>
      </c>
      <c r="AV104" s="4" t="str">
        <f t="shared" ca="1" si="20"/>
        <v/>
      </c>
      <c r="AW104" s="4" t="str">
        <f t="shared" ca="1" si="20"/>
        <v/>
      </c>
      <c r="AX104" s="4" t="str">
        <f t="shared" ca="1" si="20"/>
        <v/>
      </c>
      <c r="AY104" s="4" t="str">
        <f t="shared" ca="1" si="20"/>
        <v/>
      </c>
      <c r="AZ104" s="4" t="str">
        <f t="shared" ca="1" si="20"/>
        <v/>
      </c>
      <c r="BA104" s="4" t="str">
        <f t="shared" si="21"/>
        <v/>
      </c>
    </row>
    <row r="105" spans="1:53">
      <c r="A105">
        <v>41</v>
      </c>
      <c r="C105" s="4" t="str">
        <f t="shared" ref="C105:L114" ca="1" si="22">IF(COLUMN()-2&lt;=$E$3,INDEX($B$10:$B$59,RANDBETWEEN(1,$E$3)),"")</f>
        <v/>
      </c>
      <c r="D105" s="4" t="str">
        <f t="shared" ca="1" si="22"/>
        <v/>
      </c>
      <c r="E105" s="4" t="str">
        <f t="shared" ca="1" si="22"/>
        <v/>
      </c>
      <c r="F105" s="4" t="str">
        <f t="shared" ca="1" si="22"/>
        <v/>
      </c>
      <c r="G105" s="4" t="str">
        <f t="shared" ca="1" si="22"/>
        <v/>
      </c>
      <c r="H105" s="4" t="str">
        <f t="shared" ca="1" si="22"/>
        <v/>
      </c>
      <c r="I105" s="4" t="str">
        <f t="shared" ca="1" si="22"/>
        <v/>
      </c>
      <c r="J105" s="4" t="str">
        <f t="shared" ca="1" si="22"/>
        <v/>
      </c>
      <c r="K105" s="4" t="str">
        <f t="shared" ca="1" si="22"/>
        <v/>
      </c>
      <c r="L105" s="4" t="str">
        <f t="shared" ca="1" si="22"/>
        <v/>
      </c>
      <c r="M105" s="4" t="str">
        <f t="shared" ref="M105:V114" ca="1" si="23">IF(COLUMN()-2&lt;=$E$3,INDEX($B$10:$B$59,RANDBETWEEN(1,$E$3)),"")</f>
        <v/>
      </c>
      <c r="N105" s="4" t="str">
        <f t="shared" ca="1" si="23"/>
        <v/>
      </c>
      <c r="O105" s="4" t="str">
        <f t="shared" ca="1" si="23"/>
        <v/>
      </c>
      <c r="P105" s="4" t="str">
        <f t="shared" ca="1" si="23"/>
        <v/>
      </c>
      <c r="Q105" s="4" t="str">
        <f t="shared" ca="1" si="23"/>
        <v/>
      </c>
      <c r="R105" s="4" t="str">
        <f t="shared" ca="1" si="23"/>
        <v/>
      </c>
      <c r="S105" s="4" t="str">
        <f t="shared" ca="1" si="23"/>
        <v/>
      </c>
      <c r="T105" s="4" t="str">
        <f t="shared" ca="1" si="23"/>
        <v/>
      </c>
      <c r="U105" s="4" t="str">
        <f t="shared" ca="1" si="23"/>
        <v/>
      </c>
      <c r="V105" s="4" t="str">
        <f t="shared" ca="1" si="23"/>
        <v/>
      </c>
      <c r="W105" s="4" t="str">
        <f t="shared" ref="W105:AF114" ca="1" si="24">IF(COLUMN()-2&lt;=$E$3,INDEX($B$10:$B$59,RANDBETWEEN(1,$E$3)),"")</f>
        <v/>
      </c>
      <c r="X105" s="4" t="str">
        <f t="shared" ca="1" si="24"/>
        <v/>
      </c>
      <c r="Y105" s="4" t="str">
        <f t="shared" ca="1" si="24"/>
        <v/>
      </c>
      <c r="Z105" s="4" t="str">
        <f t="shared" ca="1" si="24"/>
        <v/>
      </c>
      <c r="AA105" s="4" t="str">
        <f t="shared" ca="1" si="24"/>
        <v/>
      </c>
      <c r="AB105" s="4" t="str">
        <f t="shared" ca="1" si="24"/>
        <v/>
      </c>
      <c r="AC105" s="4" t="str">
        <f t="shared" ca="1" si="24"/>
        <v/>
      </c>
      <c r="AD105" s="4" t="str">
        <f t="shared" ca="1" si="24"/>
        <v/>
      </c>
      <c r="AE105" s="4" t="str">
        <f t="shared" ca="1" si="24"/>
        <v/>
      </c>
      <c r="AF105" s="4" t="str">
        <f t="shared" ca="1" si="24"/>
        <v/>
      </c>
      <c r="AG105" s="4" t="str">
        <f t="shared" ref="AG105:AP114" ca="1" si="25">IF(COLUMN()-2&lt;=$E$3,INDEX($B$10:$B$59,RANDBETWEEN(1,$E$3)),"")</f>
        <v/>
      </c>
      <c r="AH105" s="4" t="str">
        <f t="shared" ca="1" si="25"/>
        <v/>
      </c>
      <c r="AI105" s="4" t="str">
        <f t="shared" ca="1" si="25"/>
        <v/>
      </c>
      <c r="AJ105" s="4" t="str">
        <f t="shared" ca="1" si="25"/>
        <v/>
      </c>
      <c r="AK105" s="4" t="str">
        <f t="shared" ca="1" si="25"/>
        <v/>
      </c>
      <c r="AL105" s="4" t="str">
        <f t="shared" ca="1" si="25"/>
        <v/>
      </c>
      <c r="AM105" s="4" t="str">
        <f t="shared" ca="1" si="25"/>
        <v/>
      </c>
      <c r="AN105" s="4" t="str">
        <f t="shared" ca="1" si="25"/>
        <v/>
      </c>
      <c r="AO105" s="4" t="str">
        <f t="shared" ca="1" si="25"/>
        <v/>
      </c>
      <c r="AP105" s="4" t="str">
        <f t="shared" ca="1" si="25"/>
        <v/>
      </c>
      <c r="AQ105" s="4" t="str">
        <f t="shared" ref="AQ105:AZ114" ca="1" si="26">IF(COLUMN()-2&lt;=$E$3,INDEX($B$10:$B$59,RANDBETWEEN(1,$E$3)),"")</f>
        <v/>
      </c>
      <c r="AR105" s="4" t="str">
        <f t="shared" ca="1" si="26"/>
        <v/>
      </c>
      <c r="AS105" s="4" t="str">
        <f t="shared" ca="1" si="26"/>
        <v/>
      </c>
      <c r="AT105" s="4" t="str">
        <f t="shared" ca="1" si="26"/>
        <v/>
      </c>
      <c r="AU105" s="4" t="str">
        <f t="shared" ca="1" si="26"/>
        <v/>
      </c>
      <c r="AV105" s="4" t="str">
        <f t="shared" ca="1" si="26"/>
        <v/>
      </c>
      <c r="AW105" s="4" t="str">
        <f t="shared" ca="1" si="26"/>
        <v/>
      </c>
      <c r="AX105" s="4" t="str">
        <f t="shared" ca="1" si="26"/>
        <v/>
      </c>
      <c r="AY105" s="4" t="str">
        <f t="shared" ca="1" si="26"/>
        <v/>
      </c>
      <c r="AZ105" s="4" t="str">
        <f t="shared" ca="1" si="26"/>
        <v/>
      </c>
      <c r="BA105" s="4" t="str">
        <f t="shared" si="21"/>
        <v/>
      </c>
    </row>
    <row r="106" spans="1:53">
      <c r="A106">
        <v>42</v>
      </c>
      <c r="C106" s="4" t="str">
        <f t="shared" ca="1" si="22"/>
        <v/>
      </c>
      <c r="D106" s="4" t="str">
        <f t="shared" ca="1" si="22"/>
        <v/>
      </c>
      <c r="E106" s="4" t="str">
        <f t="shared" ca="1" si="22"/>
        <v/>
      </c>
      <c r="F106" s="4" t="str">
        <f t="shared" ca="1" si="22"/>
        <v/>
      </c>
      <c r="G106" s="4" t="str">
        <f t="shared" ca="1" si="22"/>
        <v/>
      </c>
      <c r="H106" s="4" t="str">
        <f t="shared" ca="1" si="22"/>
        <v/>
      </c>
      <c r="I106" s="4" t="str">
        <f t="shared" ca="1" si="22"/>
        <v/>
      </c>
      <c r="J106" s="4" t="str">
        <f t="shared" ca="1" si="22"/>
        <v/>
      </c>
      <c r="K106" s="4" t="str">
        <f t="shared" ca="1" si="22"/>
        <v/>
      </c>
      <c r="L106" s="4" t="str">
        <f t="shared" ca="1" si="22"/>
        <v/>
      </c>
      <c r="M106" s="4" t="str">
        <f t="shared" ca="1" si="23"/>
        <v/>
      </c>
      <c r="N106" s="4" t="str">
        <f t="shared" ca="1" si="23"/>
        <v/>
      </c>
      <c r="O106" s="4" t="str">
        <f t="shared" ca="1" si="23"/>
        <v/>
      </c>
      <c r="P106" s="4" t="str">
        <f t="shared" ca="1" si="23"/>
        <v/>
      </c>
      <c r="Q106" s="4" t="str">
        <f t="shared" ca="1" si="23"/>
        <v/>
      </c>
      <c r="R106" s="4" t="str">
        <f t="shared" ca="1" si="23"/>
        <v/>
      </c>
      <c r="S106" s="4" t="str">
        <f t="shared" ca="1" si="23"/>
        <v/>
      </c>
      <c r="T106" s="4" t="str">
        <f t="shared" ca="1" si="23"/>
        <v/>
      </c>
      <c r="U106" s="4" t="str">
        <f t="shared" ca="1" si="23"/>
        <v/>
      </c>
      <c r="V106" s="4" t="str">
        <f t="shared" ca="1" si="23"/>
        <v/>
      </c>
      <c r="W106" s="4" t="str">
        <f t="shared" ca="1" si="24"/>
        <v/>
      </c>
      <c r="X106" s="4" t="str">
        <f t="shared" ca="1" si="24"/>
        <v/>
      </c>
      <c r="Y106" s="4" t="str">
        <f t="shared" ca="1" si="24"/>
        <v/>
      </c>
      <c r="Z106" s="4" t="str">
        <f t="shared" ca="1" si="24"/>
        <v/>
      </c>
      <c r="AA106" s="4" t="str">
        <f t="shared" ca="1" si="24"/>
        <v/>
      </c>
      <c r="AB106" s="4" t="str">
        <f t="shared" ca="1" si="24"/>
        <v/>
      </c>
      <c r="AC106" s="4" t="str">
        <f t="shared" ca="1" si="24"/>
        <v/>
      </c>
      <c r="AD106" s="4" t="str">
        <f t="shared" ca="1" si="24"/>
        <v/>
      </c>
      <c r="AE106" s="4" t="str">
        <f t="shared" ca="1" si="24"/>
        <v/>
      </c>
      <c r="AF106" s="4" t="str">
        <f t="shared" ca="1" si="24"/>
        <v/>
      </c>
      <c r="AG106" s="4" t="str">
        <f t="shared" ca="1" si="25"/>
        <v/>
      </c>
      <c r="AH106" s="4" t="str">
        <f t="shared" ca="1" si="25"/>
        <v/>
      </c>
      <c r="AI106" s="4" t="str">
        <f t="shared" ca="1" si="25"/>
        <v/>
      </c>
      <c r="AJ106" s="4" t="str">
        <f t="shared" ca="1" si="25"/>
        <v/>
      </c>
      <c r="AK106" s="4" t="str">
        <f t="shared" ca="1" si="25"/>
        <v/>
      </c>
      <c r="AL106" s="4" t="str">
        <f t="shared" ca="1" si="25"/>
        <v/>
      </c>
      <c r="AM106" s="4" t="str">
        <f t="shared" ca="1" si="25"/>
        <v/>
      </c>
      <c r="AN106" s="4" t="str">
        <f t="shared" ca="1" si="25"/>
        <v/>
      </c>
      <c r="AO106" s="4" t="str">
        <f t="shared" ca="1" si="25"/>
        <v/>
      </c>
      <c r="AP106" s="4" t="str">
        <f t="shared" ca="1" si="25"/>
        <v/>
      </c>
      <c r="AQ106" s="4" t="str">
        <f t="shared" ca="1" si="26"/>
        <v/>
      </c>
      <c r="AR106" s="4" t="str">
        <f t="shared" ca="1" si="26"/>
        <v/>
      </c>
      <c r="AS106" s="4" t="str">
        <f t="shared" ca="1" si="26"/>
        <v/>
      </c>
      <c r="AT106" s="4" t="str">
        <f t="shared" ca="1" si="26"/>
        <v/>
      </c>
      <c r="AU106" s="4" t="str">
        <f t="shared" ca="1" si="26"/>
        <v/>
      </c>
      <c r="AV106" s="4" t="str">
        <f t="shared" ca="1" si="26"/>
        <v/>
      </c>
      <c r="AW106" s="4" t="str">
        <f t="shared" ca="1" si="26"/>
        <v/>
      </c>
      <c r="AX106" s="4" t="str">
        <f t="shared" ca="1" si="26"/>
        <v/>
      </c>
      <c r="AY106" s="4" t="str">
        <f t="shared" ca="1" si="26"/>
        <v/>
      </c>
      <c r="AZ106" s="4" t="str">
        <f t="shared" ca="1" si="26"/>
        <v/>
      </c>
      <c r="BA106" s="4" t="str">
        <f t="shared" si="21"/>
        <v/>
      </c>
    </row>
    <row r="107" spans="1:53">
      <c r="A107">
        <v>43</v>
      </c>
      <c r="C107" s="4" t="str">
        <f t="shared" ca="1" si="22"/>
        <v/>
      </c>
      <c r="D107" s="4" t="str">
        <f t="shared" ca="1" si="22"/>
        <v/>
      </c>
      <c r="E107" s="4" t="str">
        <f t="shared" ca="1" si="22"/>
        <v/>
      </c>
      <c r="F107" s="4" t="str">
        <f t="shared" ca="1" si="22"/>
        <v/>
      </c>
      <c r="G107" s="4" t="str">
        <f t="shared" ca="1" si="22"/>
        <v/>
      </c>
      <c r="H107" s="4" t="str">
        <f t="shared" ca="1" si="22"/>
        <v/>
      </c>
      <c r="I107" s="4" t="str">
        <f t="shared" ca="1" si="22"/>
        <v/>
      </c>
      <c r="J107" s="4" t="str">
        <f t="shared" ca="1" si="22"/>
        <v/>
      </c>
      <c r="K107" s="4" t="str">
        <f t="shared" ca="1" si="22"/>
        <v/>
      </c>
      <c r="L107" s="4" t="str">
        <f t="shared" ca="1" si="22"/>
        <v/>
      </c>
      <c r="M107" s="4" t="str">
        <f t="shared" ca="1" si="23"/>
        <v/>
      </c>
      <c r="N107" s="4" t="str">
        <f t="shared" ca="1" si="23"/>
        <v/>
      </c>
      <c r="O107" s="4" t="str">
        <f t="shared" ca="1" si="23"/>
        <v/>
      </c>
      <c r="P107" s="4" t="str">
        <f t="shared" ca="1" si="23"/>
        <v/>
      </c>
      <c r="Q107" s="4" t="str">
        <f t="shared" ca="1" si="23"/>
        <v/>
      </c>
      <c r="R107" s="4" t="str">
        <f t="shared" ca="1" si="23"/>
        <v/>
      </c>
      <c r="S107" s="4" t="str">
        <f t="shared" ca="1" si="23"/>
        <v/>
      </c>
      <c r="T107" s="4" t="str">
        <f t="shared" ca="1" si="23"/>
        <v/>
      </c>
      <c r="U107" s="4" t="str">
        <f t="shared" ca="1" si="23"/>
        <v/>
      </c>
      <c r="V107" s="4" t="str">
        <f t="shared" ca="1" si="23"/>
        <v/>
      </c>
      <c r="W107" s="4" t="str">
        <f t="shared" ca="1" si="24"/>
        <v/>
      </c>
      <c r="X107" s="4" t="str">
        <f t="shared" ca="1" si="24"/>
        <v/>
      </c>
      <c r="Y107" s="4" t="str">
        <f t="shared" ca="1" si="24"/>
        <v/>
      </c>
      <c r="Z107" s="4" t="str">
        <f t="shared" ca="1" si="24"/>
        <v/>
      </c>
      <c r="AA107" s="4" t="str">
        <f t="shared" ca="1" si="24"/>
        <v/>
      </c>
      <c r="AB107" s="4" t="str">
        <f t="shared" ca="1" si="24"/>
        <v/>
      </c>
      <c r="AC107" s="4" t="str">
        <f t="shared" ca="1" si="24"/>
        <v/>
      </c>
      <c r="AD107" s="4" t="str">
        <f t="shared" ca="1" si="24"/>
        <v/>
      </c>
      <c r="AE107" s="4" t="str">
        <f t="shared" ca="1" si="24"/>
        <v/>
      </c>
      <c r="AF107" s="4" t="str">
        <f t="shared" ca="1" si="24"/>
        <v/>
      </c>
      <c r="AG107" s="4" t="str">
        <f t="shared" ca="1" si="25"/>
        <v/>
      </c>
      <c r="AH107" s="4" t="str">
        <f t="shared" ca="1" si="25"/>
        <v/>
      </c>
      <c r="AI107" s="4" t="str">
        <f t="shared" ca="1" si="25"/>
        <v/>
      </c>
      <c r="AJ107" s="4" t="str">
        <f t="shared" ca="1" si="25"/>
        <v/>
      </c>
      <c r="AK107" s="4" t="str">
        <f t="shared" ca="1" si="25"/>
        <v/>
      </c>
      <c r="AL107" s="4" t="str">
        <f t="shared" ca="1" si="25"/>
        <v/>
      </c>
      <c r="AM107" s="4" t="str">
        <f t="shared" ca="1" si="25"/>
        <v/>
      </c>
      <c r="AN107" s="4" t="str">
        <f t="shared" ca="1" si="25"/>
        <v/>
      </c>
      <c r="AO107" s="4" t="str">
        <f t="shared" ca="1" si="25"/>
        <v/>
      </c>
      <c r="AP107" s="4" t="str">
        <f t="shared" ca="1" si="25"/>
        <v/>
      </c>
      <c r="AQ107" s="4" t="str">
        <f t="shared" ca="1" si="26"/>
        <v/>
      </c>
      <c r="AR107" s="4" t="str">
        <f t="shared" ca="1" si="26"/>
        <v/>
      </c>
      <c r="AS107" s="4" t="str">
        <f t="shared" ca="1" si="26"/>
        <v/>
      </c>
      <c r="AT107" s="4" t="str">
        <f t="shared" ca="1" si="26"/>
        <v/>
      </c>
      <c r="AU107" s="4" t="str">
        <f t="shared" ca="1" si="26"/>
        <v/>
      </c>
      <c r="AV107" s="4" t="str">
        <f t="shared" ca="1" si="26"/>
        <v/>
      </c>
      <c r="AW107" s="4" t="str">
        <f t="shared" ca="1" si="26"/>
        <v/>
      </c>
      <c r="AX107" s="4" t="str">
        <f t="shared" ca="1" si="26"/>
        <v/>
      </c>
      <c r="AY107" s="4" t="str">
        <f t="shared" ca="1" si="26"/>
        <v/>
      </c>
      <c r="AZ107" s="4" t="str">
        <f t="shared" ca="1" si="26"/>
        <v/>
      </c>
      <c r="BA107" s="4" t="str">
        <f t="shared" si="21"/>
        <v/>
      </c>
    </row>
    <row r="108" spans="1:53">
      <c r="A108">
        <v>44</v>
      </c>
      <c r="C108" s="4" t="str">
        <f t="shared" ca="1" si="22"/>
        <v/>
      </c>
      <c r="D108" s="4" t="str">
        <f t="shared" ca="1" si="22"/>
        <v/>
      </c>
      <c r="E108" s="4" t="str">
        <f t="shared" ca="1" si="22"/>
        <v/>
      </c>
      <c r="F108" s="4" t="str">
        <f t="shared" ca="1" si="22"/>
        <v/>
      </c>
      <c r="G108" s="4" t="str">
        <f t="shared" ca="1" si="22"/>
        <v/>
      </c>
      <c r="H108" s="4" t="str">
        <f t="shared" ca="1" si="22"/>
        <v/>
      </c>
      <c r="I108" s="4" t="str">
        <f t="shared" ca="1" si="22"/>
        <v/>
      </c>
      <c r="J108" s="4" t="str">
        <f t="shared" ca="1" si="22"/>
        <v/>
      </c>
      <c r="K108" s="4" t="str">
        <f t="shared" ca="1" si="22"/>
        <v/>
      </c>
      <c r="L108" s="4" t="str">
        <f t="shared" ca="1" si="22"/>
        <v/>
      </c>
      <c r="M108" s="4" t="str">
        <f t="shared" ca="1" si="23"/>
        <v/>
      </c>
      <c r="N108" s="4" t="str">
        <f t="shared" ca="1" si="23"/>
        <v/>
      </c>
      <c r="O108" s="4" t="str">
        <f t="shared" ca="1" si="23"/>
        <v/>
      </c>
      <c r="P108" s="4" t="str">
        <f t="shared" ca="1" si="23"/>
        <v/>
      </c>
      <c r="Q108" s="4" t="str">
        <f t="shared" ca="1" si="23"/>
        <v/>
      </c>
      <c r="R108" s="4" t="str">
        <f t="shared" ca="1" si="23"/>
        <v/>
      </c>
      <c r="S108" s="4" t="str">
        <f t="shared" ca="1" si="23"/>
        <v/>
      </c>
      <c r="T108" s="4" t="str">
        <f t="shared" ca="1" si="23"/>
        <v/>
      </c>
      <c r="U108" s="4" t="str">
        <f t="shared" ca="1" si="23"/>
        <v/>
      </c>
      <c r="V108" s="4" t="str">
        <f t="shared" ca="1" si="23"/>
        <v/>
      </c>
      <c r="W108" s="4" t="str">
        <f t="shared" ca="1" si="24"/>
        <v/>
      </c>
      <c r="X108" s="4" t="str">
        <f t="shared" ca="1" si="24"/>
        <v/>
      </c>
      <c r="Y108" s="4" t="str">
        <f t="shared" ca="1" si="24"/>
        <v/>
      </c>
      <c r="Z108" s="4" t="str">
        <f t="shared" ca="1" si="24"/>
        <v/>
      </c>
      <c r="AA108" s="4" t="str">
        <f t="shared" ca="1" si="24"/>
        <v/>
      </c>
      <c r="AB108" s="4" t="str">
        <f t="shared" ca="1" si="24"/>
        <v/>
      </c>
      <c r="AC108" s="4" t="str">
        <f t="shared" ca="1" si="24"/>
        <v/>
      </c>
      <c r="AD108" s="4" t="str">
        <f t="shared" ca="1" si="24"/>
        <v/>
      </c>
      <c r="AE108" s="4" t="str">
        <f t="shared" ca="1" si="24"/>
        <v/>
      </c>
      <c r="AF108" s="4" t="str">
        <f t="shared" ca="1" si="24"/>
        <v/>
      </c>
      <c r="AG108" s="4" t="str">
        <f t="shared" ca="1" si="25"/>
        <v/>
      </c>
      <c r="AH108" s="4" t="str">
        <f t="shared" ca="1" si="25"/>
        <v/>
      </c>
      <c r="AI108" s="4" t="str">
        <f t="shared" ca="1" si="25"/>
        <v/>
      </c>
      <c r="AJ108" s="4" t="str">
        <f t="shared" ca="1" si="25"/>
        <v/>
      </c>
      <c r="AK108" s="4" t="str">
        <f t="shared" ca="1" si="25"/>
        <v/>
      </c>
      <c r="AL108" s="4" t="str">
        <f t="shared" ca="1" si="25"/>
        <v/>
      </c>
      <c r="AM108" s="4" t="str">
        <f t="shared" ca="1" si="25"/>
        <v/>
      </c>
      <c r="AN108" s="4" t="str">
        <f t="shared" ca="1" si="25"/>
        <v/>
      </c>
      <c r="AO108" s="4" t="str">
        <f t="shared" ca="1" si="25"/>
        <v/>
      </c>
      <c r="AP108" s="4" t="str">
        <f t="shared" ca="1" si="25"/>
        <v/>
      </c>
      <c r="AQ108" s="4" t="str">
        <f t="shared" ca="1" si="26"/>
        <v/>
      </c>
      <c r="AR108" s="4" t="str">
        <f t="shared" ca="1" si="26"/>
        <v/>
      </c>
      <c r="AS108" s="4" t="str">
        <f t="shared" ca="1" si="26"/>
        <v/>
      </c>
      <c r="AT108" s="4" t="str">
        <f t="shared" ca="1" si="26"/>
        <v/>
      </c>
      <c r="AU108" s="4" t="str">
        <f t="shared" ca="1" si="26"/>
        <v/>
      </c>
      <c r="AV108" s="4" t="str">
        <f t="shared" ca="1" si="26"/>
        <v/>
      </c>
      <c r="AW108" s="4" t="str">
        <f t="shared" ca="1" si="26"/>
        <v/>
      </c>
      <c r="AX108" s="4" t="str">
        <f t="shared" ca="1" si="26"/>
        <v/>
      </c>
      <c r="AY108" s="4" t="str">
        <f t="shared" ca="1" si="26"/>
        <v/>
      </c>
      <c r="AZ108" s="4" t="str">
        <f t="shared" ca="1" si="26"/>
        <v/>
      </c>
      <c r="BA108" s="4" t="str">
        <f t="shared" si="21"/>
        <v/>
      </c>
    </row>
    <row r="109" spans="1:53">
      <c r="A109">
        <v>45</v>
      </c>
      <c r="C109" s="4" t="str">
        <f t="shared" ca="1" si="22"/>
        <v/>
      </c>
      <c r="D109" s="4" t="str">
        <f t="shared" ca="1" si="22"/>
        <v/>
      </c>
      <c r="E109" s="4" t="str">
        <f t="shared" ca="1" si="22"/>
        <v/>
      </c>
      <c r="F109" s="4" t="str">
        <f t="shared" ca="1" si="22"/>
        <v/>
      </c>
      <c r="G109" s="4" t="str">
        <f t="shared" ca="1" si="22"/>
        <v/>
      </c>
      <c r="H109" s="4" t="str">
        <f t="shared" ca="1" si="22"/>
        <v/>
      </c>
      <c r="I109" s="4" t="str">
        <f t="shared" ca="1" si="22"/>
        <v/>
      </c>
      <c r="J109" s="4" t="str">
        <f t="shared" ca="1" si="22"/>
        <v/>
      </c>
      <c r="K109" s="4" t="str">
        <f t="shared" ca="1" si="22"/>
        <v/>
      </c>
      <c r="L109" s="4" t="str">
        <f t="shared" ca="1" si="22"/>
        <v/>
      </c>
      <c r="M109" s="4" t="str">
        <f t="shared" ca="1" si="23"/>
        <v/>
      </c>
      <c r="N109" s="4" t="str">
        <f t="shared" ca="1" si="23"/>
        <v/>
      </c>
      <c r="O109" s="4" t="str">
        <f t="shared" ca="1" si="23"/>
        <v/>
      </c>
      <c r="P109" s="4" t="str">
        <f t="shared" ca="1" si="23"/>
        <v/>
      </c>
      <c r="Q109" s="4" t="str">
        <f t="shared" ca="1" si="23"/>
        <v/>
      </c>
      <c r="R109" s="4" t="str">
        <f t="shared" ca="1" si="23"/>
        <v/>
      </c>
      <c r="S109" s="4" t="str">
        <f t="shared" ca="1" si="23"/>
        <v/>
      </c>
      <c r="T109" s="4" t="str">
        <f t="shared" ca="1" si="23"/>
        <v/>
      </c>
      <c r="U109" s="4" t="str">
        <f t="shared" ca="1" si="23"/>
        <v/>
      </c>
      <c r="V109" s="4" t="str">
        <f t="shared" ca="1" si="23"/>
        <v/>
      </c>
      <c r="W109" s="4" t="str">
        <f t="shared" ca="1" si="24"/>
        <v/>
      </c>
      <c r="X109" s="4" t="str">
        <f t="shared" ca="1" si="24"/>
        <v/>
      </c>
      <c r="Y109" s="4" t="str">
        <f t="shared" ca="1" si="24"/>
        <v/>
      </c>
      <c r="Z109" s="4" t="str">
        <f t="shared" ca="1" si="24"/>
        <v/>
      </c>
      <c r="AA109" s="4" t="str">
        <f t="shared" ca="1" si="24"/>
        <v/>
      </c>
      <c r="AB109" s="4" t="str">
        <f t="shared" ca="1" si="24"/>
        <v/>
      </c>
      <c r="AC109" s="4" t="str">
        <f t="shared" ca="1" si="24"/>
        <v/>
      </c>
      <c r="AD109" s="4" t="str">
        <f t="shared" ca="1" si="24"/>
        <v/>
      </c>
      <c r="AE109" s="4" t="str">
        <f t="shared" ca="1" si="24"/>
        <v/>
      </c>
      <c r="AF109" s="4" t="str">
        <f t="shared" ca="1" si="24"/>
        <v/>
      </c>
      <c r="AG109" s="4" t="str">
        <f t="shared" ca="1" si="25"/>
        <v/>
      </c>
      <c r="AH109" s="4" t="str">
        <f t="shared" ca="1" si="25"/>
        <v/>
      </c>
      <c r="AI109" s="4" t="str">
        <f t="shared" ca="1" si="25"/>
        <v/>
      </c>
      <c r="AJ109" s="4" t="str">
        <f t="shared" ca="1" si="25"/>
        <v/>
      </c>
      <c r="AK109" s="4" t="str">
        <f t="shared" ca="1" si="25"/>
        <v/>
      </c>
      <c r="AL109" s="4" t="str">
        <f t="shared" ca="1" si="25"/>
        <v/>
      </c>
      <c r="AM109" s="4" t="str">
        <f t="shared" ca="1" si="25"/>
        <v/>
      </c>
      <c r="AN109" s="4" t="str">
        <f t="shared" ca="1" si="25"/>
        <v/>
      </c>
      <c r="AO109" s="4" t="str">
        <f t="shared" ca="1" si="25"/>
        <v/>
      </c>
      <c r="AP109" s="4" t="str">
        <f t="shared" ca="1" si="25"/>
        <v/>
      </c>
      <c r="AQ109" s="4" t="str">
        <f t="shared" ca="1" si="26"/>
        <v/>
      </c>
      <c r="AR109" s="4" t="str">
        <f t="shared" ca="1" si="26"/>
        <v/>
      </c>
      <c r="AS109" s="4" t="str">
        <f t="shared" ca="1" si="26"/>
        <v/>
      </c>
      <c r="AT109" s="4" t="str">
        <f t="shared" ca="1" si="26"/>
        <v/>
      </c>
      <c r="AU109" s="4" t="str">
        <f t="shared" ca="1" si="26"/>
        <v/>
      </c>
      <c r="AV109" s="4" t="str">
        <f t="shared" ca="1" si="26"/>
        <v/>
      </c>
      <c r="AW109" s="4" t="str">
        <f t="shared" ca="1" si="26"/>
        <v/>
      </c>
      <c r="AX109" s="4" t="str">
        <f t="shared" ca="1" si="26"/>
        <v/>
      </c>
      <c r="AY109" s="4" t="str">
        <f t="shared" ca="1" si="26"/>
        <v/>
      </c>
      <c r="AZ109" s="4" t="str">
        <f t="shared" ca="1" si="26"/>
        <v/>
      </c>
      <c r="BA109" s="4" t="str">
        <f t="shared" si="21"/>
        <v/>
      </c>
    </row>
    <row r="110" spans="1:53">
      <c r="A110">
        <v>46</v>
      </c>
      <c r="C110" s="4" t="str">
        <f t="shared" ca="1" si="22"/>
        <v/>
      </c>
      <c r="D110" s="4" t="str">
        <f t="shared" ca="1" si="22"/>
        <v/>
      </c>
      <c r="E110" s="4" t="str">
        <f t="shared" ca="1" si="22"/>
        <v/>
      </c>
      <c r="F110" s="4" t="str">
        <f t="shared" ca="1" si="22"/>
        <v/>
      </c>
      <c r="G110" s="4" t="str">
        <f t="shared" ca="1" si="22"/>
        <v/>
      </c>
      <c r="H110" s="4" t="str">
        <f t="shared" ca="1" si="22"/>
        <v/>
      </c>
      <c r="I110" s="4" t="str">
        <f t="shared" ca="1" si="22"/>
        <v/>
      </c>
      <c r="J110" s="4" t="str">
        <f t="shared" ca="1" si="22"/>
        <v/>
      </c>
      <c r="K110" s="4" t="str">
        <f t="shared" ca="1" si="22"/>
        <v/>
      </c>
      <c r="L110" s="4" t="str">
        <f t="shared" ca="1" si="22"/>
        <v/>
      </c>
      <c r="M110" s="4" t="str">
        <f t="shared" ca="1" si="23"/>
        <v/>
      </c>
      <c r="N110" s="4" t="str">
        <f t="shared" ca="1" si="23"/>
        <v/>
      </c>
      <c r="O110" s="4" t="str">
        <f t="shared" ca="1" si="23"/>
        <v/>
      </c>
      <c r="P110" s="4" t="str">
        <f t="shared" ca="1" si="23"/>
        <v/>
      </c>
      <c r="Q110" s="4" t="str">
        <f t="shared" ca="1" si="23"/>
        <v/>
      </c>
      <c r="R110" s="4" t="str">
        <f t="shared" ca="1" si="23"/>
        <v/>
      </c>
      <c r="S110" s="4" t="str">
        <f t="shared" ca="1" si="23"/>
        <v/>
      </c>
      <c r="T110" s="4" t="str">
        <f t="shared" ca="1" si="23"/>
        <v/>
      </c>
      <c r="U110" s="4" t="str">
        <f t="shared" ca="1" si="23"/>
        <v/>
      </c>
      <c r="V110" s="4" t="str">
        <f t="shared" ca="1" si="23"/>
        <v/>
      </c>
      <c r="W110" s="4" t="str">
        <f t="shared" ca="1" si="24"/>
        <v/>
      </c>
      <c r="X110" s="4" t="str">
        <f t="shared" ca="1" si="24"/>
        <v/>
      </c>
      <c r="Y110" s="4" t="str">
        <f t="shared" ca="1" si="24"/>
        <v/>
      </c>
      <c r="Z110" s="4" t="str">
        <f t="shared" ca="1" si="24"/>
        <v/>
      </c>
      <c r="AA110" s="4" t="str">
        <f t="shared" ca="1" si="24"/>
        <v/>
      </c>
      <c r="AB110" s="4" t="str">
        <f t="shared" ca="1" si="24"/>
        <v/>
      </c>
      <c r="AC110" s="4" t="str">
        <f t="shared" ca="1" si="24"/>
        <v/>
      </c>
      <c r="AD110" s="4" t="str">
        <f t="shared" ca="1" si="24"/>
        <v/>
      </c>
      <c r="AE110" s="4" t="str">
        <f t="shared" ca="1" si="24"/>
        <v/>
      </c>
      <c r="AF110" s="4" t="str">
        <f t="shared" ca="1" si="24"/>
        <v/>
      </c>
      <c r="AG110" s="4" t="str">
        <f t="shared" ca="1" si="25"/>
        <v/>
      </c>
      <c r="AH110" s="4" t="str">
        <f t="shared" ca="1" si="25"/>
        <v/>
      </c>
      <c r="AI110" s="4" t="str">
        <f t="shared" ca="1" si="25"/>
        <v/>
      </c>
      <c r="AJ110" s="4" t="str">
        <f t="shared" ca="1" si="25"/>
        <v/>
      </c>
      <c r="AK110" s="4" t="str">
        <f t="shared" ca="1" si="25"/>
        <v/>
      </c>
      <c r="AL110" s="4" t="str">
        <f t="shared" ca="1" si="25"/>
        <v/>
      </c>
      <c r="AM110" s="4" t="str">
        <f t="shared" ca="1" si="25"/>
        <v/>
      </c>
      <c r="AN110" s="4" t="str">
        <f t="shared" ca="1" si="25"/>
        <v/>
      </c>
      <c r="AO110" s="4" t="str">
        <f t="shared" ca="1" si="25"/>
        <v/>
      </c>
      <c r="AP110" s="4" t="str">
        <f t="shared" ca="1" si="25"/>
        <v/>
      </c>
      <c r="AQ110" s="4" t="str">
        <f t="shared" ca="1" si="26"/>
        <v/>
      </c>
      <c r="AR110" s="4" t="str">
        <f t="shared" ca="1" si="26"/>
        <v/>
      </c>
      <c r="AS110" s="4" t="str">
        <f t="shared" ca="1" si="26"/>
        <v/>
      </c>
      <c r="AT110" s="4" t="str">
        <f t="shared" ca="1" si="26"/>
        <v/>
      </c>
      <c r="AU110" s="4" t="str">
        <f t="shared" ca="1" si="26"/>
        <v/>
      </c>
      <c r="AV110" s="4" t="str">
        <f t="shared" ca="1" si="26"/>
        <v/>
      </c>
      <c r="AW110" s="4" t="str">
        <f t="shared" ca="1" si="26"/>
        <v/>
      </c>
      <c r="AX110" s="4" t="str">
        <f t="shared" ca="1" si="26"/>
        <v/>
      </c>
      <c r="AY110" s="4" t="str">
        <f t="shared" ca="1" si="26"/>
        <v/>
      </c>
      <c r="AZ110" s="4" t="str">
        <f t="shared" ca="1" si="26"/>
        <v/>
      </c>
      <c r="BA110" s="4" t="str">
        <f t="shared" si="21"/>
        <v/>
      </c>
    </row>
    <row r="111" spans="1:53">
      <c r="A111">
        <v>47</v>
      </c>
      <c r="C111" s="4" t="str">
        <f t="shared" ca="1" si="22"/>
        <v/>
      </c>
      <c r="D111" s="4" t="str">
        <f t="shared" ca="1" si="22"/>
        <v/>
      </c>
      <c r="E111" s="4" t="str">
        <f t="shared" ca="1" si="22"/>
        <v/>
      </c>
      <c r="F111" s="4" t="str">
        <f t="shared" ca="1" si="22"/>
        <v/>
      </c>
      <c r="G111" s="4" t="str">
        <f t="shared" ca="1" si="22"/>
        <v/>
      </c>
      <c r="H111" s="4" t="str">
        <f t="shared" ca="1" si="22"/>
        <v/>
      </c>
      <c r="I111" s="4" t="str">
        <f t="shared" ca="1" si="22"/>
        <v/>
      </c>
      <c r="J111" s="4" t="str">
        <f t="shared" ca="1" si="22"/>
        <v/>
      </c>
      <c r="K111" s="4" t="str">
        <f t="shared" ca="1" si="22"/>
        <v/>
      </c>
      <c r="L111" s="4" t="str">
        <f t="shared" ca="1" si="22"/>
        <v/>
      </c>
      <c r="M111" s="4" t="str">
        <f t="shared" ca="1" si="23"/>
        <v/>
      </c>
      <c r="N111" s="4" t="str">
        <f t="shared" ca="1" si="23"/>
        <v/>
      </c>
      <c r="O111" s="4" t="str">
        <f t="shared" ca="1" si="23"/>
        <v/>
      </c>
      <c r="P111" s="4" t="str">
        <f t="shared" ca="1" si="23"/>
        <v/>
      </c>
      <c r="Q111" s="4" t="str">
        <f t="shared" ca="1" si="23"/>
        <v/>
      </c>
      <c r="R111" s="4" t="str">
        <f t="shared" ca="1" si="23"/>
        <v/>
      </c>
      <c r="S111" s="4" t="str">
        <f t="shared" ca="1" si="23"/>
        <v/>
      </c>
      <c r="T111" s="4" t="str">
        <f t="shared" ca="1" si="23"/>
        <v/>
      </c>
      <c r="U111" s="4" t="str">
        <f t="shared" ca="1" si="23"/>
        <v/>
      </c>
      <c r="V111" s="4" t="str">
        <f t="shared" ca="1" si="23"/>
        <v/>
      </c>
      <c r="W111" s="4" t="str">
        <f t="shared" ca="1" si="24"/>
        <v/>
      </c>
      <c r="X111" s="4" t="str">
        <f t="shared" ca="1" si="24"/>
        <v/>
      </c>
      <c r="Y111" s="4" t="str">
        <f t="shared" ca="1" si="24"/>
        <v/>
      </c>
      <c r="Z111" s="4" t="str">
        <f t="shared" ca="1" si="24"/>
        <v/>
      </c>
      <c r="AA111" s="4" t="str">
        <f t="shared" ca="1" si="24"/>
        <v/>
      </c>
      <c r="AB111" s="4" t="str">
        <f t="shared" ca="1" si="24"/>
        <v/>
      </c>
      <c r="AC111" s="4" t="str">
        <f t="shared" ca="1" si="24"/>
        <v/>
      </c>
      <c r="AD111" s="4" t="str">
        <f t="shared" ca="1" si="24"/>
        <v/>
      </c>
      <c r="AE111" s="4" t="str">
        <f t="shared" ca="1" si="24"/>
        <v/>
      </c>
      <c r="AF111" s="4" t="str">
        <f t="shared" ca="1" si="24"/>
        <v/>
      </c>
      <c r="AG111" s="4" t="str">
        <f t="shared" ca="1" si="25"/>
        <v/>
      </c>
      <c r="AH111" s="4" t="str">
        <f t="shared" ca="1" si="25"/>
        <v/>
      </c>
      <c r="AI111" s="4" t="str">
        <f t="shared" ca="1" si="25"/>
        <v/>
      </c>
      <c r="AJ111" s="4" t="str">
        <f t="shared" ca="1" si="25"/>
        <v/>
      </c>
      <c r="AK111" s="4" t="str">
        <f t="shared" ca="1" si="25"/>
        <v/>
      </c>
      <c r="AL111" s="4" t="str">
        <f t="shared" ca="1" si="25"/>
        <v/>
      </c>
      <c r="AM111" s="4" t="str">
        <f t="shared" ca="1" si="25"/>
        <v/>
      </c>
      <c r="AN111" s="4" t="str">
        <f t="shared" ca="1" si="25"/>
        <v/>
      </c>
      <c r="AO111" s="4" t="str">
        <f t="shared" ca="1" si="25"/>
        <v/>
      </c>
      <c r="AP111" s="4" t="str">
        <f t="shared" ca="1" si="25"/>
        <v/>
      </c>
      <c r="AQ111" s="4" t="str">
        <f t="shared" ca="1" si="26"/>
        <v/>
      </c>
      <c r="AR111" s="4" t="str">
        <f t="shared" ca="1" si="26"/>
        <v/>
      </c>
      <c r="AS111" s="4" t="str">
        <f t="shared" ca="1" si="26"/>
        <v/>
      </c>
      <c r="AT111" s="4" t="str">
        <f t="shared" ca="1" si="26"/>
        <v/>
      </c>
      <c r="AU111" s="4" t="str">
        <f t="shared" ca="1" si="26"/>
        <v/>
      </c>
      <c r="AV111" s="4" t="str">
        <f t="shared" ca="1" si="26"/>
        <v/>
      </c>
      <c r="AW111" s="4" t="str">
        <f t="shared" ca="1" si="26"/>
        <v/>
      </c>
      <c r="AX111" s="4" t="str">
        <f t="shared" ca="1" si="26"/>
        <v/>
      </c>
      <c r="AY111" s="4" t="str">
        <f t="shared" ca="1" si="26"/>
        <v/>
      </c>
      <c r="AZ111" s="4" t="str">
        <f t="shared" ca="1" si="26"/>
        <v/>
      </c>
      <c r="BA111" s="4" t="str">
        <f t="shared" si="21"/>
        <v/>
      </c>
    </row>
    <row r="112" spans="1:53">
      <c r="A112">
        <v>48</v>
      </c>
      <c r="C112" s="4" t="str">
        <f t="shared" ca="1" si="22"/>
        <v/>
      </c>
      <c r="D112" s="4" t="str">
        <f t="shared" ca="1" si="22"/>
        <v/>
      </c>
      <c r="E112" s="4" t="str">
        <f t="shared" ca="1" si="22"/>
        <v/>
      </c>
      <c r="F112" s="4" t="str">
        <f t="shared" ca="1" si="22"/>
        <v/>
      </c>
      <c r="G112" s="4" t="str">
        <f t="shared" ca="1" si="22"/>
        <v/>
      </c>
      <c r="H112" s="4" t="str">
        <f t="shared" ca="1" si="22"/>
        <v/>
      </c>
      <c r="I112" s="4" t="str">
        <f t="shared" ca="1" si="22"/>
        <v/>
      </c>
      <c r="J112" s="4" t="str">
        <f t="shared" ca="1" si="22"/>
        <v/>
      </c>
      <c r="K112" s="4" t="str">
        <f t="shared" ca="1" si="22"/>
        <v/>
      </c>
      <c r="L112" s="4" t="str">
        <f t="shared" ca="1" si="22"/>
        <v/>
      </c>
      <c r="M112" s="4" t="str">
        <f t="shared" ca="1" si="23"/>
        <v/>
      </c>
      <c r="N112" s="4" t="str">
        <f t="shared" ca="1" si="23"/>
        <v/>
      </c>
      <c r="O112" s="4" t="str">
        <f t="shared" ca="1" si="23"/>
        <v/>
      </c>
      <c r="P112" s="4" t="str">
        <f t="shared" ca="1" si="23"/>
        <v/>
      </c>
      <c r="Q112" s="4" t="str">
        <f t="shared" ca="1" si="23"/>
        <v/>
      </c>
      <c r="R112" s="4" t="str">
        <f t="shared" ca="1" si="23"/>
        <v/>
      </c>
      <c r="S112" s="4" t="str">
        <f t="shared" ca="1" si="23"/>
        <v/>
      </c>
      <c r="T112" s="4" t="str">
        <f t="shared" ca="1" si="23"/>
        <v/>
      </c>
      <c r="U112" s="4" t="str">
        <f t="shared" ca="1" si="23"/>
        <v/>
      </c>
      <c r="V112" s="4" t="str">
        <f t="shared" ca="1" si="23"/>
        <v/>
      </c>
      <c r="W112" s="4" t="str">
        <f t="shared" ca="1" si="24"/>
        <v/>
      </c>
      <c r="X112" s="4" t="str">
        <f t="shared" ca="1" si="24"/>
        <v/>
      </c>
      <c r="Y112" s="4" t="str">
        <f t="shared" ca="1" si="24"/>
        <v/>
      </c>
      <c r="Z112" s="4" t="str">
        <f t="shared" ca="1" si="24"/>
        <v/>
      </c>
      <c r="AA112" s="4" t="str">
        <f t="shared" ca="1" si="24"/>
        <v/>
      </c>
      <c r="AB112" s="4" t="str">
        <f t="shared" ca="1" si="24"/>
        <v/>
      </c>
      <c r="AC112" s="4" t="str">
        <f t="shared" ca="1" si="24"/>
        <v/>
      </c>
      <c r="AD112" s="4" t="str">
        <f t="shared" ca="1" si="24"/>
        <v/>
      </c>
      <c r="AE112" s="4" t="str">
        <f t="shared" ca="1" si="24"/>
        <v/>
      </c>
      <c r="AF112" s="4" t="str">
        <f t="shared" ca="1" si="24"/>
        <v/>
      </c>
      <c r="AG112" s="4" t="str">
        <f t="shared" ca="1" si="25"/>
        <v/>
      </c>
      <c r="AH112" s="4" t="str">
        <f t="shared" ca="1" si="25"/>
        <v/>
      </c>
      <c r="AI112" s="4" t="str">
        <f t="shared" ca="1" si="25"/>
        <v/>
      </c>
      <c r="AJ112" s="4" t="str">
        <f t="shared" ca="1" si="25"/>
        <v/>
      </c>
      <c r="AK112" s="4" t="str">
        <f t="shared" ca="1" si="25"/>
        <v/>
      </c>
      <c r="AL112" s="4" t="str">
        <f t="shared" ca="1" si="25"/>
        <v/>
      </c>
      <c r="AM112" s="4" t="str">
        <f t="shared" ca="1" si="25"/>
        <v/>
      </c>
      <c r="AN112" s="4" t="str">
        <f t="shared" ca="1" si="25"/>
        <v/>
      </c>
      <c r="AO112" s="4" t="str">
        <f t="shared" ca="1" si="25"/>
        <v/>
      </c>
      <c r="AP112" s="4" t="str">
        <f t="shared" ca="1" si="25"/>
        <v/>
      </c>
      <c r="AQ112" s="4" t="str">
        <f t="shared" ca="1" si="26"/>
        <v/>
      </c>
      <c r="AR112" s="4" t="str">
        <f t="shared" ca="1" si="26"/>
        <v/>
      </c>
      <c r="AS112" s="4" t="str">
        <f t="shared" ca="1" si="26"/>
        <v/>
      </c>
      <c r="AT112" s="4" t="str">
        <f t="shared" ca="1" si="26"/>
        <v/>
      </c>
      <c r="AU112" s="4" t="str">
        <f t="shared" ca="1" si="26"/>
        <v/>
      </c>
      <c r="AV112" s="4" t="str">
        <f t="shared" ca="1" si="26"/>
        <v/>
      </c>
      <c r="AW112" s="4" t="str">
        <f t="shared" ca="1" si="26"/>
        <v/>
      </c>
      <c r="AX112" s="4" t="str">
        <f t="shared" ca="1" si="26"/>
        <v/>
      </c>
      <c r="AY112" s="4" t="str">
        <f t="shared" ca="1" si="26"/>
        <v/>
      </c>
      <c r="AZ112" s="4" t="str">
        <f t="shared" ca="1" si="26"/>
        <v/>
      </c>
      <c r="BA112" s="4" t="str">
        <f t="shared" si="21"/>
        <v/>
      </c>
    </row>
    <row r="113" spans="1:53">
      <c r="A113">
        <v>49</v>
      </c>
      <c r="C113" s="4" t="str">
        <f t="shared" ca="1" si="22"/>
        <v/>
      </c>
      <c r="D113" s="4" t="str">
        <f t="shared" ca="1" si="22"/>
        <v/>
      </c>
      <c r="E113" s="4" t="str">
        <f t="shared" ca="1" si="22"/>
        <v/>
      </c>
      <c r="F113" s="4" t="str">
        <f t="shared" ca="1" si="22"/>
        <v/>
      </c>
      <c r="G113" s="4" t="str">
        <f t="shared" ca="1" si="22"/>
        <v/>
      </c>
      <c r="H113" s="4" t="str">
        <f t="shared" ca="1" si="22"/>
        <v/>
      </c>
      <c r="I113" s="4" t="str">
        <f t="shared" ca="1" si="22"/>
        <v/>
      </c>
      <c r="J113" s="4" t="str">
        <f t="shared" ca="1" si="22"/>
        <v/>
      </c>
      <c r="K113" s="4" t="str">
        <f t="shared" ca="1" si="22"/>
        <v/>
      </c>
      <c r="L113" s="4" t="str">
        <f t="shared" ca="1" si="22"/>
        <v/>
      </c>
      <c r="M113" s="4" t="str">
        <f t="shared" ca="1" si="23"/>
        <v/>
      </c>
      <c r="N113" s="4" t="str">
        <f t="shared" ca="1" si="23"/>
        <v/>
      </c>
      <c r="O113" s="4" t="str">
        <f t="shared" ca="1" si="23"/>
        <v/>
      </c>
      <c r="P113" s="4" t="str">
        <f t="shared" ca="1" si="23"/>
        <v/>
      </c>
      <c r="Q113" s="4" t="str">
        <f t="shared" ca="1" si="23"/>
        <v/>
      </c>
      <c r="R113" s="4" t="str">
        <f t="shared" ca="1" si="23"/>
        <v/>
      </c>
      <c r="S113" s="4" t="str">
        <f t="shared" ca="1" si="23"/>
        <v/>
      </c>
      <c r="T113" s="4" t="str">
        <f t="shared" ca="1" si="23"/>
        <v/>
      </c>
      <c r="U113" s="4" t="str">
        <f t="shared" ca="1" si="23"/>
        <v/>
      </c>
      <c r="V113" s="4" t="str">
        <f t="shared" ca="1" si="23"/>
        <v/>
      </c>
      <c r="W113" s="4" t="str">
        <f t="shared" ca="1" si="24"/>
        <v/>
      </c>
      <c r="X113" s="4" t="str">
        <f t="shared" ca="1" si="24"/>
        <v/>
      </c>
      <c r="Y113" s="4" t="str">
        <f t="shared" ca="1" si="24"/>
        <v/>
      </c>
      <c r="Z113" s="4" t="str">
        <f t="shared" ca="1" si="24"/>
        <v/>
      </c>
      <c r="AA113" s="4" t="str">
        <f t="shared" ca="1" si="24"/>
        <v/>
      </c>
      <c r="AB113" s="4" t="str">
        <f t="shared" ca="1" si="24"/>
        <v/>
      </c>
      <c r="AC113" s="4" t="str">
        <f t="shared" ca="1" si="24"/>
        <v/>
      </c>
      <c r="AD113" s="4" t="str">
        <f t="shared" ca="1" si="24"/>
        <v/>
      </c>
      <c r="AE113" s="4" t="str">
        <f t="shared" ca="1" si="24"/>
        <v/>
      </c>
      <c r="AF113" s="4" t="str">
        <f t="shared" ca="1" si="24"/>
        <v/>
      </c>
      <c r="AG113" s="4" t="str">
        <f t="shared" ca="1" si="25"/>
        <v/>
      </c>
      <c r="AH113" s="4" t="str">
        <f t="shared" ca="1" si="25"/>
        <v/>
      </c>
      <c r="AI113" s="4" t="str">
        <f t="shared" ca="1" si="25"/>
        <v/>
      </c>
      <c r="AJ113" s="4" t="str">
        <f t="shared" ca="1" si="25"/>
        <v/>
      </c>
      <c r="AK113" s="4" t="str">
        <f t="shared" ca="1" si="25"/>
        <v/>
      </c>
      <c r="AL113" s="4" t="str">
        <f t="shared" ca="1" si="25"/>
        <v/>
      </c>
      <c r="AM113" s="4" t="str">
        <f t="shared" ca="1" si="25"/>
        <v/>
      </c>
      <c r="AN113" s="4" t="str">
        <f t="shared" ca="1" si="25"/>
        <v/>
      </c>
      <c r="AO113" s="4" t="str">
        <f t="shared" ca="1" si="25"/>
        <v/>
      </c>
      <c r="AP113" s="4" t="str">
        <f t="shared" ca="1" si="25"/>
        <v/>
      </c>
      <c r="AQ113" s="4" t="str">
        <f t="shared" ca="1" si="26"/>
        <v/>
      </c>
      <c r="AR113" s="4" t="str">
        <f t="shared" ca="1" si="26"/>
        <v/>
      </c>
      <c r="AS113" s="4" t="str">
        <f t="shared" ca="1" si="26"/>
        <v/>
      </c>
      <c r="AT113" s="4" t="str">
        <f t="shared" ca="1" si="26"/>
        <v/>
      </c>
      <c r="AU113" s="4" t="str">
        <f t="shared" ca="1" si="26"/>
        <v/>
      </c>
      <c r="AV113" s="4" t="str">
        <f t="shared" ca="1" si="26"/>
        <v/>
      </c>
      <c r="AW113" s="4" t="str">
        <f t="shared" ca="1" si="26"/>
        <v/>
      </c>
      <c r="AX113" s="4" t="str">
        <f t="shared" ca="1" si="26"/>
        <v/>
      </c>
      <c r="AY113" s="4" t="str">
        <f t="shared" ca="1" si="26"/>
        <v/>
      </c>
      <c r="AZ113" s="4" t="str">
        <f t="shared" ca="1" si="26"/>
        <v/>
      </c>
      <c r="BA113" s="4" t="str">
        <f t="shared" si="21"/>
        <v/>
      </c>
    </row>
    <row r="114" spans="1:53">
      <c r="A114">
        <v>50</v>
      </c>
      <c r="C114" s="4" t="str">
        <f t="shared" ca="1" si="22"/>
        <v/>
      </c>
      <c r="D114" s="4" t="str">
        <f t="shared" ca="1" si="22"/>
        <v/>
      </c>
      <c r="E114" s="4" t="str">
        <f t="shared" ca="1" si="22"/>
        <v/>
      </c>
      <c r="F114" s="4" t="str">
        <f t="shared" ca="1" si="22"/>
        <v/>
      </c>
      <c r="G114" s="4" t="str">
        <f t="shared" ca="1" si="22"/>
        <v/>
      </c>
      <c r="H114" s="4" t="str">
        <f t="shared" ca="1" si="22"/>
        <v/>
      </c>
      <c r="I114" s="4" t="str">
        <f t="shared" ca="1" si="22"/>
        <v/>
      </c>
      <c r="J114" s="4" t="str">
        <f t="shared" ca="1" si="22"/>
        <v/>
      </c>
      <c r="K114" s="4" t="str">
        <f t="shared" ca="1" si="22"/>
        <v/>
      </c>
      <c r="L114" s="4" t="str">
        <f t="shared" ca="1" si="22"/>
        <v/>
      </c>
      <c r="M114" s="4" t="str">
        <f t="shared" ca="1" si="23"/>
        <v/>
      </c>
      <c r="N114" s="4" t="str">
        <f t="shared" ca="1" si="23"/>
        <v/>
      </c>
      <c r="O114" s="4" t="str">
        <f t="shared" ca="1" si="23"/>
        <v/>
      </c>
      <c r="P114" s="4" t="str">
        <f t="shared" ca="1" si="23"/>
        <v/>
      </c>
      <c r="Q114" s="4" t="str">
        <f t="shared" ca="1" si="23"/>
        <v/>
      </c>
      <c r="R114" s="4" t="str">
        <f t="shared" ca="1" si="23"/>
        <v/>
      </c>
      <c r="S114" s="4" t="str">
        <f t="shared" ca="1" si="23"/>
        <v/>
      </c>
      <c r="T114" s="4" t="str">
        <f t="shared" ca="1" si="23"/>
        <v/>
      </c>
      <c r="U114" s="4" t="str">
        <f t="shared" ca="1" si="23"/>
        <v/>
      </c>
      <c r="V114" s="4" t="str">
        <f t="shared" ca="1" si="23"/>
        <v/>
      </c>
      <c r="W114" s="4" t="str">
        <f t="shared" ca="1" si="24"/>
        <v/>
      </c>
      <c r="X114" s="4" t="str">
        <f t="shared" ca="1" si="24"/>
        <v/>
      </c>
      <c r="Y114" s="4" t="str">
        <f t="shared" ca="1" si="24"/>
        <v/>
      </c>
      <c r="Z114" s="4" t="str">
        <f t="shared" ca="1" si="24"/>
        <v/>
      </c>
      <c r="AA114" s="4" t="str">
        <f t="shared" ca="1" si="24"/>
        <v/>
      </c>
      <c r="AB114" s="4" t="str">
        <f t="shared" ca="1" si="24"/>
        <v/>
      </c>
      <c r="AC114" s="4" t="str">
        <f t="shared" ca="1" si="24"/>
        <v/>
      </c>
      <c r="AD114" s="4" t="str">
        <f t="shared" ca="1" si="24"/>
        <v/>
      </c>
      <c r="AE114" s="4" t="str">
        <f t="shared" ca="1" si="24"/>
        <v/>
      </c>
      <c r="AF114" s="4" t="str">
        <f t="shared" ca="1" si="24"/>
        <v/>
      </c>
      <c r="AG114" s="4" t="str">
        <f t="shared" ca="1" si="25"/>
        <v/>
      </c>
      <c r="AH114" s="4" t="str">
        <f t="shared" ca="1" si="25"/>
        <v/>
      </c>
      <c r="AI114" s="4" t="str">
        <f t="shared" ca="1" si="25"/>
        <v/>
      </c>
      <c r="AJ114" s="4" t="str">
        <f t="shared" ca="1" si="25"/>
        <v/>
      </c>
      <c r="AK114" s="4" t="str">
        <f t="shared" ca="1" si="25"/>
        <v/>
      </c>
      <c r="AL114" s="4" t="str">
        <f t="shared" ca="1" si="25"/>
        <v/>
      </c>
      <c r="AM114" s="4" t="str">
        <f t="shared" ca="1" si="25"/>
        <v/>
      </c>
      <c r="AN114" s="4" t="str">
        <f t="shared" ca="1" si="25"/>
        <v/>
      </c>
      <c r="AO114" s="4" t="str">
        <f t="shared" ca="1" si="25"/>
        <v/>
      </c>
      <c r="AP114" s="4" t="str">
        <f t="shared" ca="1" si="25"/>
        <v/>
      </c>
      <c r="AQ114" s="4" t="str">
        <f t="shared" ca="1" si="26"/>
        <v/>
      </c>
      <c r="AR114" s="4" t="str">
        <f t="shared" ca="1" si="26"/>
        <v/>
      </c>
      <c r="AS114" s="4" t="str">
        <f t="shared" ca="1" si="26"/>
        <v/>
      </c>
      <c r="AT114" s="4" t="str">
        <f t="shared" ca="1" si="26"/>
        <v/>
      </c>
      <c r="AU114" s="4" t="str">
        <f t="shared" ca="1" si="26"/>
        <v/>
      </c>
      <c r="AV114" s="4" t="str">
        <f t="shared" ca="1" si="26"/>
        <v/>
      </c>
      <c r="AW114" s="4" t="str">
        <f t="shared" ca="1" si="26"/>
        <v/>
      </c>
      <c r="AX114" s="4" t="str">
        <f t="shared" ca="1" si="26"/>
        <v/>
      </c>
      <c r="AY114" s="4" t="str">
        <f t="shared" ca="1" si="26"/>
        <v/>
      </c>
      <c r="AZ114" s="4" t="str">
        <f t="shared" ca="1" si="26"/>
        <v/>
      </c>
      <c r="BA114" s="4" t="str">
        <f t="shared" si="21"/>
        <v/>
      </c>
    </row>
    <row r="115" spans="1:53">
      <c r="A115">
        <v>51</v>
      </c>
      <c r="C115" s="4" t="str">
        <f t="shared" ref="C115:L124" ca="1" si="27">IF(COLUMN()-2&lt;=$E$3,INDEX($B$10:$B$59,RANDBETWEEN(1,$E$3)),"")</f>
        <v/>
      </c>
      <c r="D115" s="4" t="str">
        <f t="shared" ca="1" si="27"/>
        <v/>
      </c>
      <c r="E115" s="4" t="str">
        <f t="shared" ca="1" si="27"/>
        <v/>
      </c>
      <c r="F115" s="4" t="str">
        <f t="shared" ca="1" si="27"/>
        <v/>
      </c>
      <c r="G115" s="4" t="str">
        <f t="shared" ca="1" si="27"/>
        <v/>
      </c>
      <c r="H115" s="4" t="str">
        <f t="shared" ca="1" si="27"/>
        <v/>
      </c>
      <c r="I115" s="4" t="str">
        <f t="shared" ca="1" si="27"/>
        <v/>
      </c>
      <c r="J115" s="4" t="str">
        <f t="shared" ca="1" si="27"/>
        <v/>
      </c>
      <c r="K115" s="4" t="str">
        <f t="shared" ca="1" si="27"/>
        <v/>
      </c>
      <c r="L115" s="4" t="str">
        <f t="shared" ca="1" si="27"/>
        <v/>
      </c>
      <c r="M115" s="4" t="str">
        <f t="shared" ref="M115:V124" ca="1" si="28">IF(COLUMN()-2&lt;=$E$3,INDEX($B$10:$B$59,RANDBETWEEN(1,$E$3)),"")</f>
        <v/>
      </c>
      <c r="N115" s="4" t="str">
        <f t="shared" ca="1" si="28"/>
        <v/>
      </c>
      <c r="O115" s="4" t="str">
        <f t="shared" ca="1" si="28"/>
        <v/>
      </c>
      <c r="P115" s="4" t="str">
        <f t="shared" ca="1" si="28"/>
        <v/>
      </c>
      <c r="Q115" s="4" t="str">
        <f t="shared" ca="1" si="28"/>
        <v/>
      </c>
      <c r="R115" s="4" t="str">
        <f t="shared" ca="1" si="28"/>
        <v/>
      </c>
      <c r="S115" s="4" t="str">
        <f t="shared" ca="1" si="28"/>
        <v/>
      </c>
      <c r="T115" s="4" t="str">
        <f t="shared" ca="1" si="28"/>
        <v/>
      </c>
      <c r="U115" s="4" t="str">
        <f t="shared" ca="1" si="28"/>
        <v/>
      </c>
      <c r="V115" s="4" t="str">
        <f t="shared" ca="1" si="28"/>
        <v/>
      </c>
      <c r="W115" s="4" t="str">
        <f t="shared" ref="W115:AF124" ca="1" si="29">IF(COLUMN()-2&lt;=$E$3,INDEX($B$10:$B$59,RANDBETWEEN(1,$E$3)),"")</f>
        <v/>
      </c>
      <c r="X115" s="4" t="str">
        <f t="shared" ca="1" si="29"/>
        <v/>
      </c>
      <c r="Y115" s="4" t="str">
        <f t="shared" ca="1" si="29"/>
        <v/>
      </c>
      <c r="Z115" s="4" t="str">
        <f t="shared" ca="1" si="29"/>
        <v/>
      </c>
      <c r="AA115" s="4" t="str">
        <f t="shared" ca="1" si="29"/>
        <v/>
      </c>
      <c r="AB115" s="4" t="str">
        <f t="shared" ca="1" si="29"/>
        <v/>
      </c>
      <c r="AC115" s="4" t="str">
        <f t="shared" ca="1" si="29"/>
        <v/>
      </c>
      <c r="AD115" s="4" t="str">
        <f t="shared" ca="1" si="29"/>
        <v/>
      </c>
      <c r="AE115" s="4" t="str">
        <f t="shared" ca="1" si="29"/>
        <v/>
      </c>
      <c r="AF115" s="4" t="str">
        <f t="shared" ca="1" si="29"/>
        <v/>
      </c>
      <c r="AG115" s="4" t="str">
        <f t="shared" ref="AG115:AP124" ca="1" si="30">IF(COLUMN()-2&lt;=$E$3,INDEX($B$10:$B$59,RANDBETWEEN(1,$E$3)),"")</f>
        <v/>
      </c>
      <c r="AH115" s="4" t="str">
        <f t="shared" ca="1" si="30"/>
        <v/>
      </c>
      <c r="AI115" s="4" t="str">
        <f t="shared" ca="1" si="30"/>
        <v/>
      </c>
      <c r="AJ115" s="4" t="str">
        <f t="shared" ca="1" si="30"/>
        <v/>
      </c>
      <c r="AK115" s="4" t="str">
        <f t="shared" ca="1" si="30"/>
        <v/>
      </c>
      <c r="AL115" s="4" t="str">
        <f t="shared" ca="1" si="30"/>
        <v/>
      </c>
      <c r="AM115" s="4" t="str">
        <f t="shared" ca="1" si="30"/>
        <v/>
      </c>
      <c r="AN115" s="4" t="str">
        <f t="shared" ca="1" si="30"/>
        <v/>
      </c>
      <c r="AO115" s="4" t="str">
        <f t="shared" ca="1" si="30"/>
        <v/>
      </c>
      <c r="AP115" s="4" t="str">
        <f t="shared" ca="1" si="30"/>
        <v/>
      </c>
      <c r="AQ115" s="4" t="str">
        <f t="shared" ref="AQ115:AZ124" ca="1" si="31">IF(COLUMN()-2&lt;=$E$3,INDEX($B$10:$B$59,RANDBETWEEN(1,$E$3)),"")</f>
        <v/>
      </c>
      <c r="AR115" s="4" t="str">
        <f t="shared" ca="1" si="31"/>
        <v/>
      </c>
      <c r="AS115" s="4" t="str">
        <f t="shared" ca="1" si="31"/>
        <v/>
      </c>
      <c r="AT115" s="4" t="str">
        <f t="shared" ca="1" si="31"/>
        <v/>
      </c>
      <c r="AU115" s="4" t="str">
        <f t="shared" ca="1" si="31"/>
        <v/>
      </c>
      <c r="AV115" s="4" t="str">
        <f t="shared" ca="1" si="31"/>
        <v/>
      </c>
      <c r="AW115" s="4" t="str">
        <f t="shared" ca="1" si="31"/>
        <v/>
      </c>
      <c r="AX115" s="4" t="str">
        <f t="shared" ca="1" si="31"/>
        <v/>
      </c>
      <c r="AY115" s="4" t="str">
        <f t="shared" ca="1" si="31"/>
        <v/>
      </c>
      <c r="AZ115" s="4" t="str">
        <f t="shared" ca="1" si="31"/>
        <v/>
      </c>
      <c r="BA115" s="4" t="str">
        <f t="shared" si="21"/>
        <v/>
      </c>
    </row>
    <row r="116" spans="1:53">
      <c r="A116">
        <v>52</v>
      </c>
      <c r="C116" s="4" t="str">
        <f t="shared" ca="1" si="27"/>
        <v/>
      </c>
      <c r="D116" s="4" t="str">
        <f t="shared" ca="1" si="27"/>
        <v/>
      </c>
      <c r="E116" s="4" t="str">
        <f t="shared" ca="1" si="27"/>
        <v/>
      </c>
      <c r="F116" s="4" t="str">
        <f t="shared" ca="1" si="27"/>
        <v/>
      </c>
      <c r="G116" s="4" t="str">
        <f t="shared" ca="1" si="27"/>
        <v/>
      </c>
      <c r="H116" s="4" t="str">
        <f t="shared" ca="1" si="27"/>
        <v/>
      </c>
      <c r="I116" s="4" t="str">
        <f t="shared" ca="1" si="27"/>
        <v/>
      </c>
      <c r="J116" s="4" t="str">
        <f t="shared" ca="1" si="27"/>
        <v/>
      </c>
      <c r="K116" s="4" t="str">
        <f t="shared" ca="1" si="27"/>
        <v/>
      </c>
      <c r="L116" s="4" t="str">
        <f t="shared" ca="1" si="27"/>
        <v/>
      </c>
      <c r="M116" s="4" t="str">
        <f t="shared" ca="1" si="28"/>
        <v/>
      </c>
      <c r="N116" s="4" t="str">
        <f t="shared" ca="1" si="28"/>
        <v/>
      </c>
      <c r="O116" s="4" t="str">
        <f t="shared" ca="1" si="28"/>
        <v/>
      </c>
      <c r="P116" s="4" t="str">
        <f t="shared" ca="1" si="28"/>
        <v/>
      </c>
      <c r="Q116" s="4" t="str">
        <f t="shared" ca="1" si="28"/>
        <v/>
      </c>
      <c r="R116" s="4" t="str">
        <f t="shared" ca="1" si="28"/>
        <v/>
      </c>
      <c r="S116" s="4" t="str">
        <f t="shared" ca="1" si="28"/>
        <v/>
      </c>
      <c r="T116" s="4" t="str">
        <f t="shared" ca="1" si="28"/>
        <v/>
      </c>
      <c r="U116" s="4" t="str">
        <f t="shared" ca="1" si="28"/>
        <v/>
      </c>
      <c r="V116" s="4" t="str">
        <f t="shared" ca="1" si="28"/>
        <v/>
      </c>
      <c r="W116" s="4" t="str">
        <f t="shared" ca="1" si="29"/>
        <v/>
      </c>
      <c r="X116" s="4" t="str">
        <f t="shared" ca="1" si="29"/>
        <v/>
      </c>
      <c r="Y116" s="4" t="str">
        <f t="shared" ca="1" si="29"/>
        <v/>
      </c>
      <c r="Z116" s="4" t="str">
        <f t="shared" ca="1" si="29"/>
        <v/>
      </c>
      <c r="AA116" s="4" t="str">
        <f t="shared" ca="1" si="29"/>
        <v/>
      </c>
      <c r="AB116" s="4" t="str">
        <f t="shared" ca="1" si="29"/>
        <v/>
      </c>
      <c r="AC116" s="4" t="str">
        <f t="shared" ca="1" si="29"/>
        <v/>
      </c>
      <c r="AD116" s="4" t="str">
        <f t="shared" ca="1" si="29"/>
        <v/>
      </c>
      <c r="AE116" s="4" t="str">
        <f t="shared" ca="1" si="29"/>
        <v/>
      </c>
      <c r="AF116" s="4" t="str">
        <f t="shared" ca="1" si="29"/>
        <v/>
      </c>
      <c r="AG116" s="4" t="str">
        <f t="shared" ca="1" si="30"/>
        <v/>
      </c>
      <c r="AH116" s="4" t="str">
        <f t="shared" ca="1" si="30"/>
        <v/>
      </c>
      <c r="AI116" s="4" t="str">
        <f t="shared" ca="1" si="30"/>
        <v/>
      </c>
      <c r="AJ116" s="4" t="str">
        <f t="shared" ca="1" si="30"/>
        <v/>
      </c>
      <c r="AK116" s="4" t="str">
        <f t="shared" ca="1" si="30"/>
        <v/>
      </c>
      <c r="AL116" s="4" t="str">
        <f t="shared" ca="1" si="30"/>
        <v/>
      </c>
      <c r="AM116" s="4" t="str">
        <f t="shared" ca="1" si="30"/>
        <v/>
      </c>
      <c r="AN116" s="4" t="str">
        <f t="shared" ca="1" si="30"/>
        <v/>
      </c>
      <c r="AO116" s="4" t="str">
        <f t="shared" ca="1" si="30"/>
        <v/>
      </c>
      <c r="AP116" s="4" t="str">
        <f t="shared" ca="1" si="30"/>
        <v/>
      </c>
      <c r="AQ116" s="4" t="str">
        <f t="shared" ca="1" si="31"/>
        <v/>
      </c>
      <c r="AR116" s="4" t="str">
        <f t="shared" ca="1" si="31"/>
        <v/>
      </c>
      <c r="AS116" s="4" t="str">
        <f t="shared" ca="1" si="31"/>
        <v/>
      </c>
      <c r="AT116" s="4" t="str">
        <f t="shared" ca="1" si="31"/>
        <v/>
      </c>
      <c r="AU116" s="4" t="str">
        <f t="shared" ca="1" si="31"/>
        <v/>
      </c>
      <c r="AV116" s="4" t="str">
        <f t="shared" ca="1" si="31"/>
        <v/>
      </c>
      <c r="AW116" s="4" t="str">
        <f t="shared" ca="1" si="31"/>
        <v/>
      </c>
      <c r="AX116" s="4" t="str">
        <f t="shared" ca="1" si="31"/>
        <v/>
      </c>
      <c r="AY116" s="4" t="str">
        <f t="shared" ca="1" si="31"/>
        <v/>
      </c>
      <c r="AZ116" s="4" t="str">
        <f t="shared" ca="1" si="31"/>
        <v/>
      </c>
      <c r="BA116" s="4" t="str">
        <f t="shared" si="21"/>
        <v/>
      </c>
    </row>
    <row r="117" spans="1:53">
      <c r="A117">
        <v>53</v>
      </c>
      <c r="C117" s="4" t="str">
        <f t="shared" ca="1" si="27"/>
        <v/>
      </c>
      <c r="D117" s="4" t="str">
        <f t="shared" ca="1" si="27"/>
        <v/>
      </c>
      <c r="E117" s="4" t="str">
        <f t="shared" ca="1" si="27"/>
        <v/>
      </c>
      <c r="F117" s="4" t="str">
        <f t="shared" ca="1" si="27"/>
        <v/>
      </c>
      <c r="G117" s="4" t="str">
        <f t="shared" ca="1" si="27"/>
        <v/>
      </c>
      <c r="H117" s="4" t="str">
        <f t="shared" ca="1" si="27"/>
        <v/>
      </c>
      <c r="I117" s="4" t="str">
        <f t="shared" ca="1" si="27"/>
        <v/>
      </c>
      <c r="J117" s="4" t="str">
        <f t="shared" ca="1" si="27"/>
        <v/>
      </c>
      <c r="K117" s="4" t="str">
        <f t="shared" ca="1" si="27"/>
        <v/>
      </c>
      <c r="L117" s="4" t="str">
        <f t="shared" ca="1" si="27"/>
        <v/>
      </c>
      <c r="M117" s="4" t="str">
        <f t="shared" ca="1" si="28"/>
        <v/>
      </c>
      <c r="N117" s="4" t="str">
        <f t="shared" ca="1" si="28"/>
        <v/>
      </c>
      <c r="O117" s="4" t="str">
        <f t="shared" ca="1" si="28"/>
        <v/>
      </c>
      <c r="P117" s="4" t="str">
        <f t="shared" ca="1" si="28"/>
        <v/>
      </c>
      <c r="Q117" s="4" t="str">
        <f t="shared" ca="1" si="28"/>
        <v/>
      </c>
      <c r="R117" s="4" t="str">
        <f t="shared" ca="1" si="28"/>
        <v/>
      </c>
      <c r="S117" s="4" t="str">
        <f t="shared" ca="1" si="28"/>
        <v/>
      </c>
      <c r="T117" s="4" t="str">
        <f t="shared" ca="1" si="28"/>
        <v/>
      </c>
      <c r="U117" s="4" t="str">
        <f t="shared" ca="1" si="28"/>
        <v/>
      </c>
      <c r="V117" s="4" t="str">
        <f t="shared" ca="1" si="28"/>
        <v/>
      </c>
      <c r="W117" s="4" t="str">
        <f t="shared" ca="1" si="29"/>
        <v/>
      </c>
      <c r="X117" s="4" t="str">
        <f t="shared" ca="1" si="29"/>
        <v/>
      </c>
      <c r="Y117" s="4" t="str">
        <f t="shared" ca="1" si="29"/>
        <v/>
      </c>
      <c r="Z117" s="4" t="str">
        <f t="shared" ca="1" si="29"/>
        <v/>
      </c>
      <c r="AA117" s="4" t="str">
        <f t="shared" ca="1" si="29"/>
        <v/>
      </c>
      <c r="AB117" s="4" t="str">
        <f t="shared" ca="1" si="29"/>
        <v/>
      </c>
      <c r="AC117" s="4" t="str">
        <f t="shared" ca="1" si="29"/>
        <v/>
      </c>
      <c r="AD117" s="4" t="str">
        <f t="shared" ca="1" si="29"/>
        <v/>
      </c>
      <c r="AE117" s="4" t="str">
        <f t="shared" ca="1" si="29"/>
        <v/>
      </c>
      <c r="AF117" s="4" t="str">
        <f t="shared" ca="1" si="29"/>
        <v/>
      </c>
      <c r="AG117" s="4" t="str">
        <f t="shared" ca="1" si="30"/>
        <v/>
      </c>
      <c r="AH117" s="4" t="str">
        <f t="shared" ca="1" si="30"/>
        <v/>
      </c>
      <c r="AI117" s="4" t="str">
        <f t="shared" ca="1" si="30"/>
        <v/>
      </c>
      <c r="AJ117" s="4" t="str">
        <f t="shared" ca="1" si="30"/>
        <v/>
      </c>
      <c r="AK117" s="4" t="str">
        <f t="shared" ca="1" si="30"/>
        <v/>
      </c>
      <c r="AL117" s="4" t="str">
        <f t="shared" ca="1" si="30"/>
        <v/>
      </c>
      <c r="AM117" s="4" t="str">
        <f t="shared" ca="1" si="30"/>
        <v/>
      </c>
      <c r="AN117" s="4" t="str">
        <f t="shared" ca="1" si="30"/>
        <v/>
      </c>
      <c r="AO117" s="4" t="str">
        <f t="shared" ca="1" si="30"/>
        <v/>
      </c>
      <c r="AP117" s="4" t="str">
        <f t="shared" ca="1" si="30"/>
        <v/>
      </c>
      <c r="AQ117" s="4" t="str">
        <f t="shared" ca="1" si="31"/>
        <v/>
      </c>
      <c r="AR117" s="4" t="str">
        <f t="shared" ca="1" si="31"/>
        <v/>
      </c>
      <c r="AS117" s="4" t="str">
        <f t="shared" ca="1" si="31"/>
        <v/>
      </c>
      <c r="AT117" s="4" t="str">
        <f t="shared" ca="1" si="31"/>
        <v/>
      </c>
      <c r="AU117" s="4" t="str">
        <f t="shared" ca="1" si="31"/>
        <v/>
      </c>
      <c r="AV117" s="4" t="str">
        <f t="shared" ca="1" si="31"/>
        <v/>
      </c>
      <c r="AW117" s="4" t="str">
        <f t="shared" ca="1" si="31"/>
        <v/>
      </c>
      <c r="AX117" s="4" t="str">
        <f t="shared" ca="1" si="31"/>
        <v/>
      </c>
      <c r="AY117" s="4" t="str">
        <f t="shared" ca="1" si="31"/>
        <v/>
      </c>
      <c r="AZ117" s="4" t="str">
        <f t="shared" ca="1" si="31"/>
        <v/>
      </c>
      <c r="BA117" s="4" t="str">
        <f t="shared" si="21"/>
        <v/>
      </c>
    </row>
    <row r="118" spans="1:53">
      <c r="A118">
        <v>54</v>
      </c>
      <c r="C118" s="4" t="str">
        <f t="shared" ca="1" si="27"/>
        <v/>
      </c>
      <c r="D118" s="4" t="str">
        <f t="shared" ca="1" si="27"/>
        <v/>
      </c>
      <c r="E118" s="4" t="str">
        <f t="shared" ca="1" si="27"/>
        <v/>
      </c>
      <c r="F118" s="4" t="str">
        <f t="shared" ca="1" si="27"/>
        <v/>
      </c>
      <c r="G118" s="4" t="str">
        <f t="shared" ca="1" si="27"/>
        <v/>
      </c>
      <c r="H118" s="4" t="str">
        <f t="shared" ca="1" si="27"/>
        <v/>
      </c>
      <c r="I118" s="4" t="str">
        <f t="shared" ca="1" si="27"/>
        <v/>
      </c>
      <c r="J118" s="4" t="str">
        <f t="shared" ca="1" si="27"/>
        <v/>
      </c>
      <c r="K118" s="4" t="str">
        <f t="shared" ca="1" si="27"/>
        <v/>
      </c>
      <c r="L118" s="4" t="str">
        <f t="shared" ca="1" si="27"/>
        <v/>
      </c>
      <c r="M118" s="4" t="str">
        <f t="shared" ca="1" si="28"/>
        <v/>
      </c>
      <c r="N118" s="4" t="str">
        <f t="shared" ca="1" si="28"/>
        <v/>
      </c>
      <c r="O118" s="4" t="str">
        <f t="shared" ca="1" si="28"/>
        <v/>
      </c>
      <c r="P118" s="4" t="str">
        <f t="shared" ca="1" si="28"/>
        <v/>
      </c>
      <c r="Q118" s="4" t="str">
        <f t="shared" ca="1" si="28"/>
        <v/>
      </c>
      <c r="R118" s="4" t="str">
        <f t="shared" ca="1" si="28"/>
        <v/>
      </c>
      <c r="S118" s="4" t="str">
        <f t="shared" ca="1" si="28"/>
        <v/>
      </c>
      <c r="T118" s="4" t="str">
        <f t="shared" ca="1" si="28"/>
        <v/>
      </c>
      <c r="U118" s="4" t="str">
        <f t="shared" ca="1" si="28"/>
        <v/>
      </c>
      <c r="V118" s="4" t="str">
        <f t="shared" ca="1" si="28"/>
        <v/>
      </c>
      <c r="W118" s="4" t="str">
        <f t="shared" ca="1" si="29"/>
        <v/>
      </c>
      <c r="X118" s="4" t="str">
        <f t="shared" ca="1" si="29"/>
        <v/>
      </c>
      <c r="Y118" s="4" t="str">
        <f t="shared" ca="1" si="29"/>
        <v/>
      </c>
      <c r="Z118" s="4" t="str">
        <f t="shared" ca="1" si="29"/>
        <v/>
      </c>
      <c r="AA118" s="4" t="str">
        <f t="shared" ca="1" si="29"/>
        <v/>
      </c>
      <c r="AB118" s="4" t="str">
        <f t="shared" ca="1" si="29"/>
        <v/>
      </c>
      <c r="AC118" s="4" t="str">
        <f t="shared" ca="1" si="29"/>
        <v/>
      </c>
      <c r="AD118" s="4" t="str">
        <f t="shared" ca="1" si="29"/>
        <v/>
      </c>
      <c r="AE118" s="4" t="str">
        <f t="shared" ca="1" si="29"/>
        <v/>
      </c>
      <c r="AF118" s="4" t="str">
        <f t="shared" ca="1" si="29"/>
        <v/>
      </c>
      <c r="AG118" s="4" t="str">
        <f t="shared" ca="1" si="30"/>
        <v/>
      </c>
      <c r="AH118" s="4" t="str">
        <f t="shared" ca="1" si="30"/>
        <v/>
      </c>
      <c r="AI118" s="4" t="str">
        <f t="shared" ca="1" si="30"/>
        <v/>
      </c>
      <c r="AJ118" s="4" t="str">
        <f t="shared" ca="1" si="30"/>
        <v/>
      </c>
      <c r="AK118" s="4" t="str">
        <f t="shared" ca="1" si="30"/>
        <v/>
      </c>
      <c r="AL118" s="4" t="str">
        <f t="shared" ca="1" si="30"/>
        <v/>
      </c>
      <c r="AM118" s="4" t="str">
        <f t="shared" ca="1" si="30"/>
        <v/>
      </c>
      <c r="AN118" s="4" t="str">
        <f t="shared" ca="1" si="30"/>
        <v/>
      </c>
      <c r="AO118" s="4" t="str">
        <f t="shared" ca="1" si="30"/>
        <v/>
      </c>
      <c r="AP118" s="4" t="str">
        <f t="shared" ca="1" si="30"/>
        <v/>
      </c>
      <c r="AQ118" s="4" t="str">
        <f t="shared" ca="1" si="31"/>
        <v/>
      </c>
      <c r="AR118" s="4" t="str">
        <f t="shared" ca="1" si="31"/>
        <v/>
      </c>
      <c r="AS118" s="4" t="str">
        <f t="shared" ca="1" si="31"/>
        <v/>
      </c>
      <c r="AT118" s="4" t="str">
        <f t="shared" ca="1" si="31"/>
        <v/>
      </c>
      <c r="AU118" s="4" t="str">
        <f t="shared" ca="1" si="31"/>
        <v/>
      </c>
      <c r="AV118" s="4" t="str">
        <f t="shared" ca="1" si="31"/>
        <v/>
      </c>
      <c r="AW118" s="4" t="str">
        <f t="shared" ca="1" si="31"/>
        <v/>
      </c>
      <c r="AX118" s="4" t="str">
        <f t="shared" ca="1" si="31"/>
        <v/>
      </c>
      <c r="AY118" s="4" t="str">
        <f t="shared" ca="1" si="31"/>
        <v/>
      </c>
      <c r="AZ118" s="4" t="str">
        <f t="shared" ca="1" si="31"/>
        <v/>
      </c>
      <c r="BA118" s="4" t="str">
        <f t="shared" si="21"/>
        <v/>
      </c>
    </row>
    <row r="119" spans="1:53">
      <c r="A119">
        <v>55</v>
      </c>
      <c r="C119" s="4" t="str">
        <f t="shared" ca="1" si="27"/>
        <v/>
      </c>
      <c r="D119" s="4" t="str">
        <f t="shared" ca="1" si="27"/>
        <v/>
      </c>
      <c r="E119" s="4" t="str">
        <f t="shared" ca="1" si="27"/>
        <v/>
      </c>
      <c r="F119" s="4" t="str">
        <f t="shared" ca="1" si="27"/>
        <v/>
      </c>
      <c r="G119" s="4" t="str">
        <f t="shared" ca="1" si="27"/>
        <v/>
      </c>
      <c r="H119" s="4" t="str">
        <f t="shared" ca="1" si="27"/>
        <v/>
      </c>
      <c r="I119" s="4" t="str">
        <f t="shared" ca="1" si="27"/>
        <v/>
      </c>
      <c r="J119" s="4" t="str">
        <f t="shared" ca="1" si="27"/>
        <v/>
      </c>
      <c r="K119" s="4" t="str">
        <f t="shared" ca="1" si="27"/>
        <v/>
      </c>
      <c r="L119" s="4" t="str">
        <f t="shared" ca="1" si="27"/>
        <v/>
      </c>
      <c r="M119" s="4" t="str">
        <f t="shared" ca="1" si="28"/>
        <v/>
      </c>
      <c r="N119" s="4" t="str">
        <f t="shared" ca="1" si="28"/>
        <v/>
      </c>
      <c r="O119" s="4" t="str">
        <f t="shared" ca="1" si="28"/>
        <v/>
      </c>
      <c r="P119" s="4" t="str">
        <f t="shared" ca="1" si="28"/>
        <v/>
      </c>
      <c r="Q119" s="4" t="str">
        <f t="shared" ca="1" si="28"/>
        <v/>
      </c>
      <c r="R119" s="4" t="str">
        <f t="shared" ca="1" si="28"/>
        <v/>
      </c>
      <c r="S119" s="4" t="str">
        <f t="shared" ca="1" si="28"/>
        <v/>
      </c>
      <c r="T119" s="4" t="str">
        <f t="shared" ca="1" si="28"/>
        <v/>
      </c>
      <c r="U119" s="4" t="str">
        <f t="shared" ca="1" si="28"/>
        <v/>
      </c>
      <c r="V119" s="4" t="str">
        <f t="shared" ca="1" si="28"/>
        <v/>
      </c>
      <c r="W119" s="4" t="str">
        <f t="shared" ca="1" si="29"/>
        <v/>
      </c>
      <c r="X119" s="4" t="str">
        <f t="shared" ca="1" si="29"/>
        <v/>
      </c>
      <c r="Y119" s="4" t="str">
        <f t="shared" ca="1" si="29"/>
        <v/>
      </c>
      <c r="Z119" s="4" t="str">
        <f t="shared" ca="1" si="29"/>
        <v/>
      </c>
      <c r="AA119" s="4" t="str">
        <f t="shared" ca="1" si="29"/>
        <v/>
      </c>
      <c r="AB119" s="4" t="str">
        <f t="shared" ca="1" si="29"/>
        <v/>
      </c>
      <c r="AC119" s="4" t="str">
        <f t="shared" ca="1" si="29"/>
        <v/>
      </c>
      <c r="AD119" s="4" t="str">
        <f t="shared" ca="1" si="29"/>
        <v/>
      </c>
      <c r="AE119" s="4" t="str">
        <f t="shared" ca="1" si="29"/>
        <v/>
      </c>
      <c r="AF119" s="4" t="str">
        <f t="shared" ca="1" si="29"/>
        <v/>
      </c>
      <c r="AG119" s="4" t="str">
        <f t="shared" ca="1" si="30"/>
        <v/>
      </c>
      <c r="AH119" s="4" t="str">
        <f t="shared" ca="1" si="30"/>
        <v/>
      </c>
      <c r="AI119" s="4" t="str">
        <f t="shared" ca="1" si="30"/>
        <v/>
      </c>
      <c r="AJ119" s="4" t="str">
        <f t="shared" ca="1" si="30"/>
        <v/>
      </c>
      <c r="AK119" s="4" t="str">
        <f t="shared" ca="1" si="30"/>
        <v/>
      </c>
      <c r="AL119" s="4" t="str">
        <f t="shared" ca="1" si="30"/>
        <v/>
      </c>
      <c r="AM119" s="4" t="str">
        <f t="shared" ca="1" si="30"/>
        <v/>
      </c>
      <c r="AN119" s="4" t="str">
        <f t="shared" ca="1" si="30"/>
        <v/>
      </c>
      <c r="AO119" s="4" t="str">
        <f t="shared" ca="1" si="30"/>
        <v/>
      </c>
      <c r="AP119" s="4" t="str">
        <f t="shared" ca="1" si="30"/>
        <v/>
      </c>
      <c r="AQ119" s="4" t="str">
        <f t="shared" ca="1" si="31"/>
        <v/>
      </c>
      <c r="AR119" s="4" t="str">
        <f t="shared" ca="1" si="31"/>
        <v/>
      </c>
      <c r="AS119" s="4" t="str">
        <f t="shared" ca="1" si="31"/>
        <v/>
      </c>
      <c r="AT119" s="4" t="str">
        <f t="shared" ca="1" si="31"/>
        <v/>
      </c>
      <c r="AU119" s="4" t="str">
        <f t="shared" ca="1" si="31"/>
        <v/>
      </c>
      <c r="AV119" s="4" t="str">
        <f t="shared" ca="1" si="31"/>
        <v/>
      </c>
      <c r="AW119" s="4" t="str">
        <f t="shared" ca="1" si="31"/>
        <v/>
      </c>
      <c r="AX119" s="4" t="str">
        <f t="shared" ca="1" si="31"/>
        <v/>
      </c>
      <c r="AY119" s="4" t="str">
        <f t="shared" ca="1" si="31"/>
        <v/>
      </c>
      <c r="AZ119" s="4" t="str">
        <f t="shared" ca="1" si="31"/>
        <v/>
      </c>
      <c r="BA119" s="4" t="str">
        <f t="shared" si="21"/>
        <v/>
      </c>
    </row>
    <row r="120" spans="1:53">
      <c r="A120">
        <v>56</v>
      </c>
      <c r="C120" s="4" t="str">
        <f t="shared" ca="1" si="27"/>
        <v/>
      </c>
      <c r="D120" s="4" t="str">
        <f t="shared" ca="1" si="27"/>
        <v/>
      </c>
      <c r="E120" s="4" t="str">
        <f t="shared" ca="1" si="27"/>
        <v/>
      </c>
      <c r="F120" s="4" t="str">
        <f t="shared" ca="1" si="27"/>
        <v/>
      </c>
      <c r="G120" s="4" t="str">
        <f t="shared" ca="1" si="27"/>
        <v/>
      </c>
      <c r="H120" s="4" t="str">
        <f t="shared" ca="1" si="27"/>
        <v/>
      </c>
      <c r="I120" s="4" t="str">
        <f t="shared" ca="1" si="27"/>
        <v/>
      </c>
      <c r="J120" s="4" t="str">
        <f t="shared" ca="1" si="27"/>
        <v/>
      </c>
      <c r="K120" s="4" t="str">
        <f t="shared" ca="1" si="27"/>
        <v/>
      </c>
      <c r="L120" s="4" t="str">
        <f t="shared" ca="1" si="27"/>
        <v/>
      </c>
      <c r="M120" s="4" t="str">
        <f t="shared" ca="1" si="28"/>
        <v/>
      </c>
      <c r="N120" s="4" t="str">
        <f t="shared" ca="1" si="28"/>
        <v/>
      </c>
      <c r="O120" s="4" t="str">
        <f t="shared" ca="1" si="28"/>
        <v/>
      </c>
      <c r="P120" s="4" t="str">
        <f t="shared" ca="1" si="28"/>
        <v/>
      </c>
      <c r="Q120" s="4" t="str">
        <f t="shared" ca="1" si="28"/>
        <v/>
      </c>
      <c r="R120" s="4" t="str">
        <f t="shared" ca="1" si="28"/>
        <v/>
      </c>
      <c r="S120" s="4" t="str">
        <f t="shared" ca="1" si="28"/>
        <v/>
      </c>
      <c r="T120" s="4" t="str">
        <f t="shared" ca="1" si="28"/>
        <v/>
      </c>
      <c r="U120" s="4" t="str">
        <f t="shared" ca="1" si="28"/>
        <v/>
      </c>
      <c r="V120" s="4" t="str">
        <f t="shared" ca="1" si="28"/>
        <v/>
      </c>
      <c r="W120" s="4" t="str">
        <f t="shared" ca="1" si="29"/>
        <v/>
      </c>
      <c r="X120" s="4" t="str">
        <f t="shared" ca="1" si="29"/>
        <v/>
      </c>
      <c r="Y120" s="4" t="str">
        <f t="shared" ca="1" si="29"/>
        <v/>
      </c>
      <c r="Z120" s="4" t="str">
        <f t="shared" ca="1" si="29"/>
        <v/>
      </c>
      <c r="AA120" s="4" t="str">
        <f t="shared" ca="1" si="29"/>
        <v/>
      </c>
      <c r="AB120" s="4" t="str">
        <f t="shared" ca="1" si="29"/>
        <v/>
      </c>
      <c r="AC120" s="4" t="str">
        <f t="shared" ca="1" si="29"/>
        <v/>
      </c>
      <c r="AD120" s="4" t="str">
        <f t="shared" ca="1" si="29"/>
        <v/>
      </c>
      <c r="AE120" s="4" t="str">
        <f t="shared" ca="1" si="29"/>
        <v/>
      </c>
      <c r="AF120" s="4" t="str">
        <f t="shared" ca="1" si="29"/>
        <v/>
      </c>
      <c r="AG120" s="4" t="str">
        <f t="shared" ca="1" si="30"/>
        <v/>
      </c>
      <c r="AH120" s="4" t="str">
        <f t="shared" ca="1" si="30"/>
        <v/>
      </c>
      <c r="AI120" s="4" t="str">
        <f t="shared" ca="1" si="30"/>
        <v/>
      </c>
      <c r="AJ120" s="4" t="str">
        <f t="shared" ca="1" si="30"/>
        <v/>
      </c>
      <c r="AK120" s="4" t="str">
        <f t="shared" ca="1" si="30"/>
        <v/>
      </c>
      <c r="AL120" s="4" t="str">
        <f t="shared" ca="1" si="30"/>
        <v/>
      </c>
      <c r="AM120" s="4" t="str">
        <f t="shared" ca="1" si="30"/>
        <v/>
      </c>
      <c r="AN120" s="4" t="str">
        <f t="shared" ca="1" si="30"/>
        <v/>
      </c>
      <c r="AO120" s="4" t="str">
        <f t="shared" ca="1" si="30"/>
        <v/>
      </c>
      <c r="AP120" s="4" t="str">
        <f t="shared" ca="1" si="30"/>
        <v/>
      </c>
      <c r="AQ120" s="4" t="str">
        <f t="shared" ca="1" si="31"/>
        <v/>
      </c>
      <c r="AR120" s="4" t="str">
        <f t="shared" ca="1" si="31"/>
        <v/>
      </c>
      <c r="AS120" s="4" t="str">
        <f t="shared" ca="1" si="31"/>
        <v/>
      </c>
      <c r="AT120" s="4" t="str">
        <f t="shared" ca="1" si="31"/>
        <v/>
      </c>
      <c r="AU120" s="4" t="str">
        <f t="shared" ca="1" si="31"/>
        <v/>
      </c>
      <c r="AV120" s="4" t="str">
        <f t="shared" ca="1" si="31"/>
        <v/>
      </c>
      <c r="AW120" s="4" t="str">
        <f t="shared" ca="1" si="31"/>
        <v/>
      </c>
      <c r="AX120" s="4" t="str">
        <f t="shared" ca="1" si="31"/>
        <v/>
      </c>
      <c r="AY120" s="4" t="str">
        <f t="shared" ca="1" si="31"/>
        <v/>
      </c>
      <c r="AZ120" s="4" t="str">
        <f t="shared" ca="1" si="31"/>
        <v/>
      </c>
      <c r="BA120" s="4" t="str">
        <f t="shared" si="21"/>
        <v/>
      </c>
    </row>
    <row r="121" spans="1:53">
      <c r="A121">
        <v>57</v>
      </c>
      <c r="C121" s="4" t="str">
        <f t="shared" ca="1" si="27"/>
        <v/>
      </c>
      <c r="D121" s="4" t="str">
        <f t="shared" ca="1" si="27"/>
        <v/>
      </c>
      <c r="E121" s="4" t="str">
        <f t="shared" ca="1" si="27"/>
        <v/>
      </c>
      <c r="F121" s="4" t="str">
        <f t="shared" ca="1" si="27"/>
        <v/>
      </c>
      <c r="G121" s="4" t="str">
        <f t="shared" ca="1" si="27"/>
        <v/>
      </c>
      <c r="H121" s="4" t="str">
        <f t="shared" ca="1" si="27"/>
        <v/>
      </c>
      <c r="I121" s="4" t="str">
        <f t="shared" ca="1" si="27"/>
        <v/>
      </c>
      <c r="J121" s="4" t="str">
        <f t="shared" ca="1" si="27"/>
        <v/>
      </c>
      <c r="K121" s="4" t="str">
        <f t="shared" ca="1" si="27"/>
        <v/>
      </c>
      <c r="L121" s="4" t="str">
        <f t="shared" ca="1" si="27"/>
        <v/>
      </c>
      <c r="M121" s="4" t="str">
        <f t="shared" ca="1" si="28"/>
        <v/>
      </c>
      <c r="N121" s="4" t="str">
        <f t="shared" ca="1" si="28"/>
        <v/>
      </c>
      <c r="O121" s="4" t="str">
        <f t="shared" ca="1" si="28"/>
        <v/>
      </c>
      <c r="P121" s="4" t="str">
        <f t="shared" ca="1" si="28"/>
        <v/>
      </c>
      <c r="Q121" s="4" t="str">
        <f t="shared" ca="1" si="28"/>
        <v/>
      </c>
      <c r="R121" s="4" t="str">
        <f t="shared" ca="1" si="28"/>
        <v/>
      </c>
      <c r="S121" s="4" t="str">
        <f t="shared" ca="1" si="28"/>
        <v/>
      </c>
      <c r="T121" s="4" t="str">
        <f t="shared" ca="1" si="28"/>
        <v/>
      </c>
      <c r="U121" s="4" t="str">
        <f t="shared" ca="1" si="28"/>
        <v/>
      </c>
      <c r="V121" s="4" t="str">
        <f t="shared" ca="1" si="28"/>
        <v/>
      </c>
      <c r="W121" s="4" t="str">
        <f t="shared" ca="1" si="29"/>
        <v/>
      </c>
      <c r="X121" s="4" t="str">
        <f t="shared" ca="1" si="29"/>
        <v/>
      </c>
      <c r="Y121" s="4" t="str">
        <f t="shared" ca="1" si="29"/>
        <v/>
      </c>
      <c r="Z121" s="4" t="str">
        <f t="shared" ca="1" si="29"/>
        <v/>
      </c>
      <c r="AA121" s="4" t="str">
        <f t="shared" ca="1" si="29"/>
        <v/>
      </c>
      <c r="AB121" s="4" t="str">
        <f t="shared" ca="1" si="29"/>
        <v/>
      </c>
      <c r="AC121" s="4" t="str">
        <f t="shared" ca="1" si="29"/>
        <v/>
      </c>
      <c r="AD121" s="4" t="str">
        <f t="shared" ca="1" si="29"/>
        <v/>
      </c>
      <c r="AE121" s="4" t="str">
        <f t="shared" ca="1" si="29"/>
        <v/>
      </c>
      <c r="AF121" s="4" t="str">
        <f t="shared" ca="1" si="29"/>
        <v/>
      </c>
      <c r="AG121" s="4" t="str">
        <f t="shared" ca="1" si="30"/>
        <v/>
      </c>
      <c r="AH121" s="4" t="str">
        <f t="shared" ca="1" si="30"/>
        <v/>
      </c>
      <c r="AI121" s="4" t="str">
        <f t="shared" ca="1" si="30"/>
        <v/>
      </c>
      <c r="AJ121" s="4" t="str">
        <f t="shared" ca="1" si="30"/>
        <v/>
      </c>
      <c r="AK121" s="4" t="str">
        <f t="shared" ca="1" si="30"/>
        <v/>
      </c>
      <c r="AL121" s="4" t="str">
        <f t="shared" ca="1" si="30"/>
        <v/>
      </c>
      <c r="AM121" s="4" t="str">
        <f t="shared" ca="1" si="30"/>
        <v/>
      </c>
      <c r="AN121" s="4" t="str">
        <f t="shared" ca="1" si="30"/>
        <v/>
      </c>
      <c r="AO121" s="4" t="str">
        <f t="shared" ca="1" si="30"/>
        <v/>
      </c>
      <c r="AP121" s="4" t="str">
        <f t="shared" ca="1" si="30"/>
        <v/>
      </c>
      <c r="AQ121" s="4" t="str">
        <f t="shared" ca="1" si="31"/>
        <v/>
      </c>
      <c r="AR121" s="4" t="str">
        <f t="shared" ca="1" si="31"/>
        <v/>
      </c>
      <c r="AS121" s="4" t="str">
        <f t="shared" ca="1" si="31"/>
        <v/>
      </c>
      <c r="AT121" s="4" t="str">
        <f t="shared" ca="1" si="31"/>
        <v/>
      </c>
      <c r="AU121" s="4" t="str">
        <f t="shared" ca="1" si="31"/>
        <v/>
      </c>
      <c r="AV121" s="4" t="str">
        <f t="shared" ca="1" si="31"/>
        <v/>
      </c>
      <c r="AW121" s="4" t="str">
        <f t="shared" ca="1" si="31"/>
        <v/>
      </c>
      <c r="AX121" s="4" t="str">
        <f t="shared" ca="1" si="31"/>
        <v/>
      </c>
      <c r="AY121" s="4" t="str">
        <f t="shared" ca="1" si="31"/>
        <v/>
      </c>
      <c r="AZ121" s="4" t="str">
        <f t="shared" ca="1" si="31"/>
        <v/>
      </c>
      <c r="BA121" s="4" t="str">
        <f t="shared" si="21"/>
        <v/>
      </c>
    </row>
    <row r="122" spans="1:53">
      <c r="A122">
        <v>58</v>
      </c>
      <c r="C122" s="4" t="str">
        <f t="shared" ca="1" si="27"/>
        <v/>
      </c>
      <c r="D122" s="4" t="str">
        <f t="shared" ca="1" si="27"/>
        <v/>
      </c>
      <c r="E122" s="4" t="str">
        <f t="shared" ca="1" si="27"/>
        <v/>
      </c>
      <c r="F122" s="4" t="str">
        <f t="shared" ca="1" si="27"/>
        <v/>
      </c>
      <c r="G122" s="4" t="str">
        <f t="shared" ca="1" si="27"/>
        <v/>
      </c>
      <c r="H122" s="4" t="str">
        <f t="shared" ca="1" si="27"/>
        <v/>
      </c>
      <c r="I122" s="4" t="str">
        <f t="shared" ca="1" si="27"/>
        <v/>
      </c>
      <c r="J122" s="4" t="str">
        <f t="shared" ca="1" si="27"/>
        <v/>
      </c>
      <c r="K122" s="4" t="str">
        <f t="shared" ca="1" si="27"/>
        <v/>
      </c>
      <c r="L122" s="4" t="str">
        <f t="shared" ca="1" si="27"/>
        <v/>
      </c>
      <c r="M122" s="4" t="str">
        <f t="shared" ca="1" si="28"/>
        <v/>
      </c>
      <c r="N122" s="4" t="str">
        <f t="shared" ca="1" si="28"/>
        <v/>
      </c>
      <c r="O122" s="4" t="str">
        <f t="shared" ca="1" si="28"/>
        <v/>
      </c>
      <c r="P122" s="4" t="str">
        <f t="shared" ca="1" si="28"/>
        <v/>
      </c>
      <c r="Q122" s="4" t="str">
        <f t="shared" ca="1" si="28"/>
        <v/>
      </c>
      <c r="R122" s="4" t="str">
        <f t="shared" ca="1" si="28"/>
        <v/>
      </c>
      <c r="S122" s="4" t="str">
        <f t="shared" ca="1" si="28"/>
        <v/>
      </c>
      <c r="T122" s="4" t="str">
        <f t="shared" ca="1" si="28"/>
        <v/>
      </c>
      <c r="U122" s="4" t="str">
        <f t="shared" ca="1" si="28"/>
        <v/>
      </c>
      <c r="V122" s="4" t="str">
        <f t="shared" ca="1" si="28"/>
        <v/>
      </c>
      <c r="W122" s="4" t="str">
        <f t="shared" ca="1" si="29"/>
        <v/>
      </c>
      <c r="X122" s="4" t="str">
        <f t="shared" ca="1" si="29"/>
        <v/>
      </c>
      <c r="Y122" s="4" t="str">
        <f t="shared" ca="1" si="29"/>
        <v/>
      </c>
      <c r="Z122" s="4" t="str">
        <f t="shared" ca="1" si="29"/>
        <v/>
      </c>
      <c r="AA122" s="4" t="str">
        <f t="shared" ca="1" si="29"/>
        <v/>
      </c>
      <c r="AB122" s="4" t="str">
        <f t="shared" ca="1" si="29"/>
        <v/>
      </c>
      <c r="AC122" s="4" t="str">
        <f t="shared" ca="1" si="29"/>
        <v/>
      </c>
      <c r="AD122" s="4" t="str">
        <f t="shared" ca="1" si="29"/>
        <v/>
      </c>
      <c r="AE122" s="4" t="str">
        <f t="shared" ca="1" si="29"/>
        <v/>
      </c>
      <c r="AF122" s="4" t="str">
        <f t="shared" ca="1" si="29"/>
        <v/>
      </c>
      <c r="AG122" s="4" t="str">
        <f t="shared" ca="1" si="30"/>
        <v/>
      </c>
      <c r="AH122" s="4" t="str">
        <f t="shared" ca="1" si="30"/>
        <v/>
      </c>
      <c r="AI122" s="4" t="str">
        <f t="shared" ca="1" si="30"/>
        <v/>
      </c>
      <c r="AJ122" s="4" t="str">
        <f t="shared" ca="1" si="30"/>
        <v/>
      </c>
      <c r="AK122" s="4" t="str">
        <f t="shared" ca="1" si="30"/>
        <v/>
      </c>
      <c r="AL122" s="4" t="str">
        <f t="shared" ca="1" si="30"/>
        <v/>
      </c>
      <c r="AM122" s="4" t="str">
        <f t="shared" ca="1" si="30"/>
        <v/>
      </c>
      <c r="AN122" s="4" t="str">
        <f t="shared" ca="1" si="30"/>
        <v/>
      </c>
      <c r="AO122" s="4" t="str">
        <f t="shared" ca="1" si="30"/>
        <v/>
      </c>
      <c r="AP122" s="4" t="str">
        <f t="shared" ca="1" si="30"/>
        <v/>
      </c>
      <c r="AQ122" s="4" t="str">
        <f t="shared" ca="1" si="31"/>
        <v/>
      </c>
      <c r="AR122" s="4" t="str">
        <f t="shared" ca="1" si="31"/>
        <v/>
      </c>
      <c r="AS122" s="4" t="str">
        <f t="shared" ca="1" si="31"/>
        <v/>
      </c>
      <c r="AT122" s="4" t="str">
        <f t="shared" ca="1" si="31"/>
        <v/>
      </c>
      <c r="AU122" s="4" t="str">
        <f t="shared" ca="1" si="31"/>
        <v/>
      </c>
      <c r="AV122" s="4" t="str">
        <f t="shared" ca="1" si="31"/>
        <v/>
      </c>
      <c r="AW122" s="4" t="str">
        <f t="shared" ca="1" si="31"/>
        <v/>
      </c>
      <c r="AX122" s="4" t="str">
        <f t="shared" ca="1" si="31"/>
        <v/>
      </c>
      <c r="AY122" s="4" t="str">
        <f t="shared" ca="1" si="31"/>
        <v/>
      </c>
      <c r="AZ122" s="4" t="str">
        <f t="shared" ca="1" si="31"/>
        <v/>
      </c>
      <c r="BA122" s="4" t="str">
        <f t="shared" si="21"/>
        <v/>
      </c>
    </row>
    <row r="123" spans="1:53">
      <c r="A123">
        <v>59</v>
      </c>
      <c r="C123" s="4" t="str">
        <f t="shared" ca="1" si="27"/>
        <v/>
      </c>
      <c r="D123" s="4" t="str">
        <f t="shared" ca="1" si="27"/>
        <v/>
      </c>
      <c r="E123" s="4" t="str">
        <f t="shared" ca="1" si="27"/>
        <v/>
      </c>
      <c r="F123" s="4" t="str">
        <f t="shared" ca="1" si="27"/>
        <v/>
      </c>
      <c r="G123" s="4" t="str">
        <f t="shared" ca="1" si="27"/>
        <v/>
      </c>
      <c r="H123" s="4" t="str">
        <f t="shared" ca="1" si="27"/>
        <v/>
      </c>
      <c r="I123" s="4" t="str">
        <f t="shared" ca="1" si="27"/>
        <v/>
      </c>
      <c r="J123" s="4" t="str">
        <f t="shared" ca="1" si="27"/>
        <v/>
      </c>
      <c r="K123" s="4" t="str">
        <f t="shared" ca="1" si="27"/>
        <v/>
      </c>
      <c r="L123" s="4" t="str">
        <f t="shared" ca="1" si="27"/>
        <v/>
      </c>
      <c r="M123" s="4" t="str">
        <f t="shared" ca="1" si="28"/>
        <v/>
      </c>
      <c r="N123" s="4" t="str">
        <f t="shared" ca="1" si="28"/>
        <v/>
      </c>
      <c r="O123" s="4" t="str">
        <f t="shared" ca="1" si="28"/>
        <v/>
      </c>
      <c r="P123" s="4" t="str">
        <f t="shared" ca="1" si="28"/>
        <v/>
      </c>
      <c r="Q123" s="4" t="str">
        <f t="shared" ca="1" si="28"/>
        <v/>
      </c>
      <c r="R123" s="4" t="str">
        <f t="shared" ca="1" si="28"/>
        <v/>
      </c>
      <c r="S123" s="4" t="str">
        <f t="shared" ca="1" si="28"/>
        <v/>
      </c>
      <c r="T123" s="4" t="str">
        <f t="shared" ca="1" si="28"/>
        <v/>
      </c>
      <c r="U123" s="4" t="str">
        <f t="shared" ca="1" si="28"/>
        <v/>
      </c>
      <c r="V123" s="4" t="str">
        <f t="shared" ca="1" si="28"/>
        <v/>
      </c>
      <c r="W123" s="4" t="str">
        <f t="shared" ca="1" si="29"/>
        <v/>
      </c>
      <c r="X123" s="4" t="str">
        <f t="shared" ca="1" si="29"/>
        <v/>
      </c>
      <c r="Y123" s="4" t="str">
        <f t="shared" ca="1" si="29"/>
        <v/>
      </c>
      <c r="Z123" s="4" t="str">
        <f t="shared" ca="1" si="29"/>
        <v/>
      </c>
      <c r="AA123" s="4" t="str">
        <f t="shared" ca="1" si="29"/>
        <v/>
      </c>
      <c r="AB123" s="4" t="str">
        <f t="shared" ca="1" si="29"/>
        <v/>
      </c>
      <c r="AC123" s="4" t="str">
        <f t="shared" ca="1" si="29"/>
        <v/>
      </c>
      <c r="AD123" s="4" t="str">
        <f t="shared" ca="1" si="29"/>
        <v/>
      </c>
      <c r="AE123" s="4" t="str">
        <f t="shared" ca="1" si="29"/>
        <v/>
      </c>
      <c r="AF123" s="4" t="str">
        <f t="shared" ca="1" si="29"/>
        <v/>
      </c>
      <c r="AG123" s="4" t="str">
        <f t="shared" ca="1" si="30"/>
        <v/>
      </c>
      <c r="AH123" s="4" t="str">
        <f t="shared" ca="1" si="30"/>
        <v/>
      </c>
      <c r="AI123" s="4" t="str">
        <f t="shared" ca="1" si="30"/>
        <v/>
      </c>
      <c r="AJ123" s="4" t="str">
        <f t="shared" ca="1" si="30"/>
        <v/>
      </c>
      <c r="AK123" s="4" t="str">
        <f t="shared" ca="1" si="30"/>
        <v/>
      </c>
      <c r="AL123" s="4" t="str">
        <f t="shared" ca="1" si="30"/>
        <v/>
      </c>
      <c r="AM123" s="4" t="str">
        <f t="shared" ca="1" si="30"/>
        <v/>
      </c>
      <c r="AN123" s="4" t="str">
        <f t="shared" ca="1" si="30"/>
        <v/>
      </c>
      <c r="AO123" s="4" t="str">
        <f t="shared" ca="1" si="30"/>
        <v/>
      </c>
      <c r="AP123" s="4" t="str">
        <f t="shared" ca="1" si="30"/>
        <v/>
      </c>
      <c r="AQ123" s="4" t="str">
        <f t="shared" ca="1" si="31"/>
        <v/>
      </c>
      <c r="AR123" s="4" t="str">
        <f t="shared" ca="1" si="31"/>
        <v/>
      </c>
      <c r="AS123" s="4" t="str">
        <f t="shared" ca="1" si="31"/>
        <v/>
      </c>
      <c r="AT123" s="4" t="str">
        <f t="shared" ca="1" si="31"/>
        <v/>
      </c>
      <c r="AU123" s="4" t="str">
        <f t="shared" ca="1" si="31"/>
        <v/>
      </c>
      <c r="AV123" s="4" t="str">
        <f t="shared" ca="1" si="31"/>
        <v/>
      </c>
      <c r="AW123" s="4" t="str">
        <f t="shared" ca="1" si="31"/>
        <v/>
      </c>
      <c r="AX123" s="4" t="str">
        <f t="shared" ca="1" si="31"/>
        <v/>
      </c>
      <c r="AY123" s="4" t="str">
        <f t="shared" ca="1" si="31"/>
        <v/>
      </c>
      <c r="AZ123" s="4" t="str">
        <f t="shared" ca="1" si="31"/>
        <v/>
      </c>
      <c r="BA123" s="4" t="str">
        <f t="shared" si="21"/>
        <v/>
      </c>
    </row>
    <row r="124" spans="1:53">
      <c r="A124">
        <v>60</v>
      </c>
      <c r="C124" s="4" t="str">
        <f t="shared" ca="1" si="27"/>
        <v/>
      </c>
      <c r="D124" s="4" t="str">
        <f t="shared" ca="1" si="27"/>
        <v/>
      </c>
      <c r="E124" s="4" t="str">
        <f t="shared" ca="1" si="27"/>
        <v/>
      </c>
      <c r="F124" s="4" t="str">
        <f t="shared" ca="1" si="27"/>
        <v/>
      </c>
      <c r="G124" s="4" t="str">
        <f t="shared" ca="1" si="27"/>
        <v/>
      </c>
      <c r="H124" s="4" t="str">
        <f t="shared" ca="1" si="27"/>
        <v/>
      </c>
      <c r="I124" s="4" t="str">
        <f t="shared" ca="1" si="27"/>
        <v/>
      </c>
      <c r="J124" s="4" t="str">
        <f t="shared" ca="1" si="27"/>
        <v/>
      </c>
      <c r="K124" s="4" t="str">
        <f t="shared" ca="1" si="27"/>
        <v/>
      </c>
      <c r="L124" s="4" t="str">
        <f t="shared" ca="1" si="27"/>
        <v/>
      </c>
      <c r="M124" s="4" t="str">
        <f t="shared" ca="1" si="28"/>
        <v/>
      </c>
      <c r="N124" s="4" t="str">
        <f t="shared" ca="1" si="28"/>
        <v/>
      </c>
      <c r="O124" s="4" t="str">
        <f t="shared" ca="1" si="28"/>
        <v/>
      </c>
      <c r="P124" s="4" t="str">
        <f t="shared" ca="1" si="28"/>
        <v/>
      </c>
      <c r="Q124" s="4" t="str">
        <f t="shared" ca="1" si="28"/>
        <v/>
      </c>
      <c r="R124" s="4" t="str">
        <f t="shared" ca="1" si="28"/>
        <v/>
      </c>
      <c r="S124" s="4" t="str">
        <f t="shared" ca="1" si="28"/>
        <v/>
      </c>
      <c r="T124" s="4" t="str">
        <f t="shared" ca="1" si="28"/>
        <v/>
      </c>
      <c r="U124" s="4" t="str">
        <f t="shared" ca="1" si="28"/>
        <v/>
      </c>
      <c r="V124" s="4" t="str">
        <f t="shared" ca="1" si="28"/>
        <v/>
      </c>
      <c r="W124" s="4" t="str">
        <f t="shared" ca="1" si="29"/>
        <v/>
      </c>
      <c r="X124" s="4" t="str">
        <f t="shared" ca="1" si="29"/>
        <v/>
      </c>
      <c r="Y124" s="4" t="str">
        <f t="shared" ca="1" si="29"/>
        <v/>
      </c>
      <c r="Z124" s="4" t="str">
        <f t="shared" ca="1" si="29"/>
        <v/>
      </c>
      <c r="AA124" s="4" t="str">
        <f t="shared" ca="1" si="29"/>
        <v/>
      </c>
      <c r="AB124" s="4" t="str">
        <f t="shared" ca="1" si="29"/>
        <v/>
      </c>
      <c r="AC124" s="4" t="str">
        <f t="shared" ca="1" si="29"/>
        <v/>
      </c>
      <c r="AD124" s="4" t="str">
        <f t="shared" ca="1" si="29"/>
        <v/>
      </c>
      <c r="AE124" s="4" t="str">
        <f t="shared" ca="1" si="29"/>
        <v/>
      </c>
      <c r="AF124" s="4" t="str">
        <f t="shared" ca="1" si="29"/>
        <v/>
      </c>
      <c r="AG124" s="4" t="str">
        <f t="shared" ca="1" si="30"/>
        <v/>
      </c>
      <c r="AH124" s="4" t="str">
        <f t="shared" ca="1" si="30"/>
        <v/>
      </c>
      <c r="AI124" s="4" t="str">
        <f t="shared" ca="1" si="30"/>
        <v/>
      </c>
      <c r="AJ124" s="4" t="str">
        <f t="shared" ca="1" si="30"/>
        <v/>
      </c>
      <c r="AK124" s="4" t="str">
        <f t="shared" ca="1" si="30"/>
        <v/>
      </c>
      <c r="AL124" s="4" t="str">
        <f t="shared" ca="1" si="30"/>
        <v/>
      </c>
      <c r="AM124" s="4" t="str">
        <f t="shared" ca="1" si="30"/>
        <v/>
      </c>
      <c r="AN124" s="4" t="str">
        <f t="shared" ca="1" si="30"/>
        <v/>
      </c>
      <c r="AO124" s="4" t="str">
        <f t="shared" ca="1" si="30"/>
        <v/>
      </c>
      <c r="AP124" s="4" t="str">
        <f t="shared" ca="1" si="30"/>
        <v/>
      </c>
      <c r="AQ124" s="4" t="str">
        <f t="shared" ca="1" si="31"/>
        <v/>
      </c>
      <c r="AR124" s="4" t="str">
        <f t="shared" ca="1" si="31"/>
        <v/>
      </c>
      <c r="AS124" s="4" t="str">
        <f t="shared" ca="1" si="31"/>
        <v/>
      </c>
      <c r="AT124" s="4" t="str">
        <f t="shared" ca="1" si="31"/>
        <v/>
      </c>
      <c r="AU124" s="4" t="str">
        <f t="shared" ca="1" si="31"/>
        <v/>
      </c>
      <c r="AV124" s="4" t="str">
        <f t="shared" ca="1" si="31"/>
        <v/>
      </c>
      <c r="AW124" s="4" t="str">
        <f t="shared" ca="1" si="31"/>
        <v/>
      </c>
      <c r="AX124" s="4" t="str">
        <f t="shared" ca="1" si="31"/>
        <v/>
      </c>
      <c r="AY124" s="4" t="str">
        <f t="shared" ca="1" si="31"/>
        <v/>
      </c>
      <c r="AZ124" s="4" t="str">
        <f t="shared" ca="1" si="31"/>
        <v/>
      </c>
      <c r="BA124" s="4" t="str">
        <f t="shared" si="21"/>
        <v/>
      </c>
    </row>
    <row r="125" spans="1:53">
      <c r="A125">
        <v>61</v>
      </c>
      <c r="C125" s="4" t="str">
        <f t="shared" ref="C125:L134" ca="1" si="32">IF(COLUMN()-2&lt;=$E$3,INDEX($B$10:$B$59,RANDBETWEEN(1,$E$3)),"")</f>
        <v/>
      </c>
      <c r="D125" s="4" t="str">
        <f t="shared" ca="1" si="32"/>
        <v/>
      </c>
      <c r="E125" s="4" t="str">
        <f t="shared" ca="1" si="32"/>
        <v/>
      </c>
      <c r="F125" s="4" t="str">
        <f t="shared" ca="1" si="32"/>
        <v/>
      </c>
      <c r="G125" s="4" t="str">
        <f t="shared" ca="1" si="32"/>
        <v/>
      </c>
      <c r="H125" s="4" t="str">
        <f t="shared" ca="1" si="32"/>
        <v/>
      </c>
      <c r="I125" s="4" t="str">
        <f t="shared" ca="1" si="32"/>
        <v/>
      </c>
      <c r="J125" s="4" t="str">
        <f t="shared" ca="1" si="32"/>
        <v/>
      </c>
      <c r="K125" s="4" t="str">
        <f t="shared" ca="1" si="32"/>
        <v/>
      </c>
      <c r="L125" s="4" t="str">
        <f t="shared" ca="1" si="32"/>
        <v/>
      </c>
      <c r="M125" s="4" t="str">
        <f t="shared" ref="M125:V134" ca="1" si="33">IF(COLUMN()-2&lt;=$E$3,INDEX($B$10:$B$59,RANDBETWEEN(1,$E$3)),"")</f>
        <v/>
      </c>
      <c r="N125" s="4" t="str">
        <f t="shared" ca="1" si="33"/>
        <v/>
      </c>
      <c r="O125" s="4" t="str">
        <f t="shared" ca="1" si="33"/>
        <v/>
      </c>
      <c r="P125" s="4" t="str">
        <f t="shared" ca="1" si="33"/>
        <v/>
      </c>
      <c r="Q125" s="4" t="str">
        <f t="shared" ca="1" si="33"/>
        <v/>
      </c>
      <c r="R125" s="4" t="str">
        <f t="shared" ca="1" si="33"/>
        <v/>
      </c>
      <c r="S125" s="4" t="str">
        <f t="shared" ca="1" si="33"/>
        <v/>
      </c>
      <c r="T125" s="4" t="str">
        <f t="shared" ca="1" si="33"/>
        <v/>
      </c>
      <c r="U125" s="4" t="str">
        <f t="shared" ca="1" si="33"/>
        <v/>
      </c>
      <c r="V125" s="4" t="str">
        <f t="shared" ca="1" si="33"/>
        <v/>
      </c>
      <c r="W125" s="4" t="str">
        <f t="shared" ref="W125:AF134" ca="1" si="34">IF(COLUMN()-2&lt;=$E$3,INDEX($B$10:$B$59,RANDBETWEEN(1,$E$3)),"")</f>
        <v/>
      </c>
      <c r="X125" s="4" t="str">
        <f t="shared" ca="1" si="34"/>
        <v/>
      </c>
      <c r="Y125" s="4" t="str">
        <f t="shared" ca="1" si="34"/>
        <v/>
      </c>
      <c r="Z125" s="4" t="str">
        <f t="shared" ca="1" si="34"/>
        <v/>
      </c>
      <c r="AA125" s="4" t="str">
        <f t="shared" ca="1" si="34"/>
        <v/>
      </c>
      <c r="AB125" s="4" t="str">
        <f t="shared" ca="1" si="34"/>
        <v/>
      </c>
      <c r="AC125" s="4" t="str">
        <f t="shared" ca="1" si="34"/>
        <v/>
      </c>
      <c r="AD125" s="4" t="str">
        <f t="shared" ca="1" si="34"/>
        <v/>
      </c>
      <c r="AE125" s="4" t="str">
        <f t="shared" ca="1" si="34"/>
        <v/>
      </c>
      <c r="AF125" s="4" t="str">
        <f t="shared" ca="1" si="34"/>
        <v/>
      </c>
      <c r="AG125" s="4" t="str">
        <f t="shared" ref="AG125:AP134" ca="1" si="35">IF(COLUMN()-2&lt;=$E$3,INDEX($B$10:$B$59,RANDBETWEEN(1,$E$3)),"")</f>
        <v/>
      </c>
      <c r="AH125" s="4" t="str">
        <f t="shared" ca="1" si="35"/>
        <v/>
      </c>
      <c r="AI125" s="4" t="str">
        <f t="shared" ca="1" si="35"/>
        <v/>
      </c>
      <c r="AJ125" s="4" t="str">
        <f t="shared" ca="1" si="35"/>
        <v/>
      </c>
      <c r="AK125" s="4" t="str">
        <f t="shared" ca="1" si="35"/>
        <v/>
      </c>
      <c r="AL125" s="4" t="str">
        <f t="shared" ca="1" si="35"/>
        <v/>
      </c>
      <c r="AM125" s="4" t="str">
        <f t="shared" ca="1" si="35"/>
        <v/>
      </c>
      <c r="AN125" s="4" t="str">
        <f t="shared" ca="1" si="35"/>
        <v/>
      </c>
      <c r="AO125" s="4" t="str">
        <f t="shared" ca="1" si="35"/>
        <v/>
      </c>
      <c r="AP125" s="4" t="str">
        <f t="shared" ca="1" si="35"/>
        <v/>
      </c>
      <c r="AQ125" s="4" t="str">
        <f t="shared" ref="AQ125:AZ134" ca="1" si="36">IF(COLUMN()-2&lt;=$E$3,INDEX($B$10:$B$59,RANDBETWEEN(1,$E$3)),"")</f>
        <v/>
      </c>
      <c r="AR125" s="4" t="str">
        <f t="shared" ca="1" si="36"/>
        <v/>
      </c>
      <c r="AS125" s="4" t="str">
        <f t="shared" ca="1" si="36"/>
        <v/>
      </c>
      <c r="AT125" s="4" t="str">
        <f t="shared" ca="1" si="36"/>
        <v/>
      </c>
      <c r="AU125" s="4" t="str">
        <f t="shared" ca="1" si="36"/>
        <v/>
      </c>
      <c r="AV125" s="4" t="str">
        <f t="shared" ca="1" si="36"/>
        <v/>
      </c>
      <c r="AW125" s="4" t="str">
        <f t="shared" ca="1" si="36"/>
        <v/>
      </c>
      <c r="AX125" s="4" t="str">
        <f t="shared" ca="1" si="36"/>
        <v/>
      </c>
      <c r="AY125" s="4" t="str">
        <f t="shared" ca="1" si="36"/>
        <v/>
      </c>
      <c r="AZ125" s="4" t="str">
        <f t="shared" ca="1" si="36"/>
        <v/>
      </c>
      <c r="BA125" s="4" t="str">
        <f t="shared" si="21"/>
        <v/>
      </c>
    </row>
    <row r="126" spans="1:53">
      <c r="A126">
        <v>62</v>
      </c>
      <c r="C126" s="4" t="str">
        <f t="shared" ca="1" si="32"/>
        <v/>
      </c>
      <c r="D126" s="4" t="str">
        <f t="shared" ca="1" si="32"/>
        <v/>
      </c>
      <c r="E126" s="4" t="str">
        <f t="shared" ca="1" si="32"/>
        <v/>
      </c>
      <c r="F126" s="4" t="str">
        <f t="shared" ca="1" si="32"/>
        <v/>
      </c>
      <c r="G126" s="4" t="str">
        <f t="shared" ca="1" si="32"/>
        <v/>
      </c>
      <c r="H126" s="4" t="str">
        <f t="shared" ca="1" si="32"/>
        <v/>
      </c>
      <c r="I126" s="4" t="str">
        <f t="shared" ca="1" si="32"/>
        <v/>
      </c>
      <c r="J126" s="4" t="str">
        <f t="shared" ca="1" si="32"/>
        <v/>
      </c>
      <c r="K126" s="4" t="str">
        <f t="shared" ca="1" si="32"/>
        <v/>
      </c>
      <c r="L126" s="4" t="str">
        <f t="shared" ca="1" si="32"/>
        <v/>
      </c>
      <c r="M126" s="4" t="str">
        <f t="shared" ca="1" si="33"/>
        <v/>
      </c>
      <c r="N126" s="4" t="str">
        <f t="shared" ca="1" si="33"/>
        <v/>
      </c>
      <c r="O126" s="4" t="str">
        <f t="shared" ca="1" si="33"/>
        <v/>
      </c>
      <c r="P126" s="4" t="str">
        <f t="shared" ca="1" si="33"/>
        <v/>
      </c>
      <c r="Q126" s="4" t="str">
        <f t="shared" ca="1" si="33"/>
        <v/>
      </c>
      <c r="R126" s="4" t="str">
        <f t="shared" ca="1" si="33"/>
        <v/>
      </c>
      <c r="S126" s="4" t="str">
        <f t="shared" ca="1" si="33"/>
        <v/>
      </c>
      <c r="T126" s="4" t="str">
        <f t="shared" ca="1" si="33"/>
        <v/>
      </c>
      <c r="U126" s="4" t="str">
        <f t="shared" ca="1" si="33"/>
        <v/>
      </c>
      <c r="V126" s="4" t="str">
        <f t="shared" ca="1" si="33"/>
        <v/>
      </c>
      <c r="W126" s="4" t="str">
        <f t="shared" ca="1" si="34"/>
        <v/>
      </c>
      <c r="X126" s="4" t="str">
        <f t="shared" ca="1" si="34"/>
        <v/>
      </c>
      <c r="Y126" s="4" t="str">
        <f t="shared" ca="1" si="34"/>
        <v/>
      </c>
      <c r="Z126" s="4" t="str">
        <f t="shared" ca="1" si="34"/>
        <v/>
      </c>
      <c r="AA126" s="4" t="str">
        <f t="shared" ca="1" si="34"/>
        <v/>
      </c>
      <c r="AB126" s="4" t="str">
        <f t="shared" ca="1" si="34"/>
        <v/>
      </c>
      <c r="AC126" s="4" t="str">
        <f t="shared" ca="1" si="34"/>
        <v/>
      </c>
      <c r="AD126" s="4" t="str">
        <f t="shared" ca="1" si="34"/>
        <v/>
      </c>
      <c r="AE126" s="4" t="str">
        <f t="shared" ca="1" si="34"/>
        <v/>
      </c>
      <c r="AF126" s="4" t="str">
        <f t="shared" ca="1" si="34"/>
        <v/>
      </c>
      <c r="AG126" s="4" t="str">
        <f t="shared" ca="1" si="35"/>
        <v/>
      </c>
      <c r="AH126" s="4" t="str">
        <f t="shared" ca="1" si="35"/>
        <v/>
      </c>
      <c r="AI126" s="4" t="str">
        <f t="shared" ca="1" si="35"/>
        <v/>
      </c>
      <c r="AJ126" s="4" t="str">
        <f t="shared" ca="1" si="35"/>
        <v/>
      </c>
      <c r="AK126" s="4" t="str">
        <f t="shared" ca="1" si="35"/>
        <v/>
      </c>
      <c r="AL126" s="4" t="str">
        <f t="shared" ca="1" si="35"/>
        <v/>
      </c>
      <c r="AM126" s="4" t="str">
        <f t="shared" ca="1" si="35"/>
        <v/>
      </c>
      <c r="AN126" s="4" t="str">
        <f t="shared" ca="1" si="35"/>
        <v/>
      </c>
      <c r="AO126" s="4" t="str">
        <f t="shared" ca="1" si="35"/>
        <v/>
      </c>
      <c r="AP126" s="4" t="str">
        <f t="shared" ca="1" si="35"/>
        <v/>
      </c>
      <c r="AQ126" s="4" t="str">
        <f t="shared" ca="1" si="36"/>
        <v/>
      </c>
      <c r="AR126" s="4" t="str">
        <f t="shared" ca="1" si="36"/>
        <v/>
      </c>
      <c r="AS126" s="4" t="str">
        <f t="shared" ca="1" si="36"/>
        <v/>
      </c>
      <c r="AT126" s="4" t="str">
        <f t="shared" ca="1" si="36"/>
        <v/>
      </c>
      <c r="AU126" s="4" t="str">
        <f t="shared" ca="1" si="36"/>
        <v/>
      </c>
      <c r="AV126" s="4" t="str">
        <f t="shared" ca="1" si="36"/>
        <v/>
      </c>
      <c r="AW126" s="4" t="str">
        <f t="shared" ca="1" si="36"/>
        <v/>
      </c>
      <c r="AX126" s="4" t="str">
        <f t="shared" ca="1" si="36"/>
        <v/>
      </c>
      <c r="AY126" s="4" t="str">
        <f t="shared" ca="1" si="36"/>
        <v/>
      </c>
      <c r="AZ126" s="4" t="str">
        <f t="shared" ca="1" si="36"/>
        <v/>
      </c>
      <c r="BA126" s="4" t="str">
        <f t="shared" si="21"/>
        <v/>
      </c>
    </row>
    <row r="127" spans="1:53">
      <c r="A127">
        <v>63</v>
      </c>
      <c r="C127" s="4" t="str">
        <f t="shared" ca="1" si="32"/>
        <v/>
      </c>
      <c r="D127" s="4" t="str">
        <f t="shared" ca="1" si="32"/>
        <v/>
      </c>
      <c r="E127" s="4" t="str">
        <f t="shared" ca="1" si="32"/>
        <v/>
      </c>
      <c r="F127" s="4" t="str">
        <f t="shared" ca="1" si="32"/>
        <v/>
      </c>
      <c r="G127" s="4" t="str">
        <f t="shared" ca="1" si="32"/>
        <v/>
      </c>
      <c r="H127" s="4" t="str">
        <f t="shared" ca="1" si="32"/>
        <v/>
      </c>
      <c r="I127" s="4" t="str">
        <f t="shared" ca="1" si="32"/>
        <v/>
      </c>
      <c r="J127" s="4" t="str">
        <f t="shared" ca="1" si="32"/>
        <v/>
      </c>
      <c r="K127" s="4" t="str">
        <f t="shared" ca="1" si="32"/>
        <v/>
      </c>
      <c r="L127" s="4" t="str">
        <f t="shared" ca="1" si="32"/>
        <v/>
      </c>
      <c r="M127" s="4" t="str">
        <f t="shared" ca="1" si="33"/>
        <v/>
      </c>
      <c r="N127" s="4" t="str">
        <f t="shared" ca="1" si="33"/>
        <v/>
      </c>
      <c r="O127" s="4" t="str">
        <f t="shared" ca="1" si="33"/>
        <v/>
      </c>
      <c r="P127" s="4" t="str">
        <f t="shared" ca="1" si="33"/>
        <v/>
      </c>
      <c r="Q127" s="4" t="str">
        <f t="shared" ca="1" si="33"/>
        <v/>
      </c>
      <c r="R127" s="4" t="str">
        <f t="shared" ca="1" si="33"/>
        <v/>
      </c>
      <c r="S127" s="4" t="str">
        <f t="shared" ca="1" si="33"/>
        <v/>
      </c>
      <c r="T127" s="4" t="str">
        <f t="shared" ca="1" si="33"/>
        <v/>
      </c>
      <c r="U127" s="4" t="str">
        <f t="shared" ca="1" si="33"/>
        <v/>
      </c>
      <c r="V127" s="4" t="str">
        <f t="shared" ca="1" si="33"/>
        <v/>
      </c>
      <c r="W127" s="4" t="str">
        <f t="shared" ca="1" si="34"/>
        <v/>
      </c>
      <c r="X127" s="4" t="str">
        <f t="shared" ca="1" si="34"/>
        <v/>
      </c>
      <c r="Y127" s="4" t="str">
        <f t="shared" ca="1" si="34"/>
        <v/>
      </c>
      <c r="Z127" s="4" t="str">
        <f t="shared" ca="1" si="34"/>
        <v/>
      </c>
      <c r="AA127" s="4" t="str">
        <f t="shared" ca="1" si="34"/>
        <v/>
      </c>
      <c r="AB127" s="4" t="str">
        <f t="shared" ca="1" si="34"/>
        <v/>
      </c>
      <c r="AC127" s="4" t="str">
        <f t="shared" ca="1" si="34"/>
        <v/>
      </c>
      <c r="AD127" s="4" t="str">
        <f t="shared" ca="1" si="34"/>
        <v/>
      </c>
      <c r="AE127" s="4" t="str">
        <f t="shared" ca="1" si="34"/>
        <v/>
      </c>
      <c r="AF127" s="4" t="str">
        <f t="shared" ca="1" si="34"/>
        <v/>
      </c>
      <c r="AG127" s="4" t="str">
        <f t="shared" ca="1" si="35"/>
        <v/>
      </c>
      <c r="AH127" s="4" t="str">
        <f t="shared" ca="1" si="35"/>
        <v/>
      </c>
      <c r="AI127" s="4" t="str">
        <f t="shared" ca="1" si="35"/>
        <v/>
      </c>
      <c r="AJ127" s="4" t="str">
        <f t="shared" ca="1" si="35"/>
        <v/>
      </c>
      <c r="AK127" s="4" t="str">
        <f t="shared" ca="1" si="35"/>
        <v/>
      </c>
      <c r="AL127" s="4" t="str">
        <f t="shared" ca="1" si="35"/>
        <v/>
      </c>
      <c r="AM127" s="4" t="str">
        <f t="shared" ca="1" si="35"/>
        <v/>
      </c>
      <c r="AN127" s="4" t="str">
        <f t="shared" ca="1" si="35"/>
        <v/>
      </c>
      <c r="AO127" s="4" t="str">
        <f t="shared" ca="1" si="35"/>
        <v/>
      </c>
      <c r="AP127" s="4" t="str">
        <f t="shared" ca="1" si="35"/>
        <v/>
      </c>
      <c r="AQ127" s="4" t="str">
        <f t="shared" ca="1" si="36"/>
        <v/>
      </c>
      <c r="AR127" s="4" t="str">
        <f t="shared" ca="1" si="36"/>
        <v/>
      </c>
      <c r="AS127" s="4" t="str">
        <f t="shared" ca="1" si="36"/>
        <v/>
      </c>
      <c r="AT127" s="4" t="str">
        <f t="shared" ca="1" si="36"/>
        <v/>
      </c>
      <c r="AU127" s="4" t="str">
        <f t="shared" ca="1" si="36"/>
        <v/>
      </c>
      <c r="AV127" s="4" t="str">
        <f t="shared" ca="1" si="36"/>
        <v/>
      </c>
      <c r="AW127" s="4" t="str">
        <f t="shared" ca="1" si="36"/>
        <v/>
      </c>
      <c r="AX127" s="4" t="str">
        <f t="shared" ca="1" si="36"/>
        <v/>
      </c>
      <c r="AY127" s="4" t="str">
        <f t="shared" ca="1" si="36"/>
        <v/>
      </c>
      <c r="AZ127" s="4" t="str">
        <f t="shared" ca="1" si="36"/>
        <v/>
      </c>
      <c r="BA127" s="4" t="str">
        <f t="shared" si="21"/>
        <v/>
      </c>
    </row>
    <row r="128" spans="1:53">
      <c r="A128">
        <v>64</v>
      </c>
      <c r="C128" s="4" t="str">
        <f t="shared" ca="1" si="32"/>
        <v/>
      </c>
      <c r="D128" s="4" t="str">
        <f t="shared" ca="1" si="32"/>
        <v/>
      </c>
      <c r="E128" s="4" t="str">
        <f t="shared" ca="1" si="32"/>
        <v/>
      </c>
      <c r="F128" s="4" t="str">
        <f t="shared" ca="1" si="32"/>
        <v/>
      </c>
      <c r="G128" s="4" t="str">
        <f t="shared" ca="1" si="32"/>
        <v/>
      </c>
      <c r="H128" s="4" t="str">
        <f t="shared" ca="1" si="32"/>
        <v/>
      </c>
      <c r="I128" s="4" t="str">
        <f t="shared" ca="1" si="32"/>
        <v/>
      </c>
      <c r="J128" s="4" t="str">
        <f t="shared" ca="1" si="32"/>
        <v/>
      </c>
      <c r="K128" s="4" t="str">
        <f t="shared" ca="1" si="32"/>
        <v/>
      </c>
      <c r="L128" s="4" t="str">
        <f t="shared" ca="1" si="32"/>
        <v/>
      </c>
      <c r="M128" s="4" t="str">
        <f t="shared" ca="1" si="33"/>
        <v/>
      </c>
      <c r="N128" s="4" t="str">
        <f t="shared" ca="1" si="33"/>
        <v/>
      </c>
      <c r="O128" s="4" t="str">
        <f t="shared" ca="1" si="33"/>
        <v/>
      </c>
      <c r="P128" s="4" t="str">
        <f t="shared" ca="1" si="33"/>
        <v/>
      </c>
      <c r="Q128" s="4" t="str">
        <f t="shared" ca="1" si="33"/>
        <v/>
      </c>
      <c r="R128" s="4" t="str">
        <f t="shared" ca="1" si="33"/>
        <v/>
      </c>
      <c r="S128" s="4" t="str">
        <f t="shared" ca="1" si="33"/>
        <v/>
      </c>
      <c r="T128" s="4" t="str">
        <f t="shared" ca="1" si="33"/>
        <v/>
      </c>
      <c r="U128" s="4" t="str">
        <f t="shared" ca="1" si="33"/>
        <v/>
      </c>
      <c r="V128" s="4" t="str">
        <f t="shared" ca="1" si="33"/>
        <v/>
      </c>
      <c r="W128" s="4" t="str">
        <f t="shared" ca="1" si="34"/>
        <v/>
      </c>
      <c r="X128" s="4" t="str">
        <f t="shared" ca="1" si="34"/>
        <v/>
      </c>
      <c r="Y128" s="4" t="str">
        <f t="shared" ca="1" si="34"/>
        <v/>
      </c>
      <c r="Z128" s="4" t="str">
        <f t="shared" ca="1" si="34"/>
        <v/>
      </c>
      <c r="AA128" s="4" t="str">
        <f t="shared" ca="1" si="34"/>
        <v/>
      </c>
      <c r="AB128" s="4" t="str">
        <f t="shared" ca="1" si="34"/>
        <v/>
      </c>
      <c r="AC128" s="4" t="str">
        <f t="shared" ca="1" si="34"/>
        <v/>
      </c>
      <c r="AD128" s="4" t="str">
        <f t="shared" ca="1" si="34"/>
        <v/>
      </c>
      <c r="AE128" s="4" t="str">
        <f t="shared" ca="1" si="34"/>
        <v/>
      </c>
      <c r="AF128" s="4" t="str">
        <f t="shared" ca="1" si="34"/>
        <v/>
      </c>
      <c r="AG128" s="4" t="str">
        <f t="shared" ca="1" si="35"/>
        <v/>
      </c>
      <c r="AH128" s="4" t="str">
        <f t="shared" ca="1" si="35"/>
        <v/>
      </c>
      <c r="AI128" s="4" t="str">
        <f t="shared" ca="1" si="35"/>
        <v/>
      </c>
      <c r="AJ128" s="4" t="str">
        <f t="shared" ca="1" si="35"/>
        <v/>
      </c>
      <c r="AK128" s="4" t="str">
        <f t="shared" ca="1" si="35"/>
        <v/>
      </c>
      <c r="AL128" s="4" t="str">
        <f t="shared" ca="1" si="35"/>
        <v/>
      </c>
      <c r="AM128" s="4" t="str">
        <f t="shared" ca="1" si="35"/>
        <v/>
      </c>
      <c r="AN128" s="4" t="str">
        <f t="shared" ca="1" si="35"/>
        <v/>
      </c>
      <c r="AO128" s="4" t="str">
        <f t="shared" ca="1" si="35"/>
        <v/>
      </c>
      <c r="AP128" s="4" t="str">
        <f t="shared" ca="1" si="35"/>
        <v/>
      </c>
      <c r="AQ128" s="4" t="str">
        <f t="shared" ca="1" si="36"/>
        <v/>
      </c>
      <c r="AR128" s="4" t="str">
        <f t="shared" ca="1" si="36"/>
        <v/>
      </c>
      <c r="AS128" s="4" t="str">
        <f t="shared" ca="1" si="36"/>
        <v/>
      </c>
      <c r="AT128" s="4" t="str">
        <f t="shared" ca="1" si="36"/>
        <v/>
      </c>
      <c r="AU128" s="4" t="str">
        <f t="shared" ca="1" si="36"/>
        <v/>
      </c>
      <c r="AV128" s="4" t="str">
        <f t="shared" ca="1" si="36"/>
        <v/>
      </c>
      <c r="AW128" s="4" t="str">
        <f t="shared" ca="1" si="36"/>
        <v/>
      </c>
      <c r="AX128" s="4" t="str">
        <f t="shared" ca="1" si="36"/>
        <v/>
      </c>
      <c r="AY128" s="4" t="str">
        <f t="shared" ca="1" si="36"/>
        <v/>
      </c>
      <c r="AZ128" s="4" t="str">
        <f t="shared" ca="1" si="36"/>
        <v/>
      </c>
      <c r="BA128" s="4" t="str">
        <f t="shared" si="21"/>
        <v/>
      </c>
    </row>
    <row r="129" spans="1:53">
      <c r="A129">
        <v>65</v>
      </c>
      <c r="C129" s="4" t="str">
        <f t="shared" ca="1" si="32"/>
        <v/>
      </c>
      <c r="D129" s="4" t="str">
        <f t="shared" ca="1" si="32"/>
        <v/>
      </c>
      <c r="E129" s="4" t="str">
        <f t="shared" ca="1" si="32"/>
        <v/>
      </c>
      <c r="F129" s="4" t="str">
        <f t="shared" ca="1" si="32"/>
        <v/>
      </c>
      <c r="G129" s="4" t="str">
        <f t="shared" ca="1" si="32"/>
        <v/>
      </c>
      <c r="H129" s="4" t="str">
        <f t="shared" ca="1" si="32"/>
        <v/>
      </c>
      <c r="I129" s="4" t="str">
        <f t="shared" ca="1" si="32"/>
        <v/>
      </c>
      <c r="J129" s="4" t="str">
        <f t="shared" ca="1" si="32"/>
        <v/>
      </c>
      <c r="K129" s="4" t="str">
        <f t="shared" ca="1" si="32"/>
        <v/>
      </c>
      <c r="L129" s="4" t="str">
        <f t="shared" ca="1" si="32"/>
        <v/>
      </c>
      <c r="M129" s="4" t="str">
        <f t="shared" ca="1" si="33"/>
        <v/>
      </c>
      <c r="N129" s="4" t="str">
        <f t="shared" ca="1" si="33"/>
        <v/>
      </c>
      <c r="O129" s="4" t="str">
        <f t="shared" ca="1" si="33"/>
        <v/>
      </c>
      <c r="P129" s="4" t="str">
        <f t="shared" ca="1" si="33"/>
        <v/>
      </c>
      <c r="Q129" s="4" t="str">
        <f t="shared" ca="1" si="33"/>
        <v/>
      </c>
      <c r="R129" s="4" t="str">
        <f t="shared" ca="1" si="33"/>
        <v/>
      </c>
      <c r="S129" s="4" t="str">
        <f t="shared" ca="1" si="33"/>
        <v/>
      </c>
      <c r="T129" s="4" t="str">
        <f t="shared" ca="1" si="33"/>
        <v/>
      </c>
      <c r="U129" s="4" t="str">
        <f t="shared" ca="1" si="33"/>
        <v/>
      </c>
      <c r="V129" s="4" t="str">
        <f t="shared" ca="1" si="33"/>
        <v/>
      </c>
      <c r="W129" s="4" t="str">
        <f t="shared" ca="1" si="34"/>
        <v/>
      </c>
      <c r="X129" s="4" t="str">
        <f t="shared" ca="1" si="34"/>
        <v/>
      </c>
      <c r="Y129" s="4" t="str">
        <f t="shared" ca="1" si="34"/>
        <v/>
      </c>
      <c r="Z129" s="4" t="str">
        <f t="shared" ca="1" si="34"/>
        <v/>
      </c>
      <c r="AA129" s="4" t="str">
        <f t="shared" ca="1" si="34"/>
        <v/>
      </c>
      <c r="AB129" s="4" t="str">
        <f t="shared" ca="1" si="34"/>
        <v/>
      </c>
      <c r="AC129" s="4" t="str">
        <f t="shared" ca="1" si="34"/>
        <v/>
      </c>
      <c r="AD129" s="4" t="str">
        <f t="shared" ca="1" si="34"/>
        <v/>
      </c>
      <c r="AE129" s="4" t="str">
        <f t="shared" ca="1" si="34"/>
        <v/>
      </c>
      <c r="AF129" s="4" t="str">
        <f t="shared" ca="1" si="34"/>
        <v/>
      </c>
      <c r="AG129" s="4" t="str">
        <f t="shared" ca="1" si="35"/>
        <v/>
      </c>
      <c r="AH129" s="4" t="str">
        <f t="shared" ca="1" si="35"/>
        <v/>
      </c>
      <c r="AI129" s="4" t="str">
        <f t="shared" ca="1" si="35"/>
        <v/>
      </c>
      <c r="AJ129" s="4" t="str">
        <f t="shared" ca="1" si="35"/>
        <v/>
      </c>
      <c r="AK129" s="4" t="str">
        <f t="shared" ca="1" si="35"/>
        <v/>
      </c>
      <c r="AL129" s="4" t="str">
        <f t="shared" ca="1" si="35"/>
        <v/>
      </c>
      <c r="AM129" s="4" t="str">
        <f t="shared" ca="1" si="35"/>
        <v/>
      </c>
      <c r="AN129" s="4" t="str">
        <f t="shared" ca="1" si="35"/>
        <v/>
      </c>
      <c r="AO129" s="4" t="str">
        <f t="shared" ca="1" si="35"/>
        <v/>
      </c>
      <c r="AP129" s="4" t="str">
        <f t="shared" ca="1" si="35"/>
        <v/>
      </c>
      <c r="AQ129" s="4" t="str">
        <f t="shared" ca="1" si="36"/>
        <v/>
      </c>
      <c r="AR129" s="4" t="str">
        <f t="shared" ca="1" si="36"/>
        <v/>
      </c>
      <c r="AS129" s="4" t="str">
        <f t="shared" ca="1" si="36"/>
        <v/>
      </c>
      <c r="AT129" s="4" t="str">
        <f t="shared" ca="1" si="36"/>
        <v/>
      </c>
      <c r="AU129" s="4" t="str">
        <f t="shared" ca="1" si="36"/>
        <v/>
      </c>
      <c r="AV129" s="4" t="str">
        <f t="shared" ca="1" si="36"/>
        <v/>
      </c>
      <c r="AW129" s="4" t="str">
        <f t="shared" ca="1" si="36"/>
        <v/>
      </c>
      <c r="AX129" s="4" t="str">
        <f t="shared" ca="1" si="36"/>
        <v/>
      </c>
      <c r="AY129" s="4" t="str">
        <f t="shared" ca="1" si="36"/>
        <v/>
      </c>
      <c r="AZ129" s="4" t="str">
        <f t="shared" ca="1" si="36"/>
        <v/>
      </c>
      <c r="BA129" s="4" t="str">
        <f t="shared" ref="BA129:BA160" si="37">IF($E$3=0,"",AVERAGE(C129:AZ129))</f>
        <v/>
      </c>
    </row>
    <row r="130" spans="1:53">
      <c r="A130">
        <v>66</v>
      </c>
      <c r="C130" s="4" t="str">
        <f t="shared" ca="1" si="32"/>
        <v/>
      </c>
      <c r="D130" s="4" t="str">
        <f t="shared" ca="1" si="32"/>
        <v/>
      </c>
      <c r="E130" s="4" t="str">
        <f t="shared" ca="1" si="32"/>
        <v/>
      </c>
      <c r="F130" s="4" t="str">
        <f t="shared" ca="1" si="32"/>
        <v/>
      </c>
      <c r="G130" s="4" t="str">
        <f t="shared" ca="1" si="32"/>
        <v/>
      </c>
      <c r="H130" s="4" t="str">
        <f t="shared" ca="1" si="32"/>
        <v/>
      </c>
      <c r="I130" s="4" t="str">
        <f t="shared" ca="1" si="32"/>
        <v/>
      </c>
      <c r="J130" s="4" t="str">
        <f t="shared" ca="1" si="32"/>
        <v/>
      </c>
      <c r="K130" s="4" t="str">
        <f t="shared" ca="1" si="32"/>
        <v/>
      </c>
      <c r="L130" s="4" t="str">
        <f t="shared" ca="1" si="32"/>
        <v/>
      </c>
      <c r="M130" s="4" t="str">
        <f t="shared" ca="1" si="33"/>
        <v/>
      </c>
      <c r="N130" s="4" t="str">
        <f t="shared" ca="1" si="33"/>
        <v/>
      </c>
      <c r="O130" s="4" t="str">
        <f t="shared" ca="1" si="33"/>
        <v/>
      </c>
      <c r="P130" s="4" t="str">
        <f t="shared" ca="1" si="33"/>
        <v/>
      </c>
      <c r="Q130" s="4" t="str">
        <f t="shared" ca="1" si="33"/>
        <v/>
      </c>
      <c r="R130" s="4" t="str">
        <f t="shared" ca="1" si="33"/>
        <v/>
      </c>
      <c r="S130" s="4" t="str">
        <f t="shared" ca="1" si="33"/>
        <v/>
      </c>
      <c r="T130" s="4" t="str">
        <f t="shared" ca="1" si="33"/>
        <v/>
      </c>
      <c r="U130" s="4" t="str">
        <f t="shared" ca="1" si="33"/>
        <v/>
      </c>
      <c r="V130" s="4" t="str">
        <f t="shared" ca="1" si="33"/>
        <v/>
      </c>
      <c r="W130" s="4" t="str">
        <f t="shared" ca="1" si="34"/>
        <v/>
      </c>
      <c r="X130" s="4" t="str">
        <f t="shared" ca="1" si="34"/>
        <v/>
      </c>
      <c r="Y130" s="4" t="str">
        <f t="shared" ca="1" si="34"/>
        <v/>
      </c>
      <c r="Z130" s="4" t="str">
        <f t="shared" ca="1" si="34"/>
        <v/>
      </c>
      <c r="AA130" s="4" t="str">
        <f t="shared" ca="1" si="34"/>
        <v/>
      </c>
      <c r="AB130" s="4" t="str">
        <f t="shared" ca="1" si="34"/>
        <v/>
      </c>
      <c r="AC130" s="4" t="str">
        <f t="shared" ca="1" si="34"/>
        <v/>
      </c>
      <c r="AD130" s="4" t="str">
        <f t="shared" ca="1" si="34"/>
        <v/>
      </c>
      <c r="AE130" s="4" t="str">
        <f t="shared" ca="1" si="34"/>
        <v/>
      </c>
      <c r="AF130" s="4" t="str">
        <f t="shared" ca="1" si="34"/>
        <v/>
      </c>
      <c r="AG130" s="4" t="str">
        <f t="shared" ca="1" si="35"/>
        <v/>
      </c>
      <c r="AH130" s="4" t="str">
        <f t="shared" ca="1" si="35"/>
        <v/>
      </c>
      <c r="AI130" s="4" t="str">
        <f t="shared" ca="1" si="35"/>
        <v/>
      </c>
      <c r="AJ130" s="4" t="str">
        <f t="shared" ca="1" si="35"/>
        <v/>
      </c>
      <c r="AK130" s="4" t="str">
        <f t="shared" ca="1" si="35"/>
        <v/>
      </c>
      <c r="AL130" s="4" t="str">
        <f t="shared" ca="1" si="35"/>
        <v/>
      </c>
      <c r="AM130" s="4" t="str">
        <f t="shared" ca="1" si="35"/>
        <v/>
      </c>
      <c r="AN130" s="4" t="str">
        <f t="shared" ca="1" si="35"/>
        <v/>
      </c>
      <c r="AO130" s="4" t="str">
        <f t="shared" ca="1" si="35"/>
        <v/>
      </c>
      <c r="AP130" s="4" t="str">
        <f t="shared" ca="1" si="35"/>
        <v/>
      </c>
      <c r="AQ130" s="4" t="str">
        <f t="shared" ca="1" si="36"/>
        <v/>
      </c>
      <c r="AR130" s="4" t="str">
        <f t="shared" ca="1" si="36"/>
        <v/>
      </c>
      <c r="AS130" s="4" t="str">
        <f t="shared" ca="1" si="36"/>
        <v/>
      </c>
      <c r="AT130" s="4" t="str">
        <f t="shared" ca="1" si="36"/>
        <v/>
      </c>
      <c r="AU130" s="4" t="str">
        <f t="shared" ca="1" si="36"/>
        <v/>
      </c>
      <c r="AV130" s="4" t="str">
        <f t="shared" ca="1" si="36"/>
        <v/>
      </c>
      <c r="AW130" s="4" t="str">
        <f t="shared" ca="1" si="36"/>
        <v/>
      </c>
      <c r="AX130" s="4" t="str">
        <f t="shared" ca="1" si="36"/>
        <v/>
      </c>
      <c r="AY130" s="4" t="str">
        <f t="shared" ca="1" si="36"/>
        <v/>
      </c>
      <c r="AZ130" s="4" t="str">
        <f t="shared" ca="1" si="36"/>
        <v/>
      </c>
      <c r="BA130" s="4" t="str">
        <f t="shared" si="37"/>
        <v/>
      </c>
    </row>
    <row r="131" spans="1:53">
      <c r="A131">
        <v>67</v>
      </c>
      <c r="C131" s="4" t="str">
        <f t="shared" ca="1" si="32"/>
        <v/>
      </c>
      <c r="D131" s="4" t="str">
        <f t="shared" ca="1" si="32"/>
        <v/>
      </c>
      <c r="E131" s="4" t="str">
        <f t="shared" ca="1" si="32"/>
        <v/>
      </c>
      <c r="F131" s="4" t="str">
        <f t="shared" ca="1" si="32"/>
        <v/>
      </c>
      <c r="G131" s="4" t="str">
        <f t="shared" ca="1" si="32"/>
        <v/>
      </c>
      <c r="H131" s="4" t="str">
        <f t="shared" ca="1" si="32"/>
        <v/>
      </c>
      <c r="I131" s="4" t="str">
        <f t="shared" ca="1" si="32"/>
        <v/>
      </c>
      <c r="J131" s="4" t="str">
        <f t="shared" ca="1" si="32"/>
        <v/>
      </c>
      <c r="K131" s="4" t="str">
        <f t="shared" ca="1" si="32"/>
        <v/>
      </c>
      <c r="L131" s="4" t="str">
        <f t="shared" ca="1" si="32"/>
        <v/>
      </c>
      <c r="M131" s="4" t="str">
        <f t="shared" ca="1" si="33"/>
        <v/>
      </c>
      <c r="N131" s="4" t="str">
        <f t="shared" ca="1" si="33"/>
        <v/>
      </c>
      <c r="O131" s="4" t="str">
        <f t="shared" ca="1" si="33"/>
        <v/>
      </c>
      <c r="P131" s="4" t="str">
        <f t="shared" ca="1" si="33"/>
        <v/>
      </c>
      <c r="Q131" s="4" t="str">
        <f t="shared" ca="1" si="33"/>
        <v/>
      </c>
      <c r="R131" s="4" t="str">
        <f t="shared" ca="1" si="33"/>
        <v/>
      </c>
      <c r="S131" s="4" t="str">
        <f t="shared" ca="1" si="33"/>
        <v/>
      </c>
      <c r="T131" s="4" t="str">
        <f t="shared" ca="1" si="33"/>
        <v/>
      </c>
      <c r="U131" s="4" t="str">
        <f t="shared" ca="1" si="33"/>
        <v/>
      </c>
      <c r="V131" s="4" t="str">
        <f t="shared" ca="1" si="33"/>
        <v/>
      </c>
      <c r="W131" s="4" t="str">
        <f t="shared" ca="1" si="34"/>
        <v/>
      </c>
      <c r="X131" s="4" t="str">
        <f t="shared" ca="1" si="34"/>
        <v/>
      </c>
      <c r="Y131" s="4" t="str">
        <f t="shared" ca="1" si="34"/>
        <v/>
      </c>
      <c r="Z131" s="4" t="str">
        <f t="shared" ca="1" si="34"/>
        <v/>
      </c>
      <c r="AA131" s="4" t="str">
        <f t="shared" ca="1" si="34"/>
        <v/>
      </c>
      <c r="AB131" s="4" t="str">
        <f t="shared" ca="1" si="34"/>
        <v/>
      </c>
      <c r="AC131" s="4" t="str">
        <f t="shared" ca="1" si="34"/>
        <v/>
      </c>
      <c r="AD131" s="4" t="str">
        <f t="shared" ca="1" si="34"/>
        <v/>
      </c>
      <c r="AE131" s="4" t="str">
        <f t="shared" ca="1" si="34"/>
        <v/>
      </c>
      <c r="AF131" s="4" t="str">
        <f t="shared" ca="1" si="34"/>
        <v/>
      </c>
      <c r="AG131" s="4" t="str">
        <f t="shared" ca="1" si="35"/>
        <v/>
      </c>
      <c r="AH131" s="4" t="str">
        <f t="shared" ca="1" si="35"/>
        <v/>
      </c>
      <c r="AI131" s="4" t="str">
        <f t="shared" ca="1" si="35"/>
        <v/>
      </c>
      <c r="AJ131" s="4" t="str">
        <f t="shared" ca="1" si="35"/>
        <v/>
      </c>
      <c r="AK131" s="4" t="str">
        <f t="shared" ca="1" si="35"/>
        <v/>
      </c>
      <c r="AL131" s="4" t="str">
        <f t="shared" ca="1" si="35"/>
        <v/>
      </c>
      <c r="AM131" s="4" t="str">
        <f t="shared" ca="1" si="35"/>
        <v/>
      </c>
      <c r="AN131" s="4" t="str">
        <f t="shared" ca="1" si="35"/>
        <v/>
      </c>
      <c r="AO131" s="4" t="str">
        <f t="shared" ca="1" si="35"/>
        <v/>
      </c>
      <c r="AP131" s="4" t="str">
        <f t="shared" ca="1" si="35"/>
        <v/>
      </c>
      <c r="AQ131" s="4" t="str">
        <f t="shared" ca="1" si="36"/>
        <v/>
      </c>
      <c r="AR131" s="4" t="str">
        <f t="shared" ca="1" si="36"/>
        <v/>
      </c>
      <c r="AS131" s="4" t="str">
        <f t="shared" ca="1" si="36"/>
        <v/>
      </c>
      <c r="AT131" s="4" t="str">
        <f t="shared" ca="1" si="36"/>
        <v/>
      </c>
      <c r="AU131" s="4" t="str">
        <f t="shared" ca="1" si="36"/>
        <v/>
      </c>
      <c r="AV131" s="4" t="str">
        <f t="shared" ca="1" si="36"/>
        <v/>
      </c>
      <c r="AW131" s="4" t="str">
        <f t="shared" ca="1" si="36"/>
        <v/>
      </c>
      <c r="AX131" s="4" t="str">
        <f t="shared" ca="1" si="36"/>
        <v/>
      </c>
      <c r="AY131" s="4" t="str">
        <f t="shared" ca="1" si="36"/>
        <v/>
      </c>
      <c r="AZ131" s="4" t="str">
        <f t="shared" ca="1" si="36"/>
        <v/>
      </c>
      <c r="BA131" s="4" t="str">
        <f t="shared" si="37"/>
        <v/>
      </c>
    </row>
    <row r="132" spans="1:53">
      <c r="A132">
        <v>68</v>
      </c>
      <c r="C132" s="4" t="str">
        <f t="shared" ca="1" si="32"/>
        <v/>
      </c>
      <c r="D132" s="4" t="str">
        <f t="shared" ca="1" si="32"/>
        <v/>
      </c>
      <c r="E132" s="4" t="str">
        <f t="shared" ca="1" si="32"/>
        <v/>
      </c>
      <c r="F132" s="4" t="str">
        <f t="shared" ca="1" si="32"/>
        <v/>
      </c>
      <c r="G132" s="4" t="str">
        <f t="shared" ca="1" si="32"/>
        <v/>
      </c>
      <c r="H132" s="4" t="str">
        <f t="shared" ca="1" si="32"/>
        <v/>
      </c>
      <c r="I132" s="4" t="str">
        <f t="shared" ca="1" si="32"/>
        <v/>
      </c>
      <c r="J132" s="4" t="str">
        <f t="shared" ca="1" si="32"/>
        <v/>
      </c>
      <c r="K132" s="4" t="str">
        <f t="shared" ca="1" si="32"/>
        <v/>
      </c>
      <c r="L132" s="4" t="str">
        <f t="shared" ca="1" si="32"/>
        <v/>
      </c>
      <c r="M132" s="4" t="str">
        <f t="shared" ca="1" si="33"/>
        <v/>
      </c>
      <c r="N132" s="4" t="str">
        <f t="shared" ca="1" si="33"/>
        <v/>
      </c>
      <c r="O132" s="4" t="str">
        <f t="shared" ca="1" si="33"/>
        <v/>
      </c>
      <c r="P132" s="4" t="str">
        <f t="shared" ca="1" si="33"/>
        <v/>
      </c>
      <c r="Q132" s="4" t="str">
        <f t="shared" ca="1" si="33"/>
        <v/>
      </c>
      <c r="R132" s="4" t="str">
        <f t="shared" ca="1" si="33"/>
        <v/>
      </c>
      <c r="S132" s="4" t="str">
        <f t="shared" ca="1" si="33"/>
        <v/>
      </c>
      <c r="T132" s="4" t="str">
        <f t="shared" ca="1" si="33"/>
        <v/>
      </c>
      <c r="U132" s="4" t="str">
        <f t="shared" ca="1" si="33"/>
        <v/>
      </c>
      <c r="V132" s="4" t="str">
        <f t="shared" ca="1" si="33"/>
        <v/>
      </c>
      <c r="W132" s="4" t="str">
        <f t="shared" ca="1" si="34"/>
        <v/>
      </c>
      <c r="X132" s="4" t="str">
        <f t="shared" ca="1" si="34"/>
        <v/>
      </c>
      <c r="Y132" s="4" t="str">
        <f t="shared" ca="1" si="34"/>
        <v/>
      </c>
      <c r="Z132" s="4" t="str">
        <f t="shared" ca="1" si="34"/>
        <v/>
      </c>
      <c r="AA132" s="4" t="str">
        <f t="shared" ca="1" si="34"/>
        <v/>
      </c>
      <c r="AB132" s="4" t="str">
        <f t="shared" ca="1" si="34"/>
        <v/>
      </c>
      <c r="AC132" s="4" t="str">
        <f t="shared" ca="1" si="34"/>
        <v/>
      </c>
      <c r="AD132" s="4" t="str">
        <f t="shared" ca="1" si="34"/>
        <v/>
      </c>
      <c r="AE132" s="4" t="str">
        <f t="shared" ca="1" si="34"/>
        <v/>
      </c>
      <c r="AF132" s="4" t="str">
        <f t="shared" ca="1" si="34"/>
        <v/>
      </c>
      <c r="AG132" s="4" t="str">
        <f t="shared" ca="1" si="35"/>
        <v/>
      </c>
      <c r="AH132" s="4" t="str">
        <f t="shared" ca="1" si="35"/>
        <v/>
      </c>
      <c r="AI132" s="4" t="str">
        <f t="shared" ca="1" si="35"/>
        <v/>
      </c>
      <c r="AJ132" s="4" t="str">
        <f t="shared" ca="1" si="35"/>
        <v/>
      </c>
      <c r="AK132" s="4" t="str">
        <f t="shared" ca="1" si="35"/>
        <v/>
      </c>
      <c r="AL132" s="4" t="str">
        <f t="shared" ca="1" si="35"/>
        <v/>
      </c>
      <c r="AM132" s="4" t="str">
        <f t="shared" ca="1" si="35"/>
        <v/>
      </c>
      <c r="AN132" s="4" t="str">
        <f t="shared" ca="1" si="35"/>
        <v/>
      </c>
      <c r="AO132" s="4" t="str">
        <f t="shared" ca="1" si="35"/>
        <v/>
      </c>
      <c r="AP132" s="4" t="str">
        <f t="shared" ca="1" si="35"/>
        <v/>
      </c>
      <c r="AQ132" s="4" t="str">
        <f t="shared" ca="1" si="36"/>
        <v/>
      </c>
      <c r="AR132" s="4" t="str">
        <f t="shared" ca="1" si="36"/>
        <v/>
      </c>
      <c r="AS132" s="4" t="str">
        <f t="shared" ca="1" si="36"/>
        <v/>
      </c>
      <c r="AT132" s="4" t="str">
        <f t="shared" ca="1" si="36"/>
        <v/>
      </c>
      <c r="AU132" s="4" t="str">
        <f t="shared" ca="1" si="36"/>
        <v/>
      </c>
      <c r="AV132" s="4" t="str">
        <f t="shared" ca="1" si="36"/>
        <v/>
      </c>
      <c r="AW132" s="4" t="str">
        <f t="shared" ca="1" si="36"/>
        <v/>
      </c>
      <c r="AX132" s="4" t="str">
        <f t="shared" ca="1" si="36"/>
        <v/>
      </c>
      <c r="AY132" s="4" t="str">
        <f t="shared" ca="1" si="36"/>
        <v/>
      </c>
      <c r="AZ132" s="4" t="str">
        <f t="shared" ca="1" si="36"/>
        <v/>
      </c>
      <c r="BA132" s="4" t="str">
        <f t="shared" si="37"/>
        <v/>
      </c>
    </row>
    <row r="133" spans="1:53">
      <c r="A133">
        <v>69</v>
      </c>
      <c r="C133" s="4" t="str">
        <f t="shared" ca="1" si="32"/>
        <v/>
      </c>
      <c r="D133" s="4" t="str">
        <f t="shared" ca="1" si="32"/>
        <v/>
      </c>
      <c r="E133" s="4" t="str">
        <f t="shared" ca="1" si="32"/>
        <v/>
      </c>
      <c r="F133" s="4" t="str">
        <f t="shared" ca="1" si="32"/>
        <v/>
      </c>
      <c r="G133" s="4" t="str">
        <f t="shared" ca="1" si="32"/>
        <v/>
      </c>
      <c r="H133" s="4" t="str">
        <f t="shared" ca="1" si="32"/>
        <v/>
      </c>
      <c r="I133" s="4" t="str">
        <f t="shared" ca="1" si="32"/>
        <v/>
      </c>
      <c r="J133" s="4" t="str">
        <f t="shared" ca="1" si="32"/>
        <v/>
      </c>
      <c r="K133" s="4" t="str">
        <f t="shared" ca="1" si="32"/>
        <v/>
      </c>
      <c r="L133" s="4" t="str">
        <f t="shared" ca="1" si="32"/>
        <v/>
      </c>
      <c r="M133" s="4" t="str">
        <f t="shared" ca="1" si="33"/>
        <v/>
      </c>
      <c r="N133" s="4" t="str">
        <f t="shared" ca="1" si="33"/>
        <v/>
      </c>
      <c r="O133" s="4" t="str">
        <f t="shared" ca="1" si="33"/>
        <v/>
      </c>
      <c r="P133" s="4" t="str">
        <f t="shared" ca="1" si="33"/>
        <v/>
      </c>
      <c r="Q133" s="4" t="str">
        <f t="shared" ca="1" si="33"/>
        <v/>
      </c>
      <c r="R133" s="4" t="str">
        <f t="shared" ca="1" si="33"/>
        <v/>
      </c>
      <c r="S133" s="4" t="str">
        <f t="shared" ca="1" si="33"/>
        <v/>
      </c>
      <c r="T133" s="4" t="str">
        <f t="shared" ca="1" si="33"/>
        <v/>
      </c>
      <c r="U133" s="4" t="str">
        <f t="shared" ca="1" si="33"/>
        <v/>
      </c>
      <c r="V133" s="4" t="str">
        <f t="shared" ca="1" si="33"/>
        <v/>
      </c>
      <c r="W133" s="4" t="str">
        <f t="shared" ca="1" si="34"/>
        <v/>
      </c>
      <c r="X133" s="4" t="str">
        <f t="shared" ca="1" si="34"/>
        <v/>
      </c>
      <c r="Y133" s="4" t="str">
        <f t="shared" ca="1" si="34"/>
        <v/>
      </c>
      <c r="Z133" s="4" t="str">
        <f t="shared" ca="1" si="34"/>
        <v/>
      </c>
      <c r="AA133" s="4" t="str">
        <f t="shared" ca="1" si="34"/>
        <v/>
      </c>
      <c r="AB133" s="4" t="str">
        <f t="shared" ca="1" si="34"/>
        <v/>
      </c>
      <c r="AC133" s="4" t="str">
        <f t="shared" ca="1" si="34"/>
        <v/>
      </c>
      <c r="AD133" s="4" t="str">
        <f t="shared" ca="1" si="34"/>
        <v/>
      </c>
      <c r="AE133" s="4" t="str">
        <f t="shared" ca="1" si="34"/>
        <v/>
      </c>
      <c r="AF133" s="4" t="str">
        <f t="shared" ca="1" si="34"/>
        <v/>
      </c>
      <c r="AG133" s="4" t="str">
        <f t="shared" ca="1" si="35"/>
        <v/>
      </c>
      <c r="AH133" s="4" t="str">
        <f t="shared" ca="1" si="35"/>
        <v/>
      </c>
      <c r="AI133" s="4" t="str">
        <f t="shared" ca="1" si="35"/>
        <v/>
      </c>
      <c r="AJ133" s="4" t="str">
        <f t="shared" ca="1" si="35"/>
        <v/>
      </c>
      <c r="AK133" s="4" t="str">
        <f t="shared" ca="1" si="35"/>
        <v/>
      </c>
      <c r="AL133" s="4" t="str">
        <f t="shared" ca="1" si="35"/>
        <v/>
      </c>
      <c r="AM133" s="4" t="str">
        <f t="shared" ca="1" si="35"/>
        <v/>
      </c>
      <c r="AN133" s="4" t="str">
        <f t="shared" ca="1" si="35"/>
        <v/>
      </c>
      <c r="AO133" s="4" t="str">
        <f t="shared" ca="1" si="35"/>
        <v/>
      </c>
      <c r="AP133" s="4" t="str">
        <f t="shared" ca="1" si="35"/>
        <v/>
      </c>
      <c r="AQ133" s="4" t="str">
        <f t="shared" ca="1" si="36"/>
        <v/>
      </c>
      <c r="AR133" s="4" t="str">
        <f t="shared" ca="1" si="36"/>
        <v/>
      </c>
      <c r="AS133" s="4" t="str">
        <f t="shared" ca="1" si="36"/>
        <v/>
      </c>
      <c r="AT133" s="4" t="str">
        <f t="shared" ca="1" si="36"/>
        <v/>
      </c>
      <c r="AU133" s="4" t="str">
        <f t="shared" ca="1" si="36"/>
        <v/>
      </c>
      <c r="AV133" s="4" t="str">
        <f t="shared" ca="1" si="36"/>
        <v/>
      </c>
      <c r="AW133" s="4" t="str">
        <f t="shared" ca="1" si="36"/>
        <v/>
      </c>
      <c r="AX133" s="4" t="str">
        <f t="shared" ca="1" si="36"/>
        <v/>
      </c>
      <c r="AY133" s="4" t="str">
        <f t="shared" ca="1" si="36"/>
        <v/>
      </c>
      <c r="AZ133" s="4" t="str">
        <f t="shared" ca="1" si="36"/>
        <v/>
      </c>
      <c r="BA133" s="4" t="str">
        <f t="shared" si="37"/>
        <v/>
      </c>
    </row>
    <row r="134" spans="1:53">
      <c r="A134">
        <v>70</v>
      </c>
      <c r="C134" s="4" t="str">
        <f t="shared" ca="1" si="32"/>
        <v/>
      </c>
      <c r="D134" s="4" t="str">
        <f t="shared" ca="1" si="32"/>
        <v/>
      </c>
      <c r="E134" s="4" t="str">
        <f t="shared" ca="1" si="32"/>
        <v/>
      </c>
      <c r="F134" s="4" t="str">
        <f t="shared" ca="1" si="32"/>
        <v/>
      </c>
      <c r="G134" s="4" t="str">
        <f t="shared" ca="1" si="32"/>
        <v/>
      </c>
      <c r="H134" s="4" t="str">
        <f t="shared" ca="1" si="32"/>
        <v/>
      </c>
      <c r="I134" s="4" t="str">
        <f t="shared" ca="1" si="32"/>
        <v/>
      </c>
      <c r="J134" s="4" t="str">
        <f t="shared" ca="1" si="32"/>
        <v/>
      </c>
      <c r="K134" s="4" t="str">
        <f t="shared" ca="1" si="32"/>
        <v/>
      </c>
      <c r="L134" s="4" t="str">
        <f t="shared" ca="1" si="32"/>
        <v/>
      </c>
      <c r="M134" s="4" t="str">
        <f t="shared" ca="1" si="33"/>
        <v/>
      </c>
      <c r="N134" s="4" t="str">
        <f t="shared" ca="1" si="33"/>
        <v/>
      </c>
      <c r="O134" s="4" t="str">
        <f t="shared" ca="1" si="33"/>
        <v/>
      </c>
      <c r="P134" s="4" t="str">
        <f t="shared" ca="1" si="33"/>
        <v/>
      </c>
      <c r="Q134" s="4" t="str">
        <f t="shared" ca="1" si="33"/>
        <v/>
      </c>
      <c r="R134" s="4" t="str">
        <f t="shared" ca="1" si="33"/>
        <v/>
      </c>
      <c r="S134" s="4" t="str">
        <f t="shared" ca="1" si="33"/>
        <v/>
      </c>
      <c r="T134" s="4" t="str">
        <f t="shared" ca="1" si="33"/>
        <v/>
      </c>
      <c r="U134" s="4" t="str">
        <f t="shared" ca="1" si="33"/>
        <v/>
      </c>
      <c r="V134" s="4" t="str">
        <f t="shared" ca="1" si="33"/>
        <v/>
      </c>
      <c r="W134" s="4" t="str">
        <f t="shared" ca="1" si="34"/>
        <v/>
      </c>
      <c r="X134" s="4" t="str">
        <f t="shared" ca="1" si="34"/>
        <v/>
      </c>
      <c r="Y134" s="4" t="str">
        <f t="shared" ca="1" si="34"/>
        <v/>
      </c>
      <c r="Z134" s="4" t="str">
        <f t="shared" ca="1" si="34"/>
        <v/>
      </c>
      <c r="AA134" s="4" t="str">
        <f t="shared" ca="1" si="34"/>
        <v/>
      </c>
      <c r="AB134" s="4" t="str">
        <f t="shared" ca="1" si="34"/>
        <v/>
      </c>
      <c r="AC134" s="4" t="str">
        <f t="shared" ca="1" si="34"/>
        <v/>
      </c>
      <c r="AD134" s="4" t="str">
        <f t="shared" ca="1" si="34"/>
        <v/>
      </c>
      <c r="AE134" s="4" t="str">
        <f t="shared" ca="1" si="34"/>
        <v/>
      </c>
      <c r="AF134" s="4" t="str">
        <f t="shared" ca="1" si="34"/>
        <v/>
      </c>
      <c r="AG134" s="4" t="str">
        <f t="shared" ca="1" si="35"/>
        <v/>
      </c>
      <c r="AH134" s="4" t="str">
        <f t="shared" ca="1" si="35"/>
        <v/>
      </c>
      <c r="AI134" s="4" t="str">
        <f t="shared" ca="1" si="35"/>
        <v/>
      </c>
      <c r="AJ134" s="4" t="str">
        <f t="shared" ca="1" si="35"/>
        <v/>
      </c>
      <c r="AK134" s="4" t="str">
        <f t="shared" ca="1" si="35"/>
        <v/>
      </c>
      <c r="AL134" s="4" t="str">
        <f t="shared" ca="1" si="35"/>
        <v/>
      </c>
      <c r="AM134" s="4" t="str">
        <f t="shared" ca="1" si="35"/>
        <v/>
      </c>
      <c r="AN134" s="4" t="str">
        <f t="shared" ca="1" si="35"/>
        <v/>
      </c>
      <c r="AO134" s="4" t="str">
        <f t="shared" ca="1" si="35"/>
        <v/>
      </c>
      <c r="AP134" s="4" t="str">
        <f t="shared" ca="1" si="35"/>
        <v/>
      </c>
      <c r="AQ134" s="4" t="str">
        <f t="shared" ca="1" si="36"/>
        <v/>
      </c>
      <c r="AR134" s="4" t="str">
        <f t="shared" ca="1" si="36"/>
        <v/>
      </c>
      <c r="AS134" s="4" t="str">
        <f t="shared" ca="1" si="36"/>
        <v/>
      </c>
      <c r="AT134" s="4" t="str">
        <f t="shared" ca="1" si="36"/>
        <v/>
      </c>
      <c r="AU134" s="4" t="str">
        <f t="shared" ca="1" si="36"/>
        <v/>
      </c>
      <c r="AV134" s="4" t="str">
        <f t="shared" ca="1" si="36"/>
        <v/>
      </c>
      <c r="AW134" s="4" t="str">
        <f t="shared" ca="1" si="36"/>
        <v/>
      </c>
      <c r="AX134" s="4" t="str">
        <f t="shared" ca="1" si="36"/>
        <v/>
      </c>
      <c r="AY134" s="4" t="str">
        <f t="shared" ca="1" si="36"/>
        <v/>
      </c>
      <c r="AZ134" s="4" t="str">
        <f t="shared" ca="1" si="36"/>
        <v/>
      </c>
      <c r="BA134" s="4" t="str">
        <f t="shared" si="37"/>
        <v/>
      </c>
    </row>
    <row r="135" spans="1:53">
      <c r="A135">
        <v>71</v>
      </c>
      <c r="C135" s="4" t="str">
        <f t="shared" ref="C135:L144" ca="1" si="38">IF(COLUMN()-2&lt;=$E$3,INDEX($B$10:$B$59,RANDBETWEEN(1,$E$3)),"")</f>
        <v/>
      </c>
      <c r="D135" s="4" t="str">
        <f t="shared" ca="1" si="38"/>
        <v/>
      </c>
      <c r="E135" s="4" t="str">
        <f t="shared" ca="1" si="38"/>
        <v/>
      </c>
      <c r="F135" s="4" t="str">
        <f t="shared" ca="1" si="38"/>
        <v/>
      </c>
      <c r="G135" s="4" t="str">
        <f t="shared" ca="1" si="38"/>
        <v/>
      </c>
      <c r="H135" s="4" t="str">
        <f t="shared" ca="1" si="38"/>
        <v/>
      </c>
      <c r="I135" s="4" t="str">
        <f t="shared" ca="1" si="38"/>
        <v/>
      </c>
      <c r="J135" s="4" t="str">
        <f t="shared" ca="1" si="38"/>
        <v/>
      </c>
      <c r="K135" s="4" t="str">
        <f t="shared" ca="1" si="38"/>
        <v/>
      </c>
      <c r="L135" s="4" t="str">
        <f t="shared" ca="1" si="38"/>
        <v/>
      </c>
      <c r="M135" s="4" t="str">
        <f t="shared" ref="M135:V144" ca="1" si="39">IF(COLUMN()-2&lt;=$E$3,INDEX($B$10:$B$59,RANDBETWEEN(1,$E$3)),"")</f>
        <v/>
      </c>
      <c r="N135" s="4" t="str">
        <f t="shared" ca="1" si="39"/>
        <v/>
      </c>
      <c r="O135" s="4" t="str">
        <f t="shared" ca="1" si="39"/>
        <v/>
      </c>
      <c r="P135" s="4" t="str">
        <f t="shared" ca="1" si="39"/>
        <v/>
      </c>
      <c r="Q135" s="4" t="str">
        <f t="shared" ca="1" si="39"/>
        <v/>
      </c>
      <c r="R135" s="4" t="str">
        <f t="shared" ca="1" si="39"/>
        <v/>
      </c>
      <c r="S135" s="4" t="str">
        <f t="shared" ca="1" si="39"/>
        <v/>
      </c>
      <c r="T135" s="4" t="str">
        <f t="shared" ca="1" si="39"/>
        <v/>
      </c>
      <c r="U135" s="4" t="str">
        <f t="shared" ca="1" si="39"/>
        <v/>
      </c>
      <c r="V135" s="4" t="str">
        <f t="shared" ca="1" si="39"/>
        <v/>
      </c>
      <c r="W135" s="4" t="str">
        <f t="shared" ref="W135:AF144" ca="1" si="40">IF(COLUMN()-2&lt;=$E$3,INDEX($B$10:$B$59,RANDBETWEEN(1,$E$3)),"")</f>
        <v/>
      </c>
      <c r="X135" s="4" t="str">
        <f t="shared" ca="1" si="40"/>
        <v/>
      </c>
      <c r="Y135" s="4" t="str">
        <f t="shared" ca="1" si="40"/>
        <v/>
      </c>
      <c r="Z135" s="4" t="str">
        <f t="shared" ca="1" si="40"/>
        <v/>
      </c>
      <c r="AA135" s="4" t="str">
        <f t="shared" ca="1" si="40"/>
        <v/>
      </c>
      <c r="AB135" s="4" t="str">
        <f t="shared" ca="1" si="40"/>
        <v/>
      </c>
      <c r="AC135" s="4" t="str">
        <f t="shared" ca="1" si="40"/>
        <v/>
      </c>
      <c r="AD135" s="4" t="str">
        <f t="shared" ca="1" si="40"/>
        <v/>
      </c>
      <c r="AE135" s="4" t="str">
        <f t="shared" ca="1" si="40"/>
        <v/>
      </c>
      <c r="AF135" s="4" t="str">
        <f t="shared" ca="1" si="40"/>
        <v/>
      </c>
      <c r="AG135" s="4" t="str">
        <f t="shared" ref="AG135:AP144" ca="1" si="41">IF(COLUMN()-2&lt;=$E$3,INDEX($B$10:$B$59,RANDBETWEEN(1,$E$3)),"")</f>
        <v/>
      </c>
      <c r="AH135" s="4" t="str">
        <f t="shared" ca="1" si="41"/>
        <v/>
      </c>
      <c r="AI135" s="4" t="str">
        <f t="shared" ca="1" si="41"/>
        <v/>
      </c>
      <c r="AJ135" s="4" t="str">
        <f t="shared" ca="1" si="41"/>
        <v/>
      </c>
      <c r="AK135" s="4" t="str">
        <f t="shared" ca="1" si="41"/>
        <v/>
      </c>
      <c r="AL135" s="4" t="str">
        <f t="shared" ca="1" si="41"/>
        <v/>
      </c>
      <c r="AM135" s="4" t="str">
        <f t="shared" ca="1" si="41"/>
        <v/>
      </c>
      <c r="AN135" s="4" t="str">
        <f t="shared" ca="1" si="41"/>
        <v/>
      </c>
      <c r="AO135" s="4" t="str">
        <f t="shared" ca="1" si="41"/>
        <v/>
      </c>
      <c r="AP135" s="4" t="str">
        <f t="shared" ca="1" si="41"/>
        <v/>
      </c>
      <c r="AQ135" s="4" t="str">
        <f t="shared" ref="AQ135:AZ144" ca="1" si="42">IF(COLUMN()-2&lt;=$E$3,INDEX($B$10:$B$59,RANDBETWEEN(1,$E$3)),"")</f>
        <v/>
      </c>
      <c r="AR135" s="4" t="str">
        <f t="shared" ca="1" si="42"/>
        <v/>
      </c>
      <c r="AS135" s="4" t="str">
        <f t="shared" ca="1" si="42"/>
        <v/>
      </c>
      <c r="AT135" s="4" t="str">
        <f t="shared" ca="1" si="42"/>
        <v/>
      </c>
      <c r="AU135" s="4" t="str">
        <f t="shared" ca="1" si="42"/>
        <v/>
      </c>
      <c r="AV135" s="4" t="str">
        <f t="shared" ca="1" si="42"/>
        <v/>
      </c>
      <c r="AW135" s="4" t="str">
        <f t="shared" ca="1" si="42"/>
        <v/>
      </c>
      <c r="AX135" s="4" t="str">
        <f t="shared" ca="1" si="42"/>
        <v/>
      </c>
      <c r="AY135" s="4" t="str">
        <f t="shared" ca="1" si="42"/>
        <v/>
      </c>
      <c r="AZ135" s="4" t="str">
        <f t="shared" ca="1" si="42"/>
        <v/>
      </c>
      <c r="BA135" s="4" t="str">
        <f t="shared" si="37"/>
        <v/>
      </c>
    </row>
    <row r="136" spans="1:53">
      <c r="A136">
        <v>72</v>
      </c>
      <c r="C136" s="4" t="str">
        <f t="shared" ca="1" si="38"/>
        <v/>
      </c>
      <c r="D136" s="4" t="str">
        <f t="shared" ca="1" si="38"/>
        <v/>
      </c>
      <c r="E136" s="4" t="str">
        <f t="shared" ca="1" si="38"/>
        <v/>
      </c>
      <c r="F136" s="4" t="str">
        <f t="shared" ca="1" si="38"/>
        <v/>
      </c>
      <c r="G136" s="4" t="str">
        <f t="shared" ca="1" si="38"/>
        <v/>
      </c>
      <c r="H136" s="4" t="str">
        <f t="shared" ca="1" si="38"/>
        <v/>
      </c>
      <c r="I136" s="4" t="str">
        <f t="shared" ca="1" si="38"/>
        <v/>
      </c>
      <c r="J136" s="4" t="str">
        <f t="shared" ca="1" si="38"/>
        <v/>
      </c>
      <c r="K136" s="4" t="str">
        <f t="shared" ca="1" si="38"/>
        <v/>
      </c>
      <c r="L136" s="4" t="str">
        <f t="shared" ca="1" si="38"/>
        <v/>
      </c>
      <c r="M136" s="4" t="str">
        <f t="shared" ca="1" si="39"/>
        <v/>
      </c>
      <c r="N136" s="4" t="str">
        <f t="shared" ca="1" si="39"/>
        <v/>
      </c>
      <c r="O136" s="4" t="str">
        <f t="shared" ca="1" si="39"/>
        <v/>
      </c>
      <c r="P136" s="4" t="str">
        <f t="shared" ca="1" si="39"/>
        <v/>
      </c>
      <c r="Q136" s="4" t="str">
        <f t="shared" ca="1" si="39"/>
        <v/>
      </c>
      <c r="R136" s="4" t="str">
        <f t="shared" ca="1" si="39"/>
        <v/>
      </c>
      <c r="S136" s="4" t="str">
        <f t="shared" ca="1" si="39"/>
        <v/>
      </c>
      <c r="T136" s="4" t="str">
        <f t="shared" ca="1" si="39"/>
        <v/>
      </c>
      <c r="U136" s="4" t="str">
        <f t="shared" ca="1" si="39"/>
        <v/>
      </c>
      <c r="V136" s="4" t="str">
        <f t="shared" ca="1" si="39"/>
        <v/>
      </c>
      <c r="W136" s="4" t="str">
        <f t="shared" ca="1" si="40"/>
        <v/>
      </c>
      <c r="X136" s="4" t="str">
        <f t="shared" ca="1" si="40"/>
        <v/>
      </c>
      <c r="Y136" s="4" t="str">
        <f t="shared" ca="1" si="40"/>
        <v/>
      </c>
      <c r="Z136" s="4" t="str">
        <f t="shared" ca="1" si="40"/>
        <v/>
      </c>
      <c r="AA136" s="4" t="str">
        <f t="shared" ca="1" si="40"/>
        <v/>
      </c>
      <c r="AB136" s="4" t="str">
        <f t="shared" ca="1" si="40"/>
        <v/>
      </c>
      <c r="AC136" s="4" t="str">
        <f t="shared" ca="1" si="40"/>
        <v/>
      </c>
      <c r="AD136" s="4" t="str">
        <f t="shared" ca="1" si="40"/>
        <v/>
      </c>
      <c r="AE136" s="4" t="str">
        <f t="shared" ca="1" si="40"/>
        <v/>
      </c>
      <c r="AF136" s="4" t="str">
        <f t="shared" ca="1" si="40"/>
        <v/>
      </c>
      <c r="AG136" s="4" t="str">
        <f t="shared" ca="1" si="41"/>
        <v/>
      </c>
      <c r="AH136" s="4" t="str">
        <f t="shared" ca="1" si="41"/>
        <v/>
      </c>
      <c r="AI136" s="4" t="str">
        <f t="shared" ca="1" si="41"/>
        <v/>
      </c>
      <c r="AJ136" s="4" t="str">
        <f t="shared" ca="1" si="41"/>
        <v/>
      </c>
      <c r="AK136" s="4" t="str">
        <f t="shared" ca="1" si="41"/>
        <v/>
      </c>
      <c r="AL136" s="4" t="str">
        <f t="shared" ca="1" si="41"/>
        <v/>
      </c>
      <c r="AM136" s="4" t="str">
        <f t="shared" ca="1" si="41"/>
        <v/>
      </c>
      <c r="AN136" s="4" t="str">
        <f t="shared" ca="1" si="41"/>
        <v/>
      </c>
      <c r="AO136" s="4" t="str">
        <f t="shared" ca="1" si="41"/>
        <v/>
      </c>
      <c r="AP136" s="4" t="str">
        <f t="shared" ca="1" si="41"/>
        <v/>
      </c>
      <c r="AQ136" s="4" t="str">
        <f t="shared" ca="1" si="42"/>
        <v/>
      </c>
      <c r="AR136" s="4" t="str">
        <f t="shared" ca="1" si="42"/>
        <v/>
      </c>
      <c r="AS136" s="4" t="str">
        <f t="shared" ca="1" si="42"/>
        <v/>
      </c>
      <c r="AT136" s="4" t="str">
        <f t="shared" ca="1" si="42"/>
        <v/>
      </c>
      <c r="AU136" s="4" t="str">
        <f t="shared" ca="1" si="42"/>
        <v/>
      </c>
      <c r="AV136" s="4" t="str">
        <f t="shared" ca="1" si="42"/>
        <v/>
      </c>
      <c r="AW136" s="4" t="str">
        <f t="shared" ca="1" si="42"/>
        <v/>
      </c>
      <c r="AX136" s="4" t="str">
        <f t="shared" ca="1" si="42"/>
        <v/>
      </c>
      <c r="AY136" s="4" t="str">
        <f t="shared" ca="1" si="42"/>
        <v/>
      </c>
      <c r="AZ136" s="4" t="str">
        <f t="shared" ca="1" si="42"/>
        <v/>
      </c>
      <c r="BA136" s="4" t="str">
        <f t="shared" si="37"/>
        <v/>
      </c>
    </row>
    <row r="137" spans="1:53">
      <c r="A137">
        <v>73</v>
      </c>
      <c r="C137" s="4" t="str">
        <f t="shared" ca="1" si="38"/>
        <v/>
      </c>
      <c r="D137" s="4" t="str">
        <f t="shared" ca="1" si="38"/>
        <v/>
      </c>
      <c r="E137" s="4" t="str">
        <f t="shared" ca="1" si="38"/>
        <v/>
      </c>
      <c r="F137" s="4" t="str">
        <f t="shared" ca="1" si="38"/>
        <v/>
      </c>
      <c r="G137" s="4" t="str">
        <f t="shared" ca="1" si="38"/>
        <v/>
      </c>
      <c r="H137" s="4" t="str">
        <f t="shared" ca="1" si="38"/>
        <v/>
      </c>
      <c r="I137" s="4" t="str">
        <f t="shared" ca="1" si="38"/>
        <v/>
      </c>
      <c r="J137" s="4" t="str">
        <f t="shared" ca="1" si="38"/>
        <v/>
      </c>
      <c r="K137" s="4" t="str">
        <f t="shared" ca="1" si="38"/>
        <v/>
      </c>
      <c r="L137" s="4" t="str">
        <f t="shared" ca="1" si="38"/>
        <v/>
      </c>
      <c r="M137" s="4" t="str">
        <f t="shared" ca="1" si="39"/>
        <v/>
      </c>
      <c r="N137" s="4" t="str">
        <f t="shared" ca="1" si="39"/>
        <v/>
      </c>
      <c r="O137" s="4" t="str">
        <f t="shared" ca="1" si="39"/>
        <v/>
      </c>
      <c r="P137" s="4" t="str">
        <f t="shared" ca="1" si="39"/>
        <v/>
      </c>
      <c r="Q137" s="4" t="str">
        <f t="shared" ca="1" si="39"/>
        <v/>
      </c>
      <c r="R137" s="4" t="str">
        <f t="shared" ca="1" si="39"/>
        <v/>
      </c>
      <c r="S137" s="4" t="str">
        <f t="shared" ca="1" si="39"/>
        <v/>
      </c>
      <c r="T137" s="4" t="str">
        <f t="shared" ca="1" si="39"/>
        <v/>
      </c>
      <c r="U137" s="4" t="str">
        <f t="shared" ca="1" si="39"/>
        <v/>
      </c>
      <c r="V137" s="4" t="str">
        <f t="shared" ca="1" si="39"/>
        <v/>
      </c>
      <c r="W137" s="4" t="str">
        <f t="shared" ca="1" si="40"/>
        <v/>
      </c>
      <c r="X137" s="4" t="str">
        <f t="shared" ca="1" si="40"/>
        <v/>
      </c>
      <c r="Y137" s="4" t="str">
        <f t="shared" ca="1" si="40"/>
        <v/>
      </c>
      <c r="Z137" s="4" t="str">
        <f t="shared" ca="1" si="40"/>
        <v/>
      </c>
      <c r="AA137" s="4" t="str">
        <f t="shared" ca="1" si="40"/>
        <v/>
      </c>
      <c r="AB137" s="4" t="str">
        <f t="shared" ca="1" si="40"/>
        <v/>
      </c>
      <c r="AC137" s="4" t="str">
        <f t="shared" ca="1" si="40"/>
        <v/>
      </c>
      <c r="AD137" s="4" t="str">
        <f t="shared" ca="1" si="40"/>
        <v/>
      </c>
      <c r="AE137" s="4" t="str">
        <f t="shared" ca="1" si="40"/>
        <v/>
      </c>
      <c r="AF137" s="4" t="str">
        <f t="shared" ca="1" si="40"/>
        <v/>
      </c>
      <c r="AG137" s="4" t="str">
        <f t="shared" ca="1" si="41"/>
        <v/>
      </c>
      <c r="AH137" s="4" t="str">
        <f t="shared" ca="1" si="41"/>
        <v/>
      </c>
      <c r="AI137" s="4" t="str">
        <f t="shared" ca="1" si="41"/>
        <v/>
      </c>
      <c r="AJ137" s="4" t="str">
        <f t="shared" ca="1" si="41"/>
        <v/>
      </c>
      <c r="AK137" s="4" t="str">
        <f t="shared" ca="1" si="41"/>
        <v/>
      </c>
      <c r="AL137" s="4" t="str">
        <f t="shared" ca="1" si="41"/>
        <v/>
      </c>
      <c r="AM137" s="4" t="str">
        <f t="shared" ca="1" si="41"/>
        <v/>
      </c>
      <c r="AN137" s="4" t="str">
        <f t="shared" ca="1" si="41"/>
        <v/>
      </c>
      <c r="AO137" s="4" t="str">
        <f t="shared" ca="1" si="41"/>
        <v/>
      </c>
      <c r="AP137" s="4" t="str">
        <f t="shared" ca="1" si="41"/>
        <v/>
      </c>
      <c r="AQ137" s="4" t="str">
        <f t="shared" ca="1" si="42"/>
        <v/>
      </c>
      <c r="AR137" s="4" t="str">
        <f t="shared" ca="1" si="42"/>
        <v/>
      </c>
      <c r="AS137" s="4" t="str">
        <f t="shared" ca="1" si="42"/>
        <v/>
      </c>
      <c r="AT137" s="4" t="str">
        <f t="shared" ca="1" si="42"/>
        <v/>
      </c>
      <c r="AU137" s="4" t="str">
        <f t="shared" ca="1" si="42"/>
        <v/>
      </c>
      <c r="AV137" s="4" t="str">
        <f t="shared" ca="1" si="42"/>
        <v/>
      </c>
      <c r="AW137" s="4" t="str">
        <f t="shared" ca="1" si="42"/>
        <v/>
      </c>
      <c r="AX137" s="4" t="str">
        <f t="shared" ca="1" si="42"/>
        <v/>
      </c>
      <c r="AY137" s="4" t="str">
        <f t="shared" ca="1" si="42"/>
        <v/>
      </c>
      <c r="AZ137" s="4" t="str">
        <f t="shared" ca="1" si="42"/>
        <v/>
      </c>
      <c r="BA137" s="4" t="str">
        <f t="shared" si="37"/>
        <v/>
      </c>
    </row>
    <row r="138" spans="1:53">
      <c r="A138">
        <v>74</v>
      </c>
      <c r="C138" s="4" t="str">
        <f t="shared" ca="1" si="38"/>
        <v/>
      </c>
      <c r="D138" s="4" t="str">
        <f t="shared" ca="1" si="38"/>
        <v/>
      </c>
      <c r="E138" s="4" t="str">
        <f t="shared" ca="1" si="38"/>
        <v/>
      </c>
      <c r="F138" s="4" t="str">
        <f t="shared" ca="1" si="38"/>
        <v/>
      </c>
      <c r="G138" s="4" t="str">
        <f t="shared" ca="1" si="38"/>
        <v/>
      </c>
      <c r="H138" s="4" t="str">
        <f t="shared" ca="1" si="38"/>
        <v/>
      </c>
      <c r="I138" s="4" t="str">
        <f t="shared" ca="1" si="38"/>
        <v/>
      </c>
      <c r="J138" s="4" t="str">
        <f t="shared" ca="1" si="38"/>
        <v/>
      </c>
      <c r="K138" s="4" t="str">
        <f t="shared" ca="1" si="38"/>
        <v/>
      </c>
      <c r="L138" s="4" t="str">
        <f t="shared" ca="1" si="38"/>
        <v/>
      </c>
      <c r="M138" s="4" t="str">
        <f t="shared" ca="1" si="39"/>
        <v/>
      </c>
      <c r="N138" s="4" t="str">
        <f t="shared" ca="1" si="39"/>
        <v/>
      </c>
      <c r="O138" s="4" t="str">
        <f t="shared" ca="1" si="39"/>
        <v/>
      </c>
      <c r="P138" s="4" t="str">
        <f t="shared" ca="1" si="39"/>
        <v/>
      </c>
      <c r="Q138" s="4" t="str">
        <f t="shared" ca="1" si="39"/>
        <v/>
      </c>
      <c r="R138" s="4" t="str">
        <f t="shared" ca="1" si="39"/>
        <v/>
      </c>
      <c r="S138" s="4" t="str">
        <f t="shared" ca="1" si="39"/>
        <v/>
      </c>
      <c r="T138" s="4" t="str">
        <f t="shared" ca="1" si="39"/>
        <v/>
      </c>
      <c r="U138" s="4" t="str">
        <f t="shared" ca="1" si="39"/>
        <v/>
      </c>
      <c r="V138" s="4" t="str">
        <f t="shared" ca="1" si="39"/>
        <v/>
      </c>
      <c r="W138" s="4" t="str">
        <f t="shared" ca="1" si="40"/>
        <v/>
      </c>
      <c r="X138" s="4" t="str">
        <f t="shared" ca="1" si="40"/>
        <v/>
      </c>
      <c r="Y138" s="4" t="str">
        <f t="shared" ca="1" si="40"/>
        <v/>
      </c>
      <c r="Z138" s="4" t="str">
        <f t="shared" ca="1" si="40"/>
        <v/>
      </c>
      <c r="AA138" s="4" t="str">
        <f t="shared" ca="1" si="40"/>
        <v/>
      </c>
      <c r="AB138" s="4" t="str">
        <f t="shared" ca="1" si="40"/>
        <v/>
      </c>
      <c r="AC138" s="4" t="str">
        <f t="shared" ca="1" si="40"/>
        <v/>
      </c>
      <c r="AD138" s="4" t="str">
        <f t="shared" ca="1" si="40"/>
        <v/>
      </c>
      <c r="AE138" s="4" t="str">
        <f t="shared" ca="1" si="40"/>
        <v/>
      </c>
      <c r="AF138" s="4" t="str">
        <f t="shared" ca="1" si="40"/>
        <v/>
      </c>
      <c r="AG138" s="4" t="str">
        <f t="shared" ca="1" si="41"/>
        <v/>
      </c>
      <c r="AH138" s="4" t="str">
        <f t="shared" ca="1" si="41"/>
        <v/>
      </c>
      <c r="AI138" s="4" t="str">
        <f t="shared" ca="1" si="41"/>
        <v/>
      </c>
      <c r="AJ138" s="4" t="str">
        <f t="shared" ca="1" si="41"/>
        <v/>
      </c>
      <c r="AK138" s="4" t="str">
        <f t="shared" ca="1" si="41"/>
        <v/>
      </c>
      <c r="AL138" s="4" t="str">
        <f t="shared" ca="1" si="41"/>
        <v/>
      </c>
      <c r="AM138" s="4" t="str">
        <f t="shared" ca="1" si="41"/>
        <v/>
      </c>
      <c r="AN138" s="4" t="str">
        <f t="shared" ca="1" si="41"/>
        <v/>
      </c>
      <c r="AO138" s="4" t="str">
        <f t="shared" ca="1" si="41"/>
        <v/>
      </c>
      <c r="AP138" s="4" t="str">
        <f t="shared" ca="1" si="41"/>
        <v/>
      </c>
      <c r="AQ138" s="4" t="str">
        <f t="shared" ca="1" si="42"/>
        <v/>
      </c>
      <c r="AR138" s="4" t="str">
        <f t="shared" ca="1" si="42"/>
        <v/>
      </c>
      <c r="AS138" s="4" t="str">
        <f t="shared" ca="1" si="42"/>
        <v/>
      </c>
      <c r="AT138" s="4" t="str">
        <f t="shared" ca="1" si="42"/>
        <v/>
      </c>
      <c r="AU138" s="4" t="str">
        <f t="shared" ca="1" si="42"/>
        <v/>
      </c>
      <c r="AV138" s="4" t="str">
        <f t="shared" ca="1" si="42"/>
        <v/>
      </c>
      <c r="AW138" s="4" t="str">
        <f t="shared" ca="1" si="42"/>
        <v/>
      </c>
      <c r="AX138" s="4" t="str">
        <f t="shared" ca="1" si="42"/>
        <v/>
      </c>
      <c r="AY138" s="4" t="str">
        <f t="shared" ca="1" si="42"/>
        <v/>
      </c>
      <c r="AZ138" s="4" t="str">
        <f t="shared" ca="1" si="42"/>
        <v/>
      </c>
      <c r="BA138" s="4" t="str">
        <f t="shared" si="37"/>
        <v/>
      </c>
    </row>
    <row r="139" spans="1:53">
      <c r="A139">
        <v>75</v>
      </c>
      <c r="C139" s="4" t="str">
        <f t="shared" ca="1" si="38"/>
        <v/>
      </c>
      <c r="D139" s="4" t="str">
        <f t="shared" ca="1" si="38"/>
        <v/>
      </c>
      <c r="E139" s="4" t="str">
        <f t="shared" ca="1" si="38"/>
        <v/>
      </c>
      <c r="F139" s="4" t="str">
        <f t="shared" ca="1" si="38"/>
        <v/>
      </c>
      <c r="G139" s="4" t="str">
        <f t="shared" ca="1" si="38"/>
        <v/>
      </c>
      <c r="H139" s="4" t="str">
        <f t="shared" ca="1" si="38"/>
        <v/>
      </c>
      <c r="I139" s="4" t="str">
        <f t="shared" ca="1" si="38"/>
        <v/>
      </c>
      <c r="J139" s="4" t="str">
        <f t="shared" ca="1" si="38"/>
        <v/>
      </c>
      <c r="K139" s="4" t="str">
        <f t="shared" ca="1" si="38"/>
        <v/>
      </c>
      <c r="L139" s="4" t="str">
        <f t="shared" ca="1" si="38"/>
        <v/>
      </c>
      <c r="M139" s="4" t="str">
        <f t="shared" ca="1" si="39"/>
        <v/>
      </c>
      <c r="N139" s="4" t="str">
        <f t="shared" ca="1" si="39"/>
        <v/>
      </c>
      <c r="O139" s="4" t="str">
        <f t="shared" ca="1" si="39"/>
        <v/>
      </c>
      <c r="P139" s="4" t="str">
        <f t="shared" ca="1" si="39"/>
        <v/>
      </c>
      <c r="Q139" s="4" t="str">
        <f t="shared" ca="1" si="39"/>
        <v/>
      </c>
      <c r="R139" s="4" t="str">
        <f t="shared" ca="1" si="39"/>
        <v/>
      </c>
      <c r="S139" s="4" t="str">
        <f t="shared" ca="1" si="39"/>
        <v/>
      </c>
      <c r="T139" s="4" t="str">
        <f t="shared" ca="1" si="39"/>
        <v/>
      </c>
      <c r="U139" s="4" t="str">
        <f t="shared" ca="1" si="39"/>
        <v/>
      </c>
      <c r="V139" s="4" t="str">
        <f t="shared" ca="1" si="39"/>
        <v/>
      </c>
      <c r="W139" s="4" t="str">
        <f t="shared" ca="1" si="40"/>
        <v/>
      </c>
      <c r="X139" s="4" t="str">
        <f t="shared" ca="1" si="40"/>
        <v/>
      </c>
      <c r="Y139" s="4" t="str">
        <f t="shared" ca="1" si="40"/>
        <v/>
      </c>
      <c r="Z139" s="4" t="str">
        <f t="shared" ca="1" si="40"/>
        <v/>
      </c>
      <c r="AA139" s="4" t="str">
        <f t="shared" ca="1" si="40"/>
        <v/>
      </c>
      <c r="AB139" s="4" t="str">
        <f t="shared" ca="1" si="40"/>
        <v/>
      </c>
      <c r="AC139" s="4" t="str">
        <f t="shared" ca="1" si="40"/>
        <v/>
      </c>
      <c r="AD139" s="4" t="str">
        <f t="shared" ca="1" si="40"/>
        <v/>
      </c>
      <c r="AE139" s="4" t="str">
        <f t="shared" ca="1" si="40"/>
        <v/>
      </c>
      <c r="AF139" s="4" t="str">
        <f t="shared" ca="1" si="40"/>
        <v/>
      </c>
      <c r="AG139" s="4" t="str">
        <f t="shared" ca="1" si="41"/>
        <v/>
      </c>
      <c r="AH139" s="4" t="str">
        <f t="shared" ca="1" si="41"/>
        <v/>
      </c>
      <c r="AI139" s="4" t="str">
        <f t="shared" ca="1" si="41"/>
        <v/>
      </c>
      <c r="AJ139" s="4" t="str">
        <f t="shared" ca="1" si="41"/>
        <v/>
      </c>
      <c r="AK139" s="4" t="str">
        <f t="shared" ca="1" si="41"/>
        <v/>
      </c>
      <c r="AL139" s="4" t="str">
        <f t="shared" ca="1" si="41"/>
        <v/>
      </c>
      <c r="AM139" s="4" t="str">
        <f t="shared" ca="1" si="41"/>
        <v/>
      </c>
      <c r="AN139" s="4" t="str">
        <f t="shared" ca="1" si="41"/>
        <v/>
      </c>
      <c r="AO139" s="4" t="str">
        <f t="shared" ca="1" si="41"/>
        <v/>
      </c>
      <c r="AP139" s="4" t="str">
        <f t="shared" ca="1" si="41"/>
        <v/>
      </c>
      <c r="AQ139" s="4" t="str">
        <f t="shared" ca="1" si="42"/>
        <v/>
      </c>
      <c r="AR139" s="4" t="str">
        <f t="shared" ca="1" si="42"/>
        <v/>
      </c>
      <c r="AS139" s="4" t="str">
        <f t="shared" ca="1" si="42"/>
        <v/>
      </c>
      <c r="AT139" s="4" t="str">
        <f t="shared" ca="1" si="42"/>
        <v/>
      </c>
      <c r="AU139" s="4" t="str">
        <f t="shared" ca="1" si="42"/>
        <v/>
      </c>
      <c r="AV139" s="4" t="str">
        <f t="shared" ca="1" si="42"/>
        <v/>
      </c>
      <c r="AW139" s="4" t="str">
        <f t="shared" ca="1" si="42"/>
        <v/>
      </c>
      <c r="AX139" s="4" t="str">
        <f t="shared" ca="1" si="42"/>
        <v/>
      </c>
      <c r="AY139" s="4" t="str">
        <f t="shared" ca="1" si="42"/>
        <v/>
      </c>
      <c r="AZ139" s="4" t="str">
        <f t="shared" ca="1" si="42"/>
        <v/>
      </c>
      <c r="BA139" s="4" t="str">
        <f t="shared" si="37"/>
        <v/>
      </c>
    </row>
    <row r="140" spans="1:53">
      <c r="A140">
        <v>76</v>
      </c>
      <c r="C140" s="4" t="str">
        <f t="shared" ca="1" si="38"/>
        <v/>
      </c>
      <c r="D140" s="4" t="str">
        <f t="shared" ca="1" si="38"/>
        <v/>
      </c>
      <c r="E140" s="4" t="str">
        <f t="shared" ca="1" si="38"/>
        <v/>
      </c>
      <c r="F140" s="4" t="str">
        <f t="shared" ca="1" si="38"/>
        <v/>
      </c>
      <c r="G140" s="4" t="str">
        <f t="shared" ca="1" si="38"/>
        <v/>
      </c>
      <c r="H140" s="4" t="str">
        <f t="shared" ca="1" si="38"/>
        <v/>
      </c>
      <c r="I140" s="4" t="str">
        <f t="shared" ca="1" si="38"/>
        <v/>
      </c>
      <c r="J140" s="4" t="str">
        <f t="shared" ca="1" si="38"/>
        <v/>
      </c>
      <c r="K140" s="4" t="str">
        <f t="shared" ca="1" si="38"/>
        <v/>
      </c>
      <c r="L140" s="4" t="str">
        <f t="shared" ca="1" si="38"/>
        <v/>
      </c>
      <c r="M140" s="4" t="str">
        <f t="shared" ca="1" si="39"/>
        <v/>
      </c>
      <c r="N140" s="4" t="str">
        <f t="shared" ca="1" si="39"/>
        <v/>
      </c>
      <c r="O140" s="4" t="str">
        <f t="shared" ca="1" si="39"/>
        <v/>
      </c>
      <c r="P140" s="4" t="str">
        <f t="shared" ca="1" si="39"/>
        <v/>
      </c>
      <c r="Q140" s="4" t="str">
        <f t="shared" ca="1" si="39"/>
        <v/>
      </c>
      <c r="R140" s="4" t="str">
        <f t="shared" ca="1" si="39"/>
        <v/>
      </c>
      <c r="S140" s="4" t="str">
        <f t="shared" ca="1" si="39"/>
        <v/>
      </c>
      <c r="T140" s="4" t="str">
        <f t="shared" ca="1" si="39"/>
        <v/>
      </c>
      <c r="U140" s="4" t="str">
        <f t="shared" ca="1" si="39"/>
        <v/>
      </c>
      <c r="V140" s="4" t="str">
        <f t="shared" ca="1" si="39"/>
        <v/>
      </c>
      <c r="W140" s="4" t="str">
        <f t="shared" ca="1" si="40"/>
        <v/>
      </c>
      <c r="X140" s="4" t="str">
        <f t="shared" ca="1" si="40"/>
        <v/>
      </c>
      <c r="Y140" s="4" t="str">
        <f t="shared" ca="1" si="40"/>
        <v/>
      </c>
      <c r="Z140" s="4" t="str">
        <f t="shared" ca="1" si="40"/>
        <v/>
      </c>
      <c r="AA140" s="4" t="str">
        <f t="shared" ca="1" si="40"/>
        <v/>
      </c>
      <c r="AB140" s="4" t="str">
        <f t="shared" ca="1" si="40"/>
        <v/>
      </c>
      <c r="AC140" s="4" t="str">
        <f t="shared" ca="1" si="40"/>
        <v/>
      </c>
      <c r="AD140" s="4" t="str">
        <f t="shared" ca="1" si="40"/>
        <v/>
      </c>
      <c r="AE140" s="4" t="str">
        <f t="shared" ca="1" si="40"/>
        <v/>
      </c>
      <c r="AF140" s="4" t="str">
        <f t="shared" ca="1" si="40"/>
        <v/>
      </c>
      <c r="AG140" s="4" t="str">
        <f t="shared" ca="1" si="41"/>
        <v/>
      </c>
      <c r="AH140" s="4" t="str">
        <f t="shared" ca="1" si="41"/>
        <v/>
      </c>
      <c r="AI140" s="4" t="str">
        <f t="shared" ca="1" si="41"/>
        <v/>
      </c>
      <c r="AJ140" s="4" t="str">
        <f t="shared" ca="1" si="41"/>
        <v/>
      </c>
      <c r="AK140" s="4" t="str">
        <f t="shared" ca="1" si="41"/>
        <v/>
      </c>
      <c r="AL140" s="4" t="str">
        <f t="shared" ca="1" si="41"/>
        <v/>
      </c>
      <c r="AM140" s="4" t="str">
        <f t="shared" ca="1" si="41"/>
        <v/>
      </c>
      <c r="AN140" s="4" t="str">
        <f t="shared" ca="1" si="41"/>
        <v/>
      </c>
      <c r="AO140" s="4" t="str">
        <f t="shared" ca="1" si="41"/>
        <v/>
      </c>
      <c r="AP140" s="4" t="str">
        <f t="shared" ca="1" si="41"/>
        <v/>
      </c>
      <c r="AQ140" s="4" t="str">
        <f t="shared" ca="1" si="42"/>
        <v/>
      </c>
      <c r="AR140" s="4" t="str">
        <f t="shared" ca="1" si="42"/>
        <v/>
      </c>
      <c r="AS140" s="4" t="str">
        <f t="shared" ca="1" si="42"/>
        <v/>
      </c>
      <c r="AT140" s="4" t="str">
        <f t="shared" ca="1" si="42"/>
        <v/>
      </c>
      <c r="AU140" s="4" t="str">
        <f t="shared" ca="1" si="42"/>
        <v/>
      </c>
      <c r="AV140" s="4" t="str">
        <f t="shared" ca="1" si="42"/>
        <v/>
      </c>
      <c r="AW140" s="4" t="str">
        <f t="shared" ca="1" si="42"/>
        <v/>
      </c>
      <c r="AX140" s="4" t="str">
        <f t="shared" ca="1" si="42"/>
        <v/>
      </c>
      <c r="AY140" s="4" t="str">
        <f t="shared" ca="1" si="42"/>
        <v/>
      </c>
      <c r="AZ140" s="4" t="str">
        <f t="shared" ca="1" si="42"/>
        <v/>
      </c>
      <c r="BA140" s="4" t="str">
        <f t="shared" si="37"/>
        <v/>
      </c>
    </row>
    <row r="141" spans="1:53">
      <c r="A141">
        <v>77</v>
      </c>
      <c r="C141" s="4" t="str">
        <f t="shared" ca="1" si="38"/>
        <v/>
      </c>
      <c r="D141" s="4" t="str">
        <f t="shared" ca="1" si="38"/>
        <v/>
      </c>
      <c r="E141" s="4" t="str">
        <f t="shared" ca="1" si="38"/>
        <v/>
      </c>
      <c r="F141" s="4" t="str">
        <f t="shared" ca="1" si="38"/>
        <v/>
      </c>
      <c r="G141" s="4" t="str">
        <f t="shared" ca="1" si="38"/>
        <v/>
      </c>
      <c r="H141" s="4" t="str">
        <f t="shared" ca="1" si="38"/>
        <v/>
      </c>
      <c r="I141" s="4" t="str">
        <f t="shared" ca="1" si="38"/>
        <v/>
      </c>
      <c r="J141" s="4" t="str">
        <f t="shared" ca="1" si="38"/>
        <v/>
      </c>
      <c r="K141" s="4" t="str">
        <f t="shared" ca="1" si="38"/>
        <v/>
      </c>
      <c r="L141" s="4" t="str">
        <f t="shared" ca="1" si="38"/>
        <v/>
      </c>
      <c r="M141" s="4" t="str">
        <f t="shared" ca="1" si="39"/>
        <v/>
      </c>
      <c r="N141" s="4" t="str">
        <f t="shared" ca="1" si="39"/>
        <v/>
      </c>
      <c r="O141" s="4" t="str">
        <f t="shared" ca="1" si="39"/>
        <v/>
      </c>
      <c r="P141" s="4" t="str">
        <f t="shared" ca="1" si="39"/>
        <v/>
      </c>
      <c r="Q141" s="4" t="str">
        <f t="shared" ca="1" si="39"/>
        <v/>
      </c>
      <c r="R141" s="4" t="str">
        <f t="shared" ca="1" si="39"/>
        <v/>
      </c>
      <c r="S141" s="4" t="str">
        <f t="shared" ca="1" si="39"/>
        <v/>
      </c>
      <c r="T141" s="4" t="str">
        <f t="shared" ca="1" si="39"/>
        <v/>
      </c>
      <c r="U141" s="4" t="str">
        <f t="shared" ca="1" si="39"/>
        <v/>
      </c>
      <c r="V141" s="4" t="str">
        <f t="shared" ca="1" si="39"/>
        <v/>
      </c>
      <c r="W141" s="4" t="str">
        <f t="shared" ca="1" si="40"/>
        <v/>
      </c>
      <c r="X141" s="4" t="str">
        <f t="shared" ca="1" si="40"/>
        <v/>
      </c>
      <c r="Y141" s="4" t="str">
        <f t="shared" ca="1" si="40"/>
        <v/>
      </c>
      <c r="Z141" s="4" t="str">
        <f t="shared" ca="1" si="40"/>
        <v/>
      </c>
      <c r="AA141" s="4" t="str">
        <f t="shared" ca="1" si="40"/>
        <v/>
      </c>
      <c r="AB141" s="4" t="str">
        <f t="shared" ca="1" si="40"/>
        <v/>
      </c>
      <c r="AC141" s="4" t="str">
        <f t="shared" ca="1" si="40"/>
        <v/>
      </c>
      <c r="AD141" s="4" t="str">
        <f t="shared" ca="1" si="40"/>
        <v/>
      </c>
      <c r="AE141" s="4" t="str">
        <f t="shared" ca="1" si="40"/>
        <v/>
      </c>
      <c r="AF141" s="4" t="str">
        <f t="shared" ca="1" si="40"/>
        <v/>
      </c>
      <c r="AG141" s="4" t="str">
        <f t="shared" ca="1" si="41"/>
        <v/>
      </c>
      <c r="AH141" s="4" t="str">
        <f t="shared" ca="1" si="41"/>
        <v/>
      </c>
      <c r="AI141" s="4" t="str">
        <f t="shared" ca="1" si="41"/>
        <v/>
      </c>
      <c r="AJ141" s="4" t="str">
        <f t="shared" ca="1" si="41"/>
        <v/>
      </c>
      <c r="AK141" s="4" t="str">
        <f t="shared" ca="1" si="41"/>
        <v/>
      </c>
      <c r="AL141" s="4" t="str">
        <f t="shared" ca="1" si="41"/>
        <v/>
      </c>
      <c r="AM141" s="4" t="str">
        <f t="shared" ca="1" si="41"/>
        <v/>
      </c>
      <c r="AN141" s="4" t="str">
        <f t="shared" ca="1" si="41"/>
        <v/>
      </c>
      <c r="AO141" s="4" t="str">
        <f t="shared" ca="1" si="41"/>
        <v/>
      </c>
      <c r="AP141" s="4" t="str">
        <f t="shared" ca="1" si="41"/>
        <v/>
      </c>
      <c r="AQ141" s="4" t="str">
        <f t="shared" ca="1" si="42"/>
        <v/>
      </c>
      <c r="AR141" s="4" t="str">
        <f t="shared" ca="1" si="42"/>
        <v/>
      </c>
      <c r="AS141" s="4" t="str">
        <f t="shared" ca="1" si="42"/>
        <v/>
      </c>
      <c r="AT141" s="4" t="str">
        <f t="shared" ca="1" si="42"/>
        <v/>
      </c>
      <c r="AU141" s="4" t="str">
        <f t="shared" ca="1" si="42"/>
        <v/>
      </c>
      <c r="AV141" s="4" t="str">
        <f t="shared" ca="1" si="42"/>
        <v/>
      </c>
      <c r="AW141" s="4" t="str">
        <f t="shared" ca="1" si="42"/>
        <v/>
      </c>
      <c r="AX141" s="4" t="str">
        <f t="shared" ca="1" si="42"/>
        <v/>
      </c>
      <c r="AY141" s="4" t="str">
        <f t="shared" ca="1" si="42"/>
        <v/>
      </c>
      <c r="AZ141" s="4" t="str">
        <f t="shared" ca="1" si="42"/>
        <v/>
      </c>
      <c r="BA141" s="4" t="str">
        <f t="shared" si="37"/>
        <v/>
      </c>
    </row>
    <row r="142" spans="1:53">
      <c r="A142">
        <v>78</v>
      </c>
      <c r="C142" s="4" t="str">
        <f t="shared" ca="1" si="38"/>
        <v/>
      </c>
      <c r="D142" s="4" t="str">
        <f t="shared" ca="1" si="38"/>
        <v/>
      </c>
      <c r="E142" s="4" t="str">
        <f t="shared" ca="1" si="38"/>
        <v/>
      </c>
      <c r="F142" s="4" t="str">
        <f t="shared" ca="1" si="38"/>
        <v/>
      </c>
      <c r="G142" s="4" t="str">
        <f t="shared" ca="1" si="38"/>
        <v/>
      </c>
      <c r="H142" s="4" t="str">
        <f t="shared" ca="1" si="38"/>
        <v/>
      </c>
      <c r="I142" s="4" t="str">
        <f t="shared" ca="1" si="38"/>
        <v/>
      </c>
      <c r="J142" s="4" t="str">
        <f t="shared" ca="1" si="38"/>
        <v/>
      </c>
      <c r="K142" s="4" t="str">
        <f t="shared" ca="1" si="38"/>
        <v/>
      </c>
      <c r="L142" s="4" t="str">
        <f t="shared" ca="1" si="38"/>
        <v/>
      </c>
      <c r="M142" s="4" t="str">
        <f t="shared" ca="1" si="39"/>
        <v/>
      </c>
      <c r="N142" s="4" t="str">
        <f t="shared" ca="1" si="39"/>
        <v/>
      </c>
      <c r="O142" s="4" t="str">
        <f t="shared" ca="1" si="39"/>
        <v/>
      </c>
      <c r="P142" s="4" t="str">
        <f t="shared" ca="1" si="39"/>
        <v/>
      </c>
      <c r="Q142" s="4" t="str">
        <f t="shared" ca="1" si="39"/>
        <v/>
      </c>
      <c r="R142" s="4" t="str">
        <f t="shared" ca="1" si="39"/>
        <v/>
      </c>
      <c r="S142" s="4" t="str">
        <f t="shared" ca="1" si="39"/>
        <v/>
      </c>
      <c r="T142" s="4" t="str">
        <f t="shared" ca="1" si="39"/>
        <v/>
      </c>
      <c r="U142" s="4" t="str">
        <f t="shared" ca="1" si="39"/>
        <v/>
      </c>
      <c r="V142" s="4" t="str">
        <f t="shared" ca="1" si="39"/>
        <v/>
      </c>
      <c r="W142" s="4" t="str">
        <f t="shared" ca="1" si="40"/>
        <v/>
      </c>
      <c r="X142" s="4" t="str">
        <f t="shared" ca="1" si="40"/>
        <v/>
      </c>
      <c r="Y142" s="4" t="str">
        <f t="shared" ca="1" si="40"/>
        <v/>
      </c>
      <c r="Z142" s="4" t="str">
        <f t="shared" ca="1" si="40"/>
        <v/>
      </c>
      <c r="AA142" s="4" t="str">
        <f t="shared" ca="1" si="40"/>
        <v/>
      </c>
      <c r="AB142" s="4" t="str">
        <f t="shared" ca="1" si="40"/>
        <v/>
      </c>
      <c r="AC142" s="4" t="str">
        <f t="shared" ca="1" si="40"/>
        <v/>
      </c>
      <c r="AD142" s="4" t="str">
        <f t="shared" ca="1" si="40"/>
        <v/>
      </c>
      <c r="AE142" s="4" t="str">
        <f t="shared" ca="1" si="40"/>
        <v/>
      </c>
      <c r="AF142" s="4" t="str">
        <f t="shared" ca="1" si="40"/>
        <v/>
      </c>
      <c r="AG142" s="4" t="str">
        <f t="shared" ca="1" si="41"/>
        <v/>
      </c>
      <c r="AH142" s="4" t="str">
        <f t="shared" ca="1" si="41"/>
        <v/>
      </c>
      <c r="AI142" s="4" t="str">
        <f t="shared" ca="1" si="41"/>
        <v/>
      </c>
      <c r="AJ142" s="4" t="str">
        <f t="shared" ca="1" si="41"/>
        <v/>
      </c>
      <c r="AK142" s="4" t="str">
        <f t="shared" ca="1" si="41"/>
        <v/>
      </c>
      <c r="AL142" s="4" t="str">
        <f t="shared" ca="1" si="41"/>
        <v/>
      </c>
      <c r="AM142" s="4" t="str">
        <f t="shared" ca="1" si="41"/>
        <v/>
      </c>
      <c r="AN142" s="4" t="str">
        <f t="shared" ca="1" si="41"/>
        <v/>
      </c>
      <c r="AO142" s="4" t="str">
        <f t="shared" ca="1" si="41"/>
        <v/>
      </c>
      <c r="AP142" s="4" t="str">
        <f t="shared" ca="1" si="41"/>
        <v/>
      </c>
      <c r="AQ142" s="4" t="str">
        <f t="shared" ca="1" si="42"/>
        <v/>
      </c>
      <c r="AR142" s="4" t="str">
        <f t="shared" ca="1" si="42"/>
        <v/>
      </c>
      <c r="AS142" s="4" t="str">
        <f t="shared" ca="1" si="42"/>
        <v/>
      </c>
      <c r="AT142" s="4" t="str">
        <f t="shared" ca="1" si="42"/>
        <v/>
      </c>
      <c r="AU142" s="4" t="str">
        <f t="shared" ca="1" si="42"/>
        <v/>
      </c>
      <c r="AV142" s="4" t="str">
        <f t="shared" ca="1" si="42"/>
        <v/>
      </c>
      <c r="AW142" s="4" t="str">
        <f t="shared" ca="1" si="42"/>
        <v/>
      </c>
      <c r="AX142" s="4" t="str">
        <f t="shared" ca="1" si="42"/>
        <v/>
      </c>
      <c r="AY142" s="4" t="str">
        <f t="shared" ca="1" si="42"/>
        <v/>
      </c>
      <c r="AZ142" s="4" t="str">
        <f t="shared" ca="1" si="42"/>
        <v/>
      </c>
      <c r="BA142" s="4" t="str">
        <f t="shared" si="37"/>
        <v/>
      </c>
    </row>
    <row r="143" spans="1:53">
      <c r="A143">
        <v>79</v>
      </c>
      <c r="C143" s="4" t="str">
        <f t="shared" ca="1" si="38"/>
        <v/>
      </c>
      <c r="D143" s="4" t="str">
        <f t="shared" ca="1" si="38"/>
        <v/>
      </c>
      <c r="E143" s="4" t="str">
        <f t="shared" ca="1" si="38"/>
        <v/>
      </c>
      <c r="F143" s="4" t="str">
        <f t="shared" ca="1" si="38"/>
        <v/>
      </c>
      <c r="G143" s="4" t="str">
        <f t="shared" ca="1" si="38"/>
        <v/>
      </c>
      <c r="H143" s="4" t="str">
        <f t="shared" ca="1" si="38"/>
        <v/>
      </c>
      <c r="I143" s="4" t="str">
        <f t="shared" ca="1" si="38"/>
        <v/>
      </c>
      <c r="J143" s="4" t="str">
        <f t="shared" ca="1" si="38"/>
        <v/>
      </c>
      <c r="K143" s="4" t="str">
        <f t="shared" ca="1" si="38"/>
        <v/>
      </c>
      <c r="L143" s="4" t="str">
        <f t="shared" ca="1" si="38"/>
        <v/>
      </c>
      <c r="M143" s="4" t="str">
        <f t="shared" ca="1" si="39"/>
        <v/>
      </c>
      <c r="N143" s="4" t="str">
        <f t="shared" ca="1" si="39"/>
        <v/>
      </c>
      <c r="O143" s="4" t="str">
        <f t="shared" ca="1" si="39"/>
        <v/>
      </c>
      <c r="P143" s="4" t="str">
        <f t="shared" ca="1" si="39"/>
        <v/>
      </c>
      <c r="Q143" s="4" t="str">
        <f t="shared" ca="1" si="39"/>
        <v/>
      </c>
      <c r="R143" s="4" t="str">
        <f t="shared" ca="1" si="39"/>
        <v/>
      </c>
      <c r="S143" s="4" t="str">
        <f t="shared" ca="1" si="39"/>
        <v/>
      </c>
      <c r="T143" s="4" t="str">
        <f t="shared" ca="1" si="39"/>
        <v/>
      </c>
      <c r="U143" s="4" t="str">
        <f t="shared" ca="1" si="39"/>
        <v/>
      </c>
      <c r="V143" s="4" t="str">
        <f t="shared" ca="1" si="39"/>
        <v/>
      </c>
      <c r="W143" s="4" t="str">
        <f t="shared" ca="1" si="40"/>
        <v/>
      </c>
      <c r="X143" s="4" t="str">
        <f t="shared" ca="1" si="40"/>
        <v/>
      </c>
      <c r="Y143" s="4" t="str">
        <f t="shared" ca="1" si="40"/>
        <v/>
      </c>
      <c r="Z143" s="4" t="str">
        <f t="shared" ca="1" si="40"/>
        <v/>
      </c>
      <c r="AA143" s="4" t="str">
        <f t="shared" ca="1" si="40"/>
        <v/>
      </c>
      <c r="AB143" s="4" t="str">
        <f t="shared" ca="1" si="40"/>
        <v/>
      </c>
      <c r="AC143" s="4" t="str">
        <f t="shared" ca="1" si="40"/>
        <v/>
      </c>
      <c r="AD143" s="4" t="str">
        <f t="shared" ca="1" si="40"/>
        <v/>
      </c>
      <c r="AE143" s="4" t="str">
        <f t="shared" ca="1" si="40"/>
        <v/>
      </c>
      <c r="AF143" s="4" t="str">
        <f t="shared" ca="1" si="40"/>
        <v/>
      </c>
      <c r="AG143" s="4" t="str">
        <f t="shared" ca="1" si="41"/>
        <v/>
      </c>
      <c r="AH143" s="4" t="str">
        <f t="shared" ca="1" si="41"/>
        <v/>
      </c>
      <c r="AI143" s="4" t="str">
        <f t="shared" ca="1" si="41"/>
        <v/>
      </c>
      <c r="AJ143" s="4" t="str">
        <f t="shared" ca="1" si="41"/>
        <v/>
      </c>
      <c r="AK143" s="4" t="str">
        <f t="shared" ca="1" si="41"/>
        <v/>
      </c>
      <c r="AL143" s="4" t="str">
        <f t="shared" ca="1" si="41"/>
        <v/>
      </c>
      <c r="AM143" s="4" t="str">
        <f t="shared" ca="1" si="41"/>
        <v/>
      </c>
      <c r="AN143" s="4" t="str">
        <f t="shared" ca="1" si="41"/>
        <v/>
      </c>
      <c r="AO143" s="4" t="str">
        <f t="shared" ca="1" si="41"/>
        <v/>
      </c>
      <c r="AP143" s="4" t="str">
        <f t="shared" ca="1" si="41"/>
        <v/>
      </c>
      <c r="AQ143" s="4" t="str">
        <f t="shared" ca="1" si="42"/>
        <v/>
      </c>
      <c r="AR143" s="4" t="str">
        <f t="shared" ca="1" si="42"/>
        <v/>
      </c>
      <c r="AS143" s="4" t="str">
        <f t="shared" ca="1" si="42"/>
        <v/>
      </c>
      <c r="AT143" s="4" t="str">
        <f t="shared" ca="1" si="42"/>
        <v/>
      </c>
      <c r="AU143" s="4" t="str">
        <f t="shared" ca="1" si="42"/>
        <v/>
      </c>
      <c r="AV143" s="4" t="str">
        <f t="shared" ca="1" si="42"/>
        <v/>
      </c>
      <c r="AW143" s="4" t="str">
        <f t="shared" ca="1" si="42"/>
        <v/>
      </c>
      <c r="AX143" s="4" t="str">
        <f t="shared" ca="1" si="42"/>
        <v/>
      </c>
      <c r="AY143" s="4" t="str">
        <f t="shared" ca="1" si="42"/>
        <v/>
      </c>
      <c r="AZ143" s="4" t="str">
        <f t="shared" ca="1" si="42"/>
        <v/>
      </c>
      <c r="BA143" s="4" t="str">
        <f t="shared" si="37"/>
        <v/>
      </c>
    </row>
    <row r="144" spans="1:53">
      <c r="A144">
        <v>80</v>
      </c>
      <c r="C144" s="4" t="str">
        <f t="shared" ca="1" si="38"/>
        <v/>
      </c>
      <c r="D144" s="4" t="str">
        <f t="shared" ca="1" si="38"/>
        <v/>
      </c>
      <c r="E144" s="4" t="str">
        <f t="shared" ca="1" si="38"/>
        <v/>
      </c>
      <c r="F144" s="4" t="str">
        <f t="shared" ca="1" si="38"/>
        <v/>
      </c>
      <c r="G144" s="4" t="str">
        <f t="shared" ca="1" si="38"/>
        <v/>
      </c>
      <c r="H144" s="4" t="str">
        <f t="shared" ca="1" si="38"/>
        <v/>
      </c>
      <c r="I144" s="4" t="str">
        <f t="shared" ca="1" si="38"/>
        <v/>
      </c>
      <c r="J144" s="4" t="str">
        <f t="shared" ca="1" si="38"/>
        <v/>
      </c>
      <c r="K144" s="4" t="str">
        <f t="shared" ca="1" si="38"/>
        <v/>
      </c>
      <c r="L144" s="4" t="str">
        <f t="shared" ca="1" si="38"/>
        <v/>
      </c>
      <c r="M144" s="4" t="str">
        <f t="shared" ca="1" si="39"/>
        <v/>
      </c>
      <c r="N144" s="4" t="str">
        <f t="shared" ca="1" si="39"/>
        <v/>
      </c>
      <c r="O144" s="4" t="str">
        <f t="shared" ca="1" si="39"/>
        <v/>
      </c>
      <c r="P144" s="4" t="str">
        <f t="shared" ca="1" si="39"/>
        <v/>
      </c>
      <c r="Q144" s="4" t="str">
        <f t="shared" ca="1" si="39"/>
        <v/>
      </c>
      <c r="R144" s="4" t="str">
        <f t="shared" ca="1" si="39"/>
        <v/>
      </c>
      <c r="S144" s="4" t="str">
        <f t="shared" ca="1" si="39"/>
        <v/>
      </c>
      <c r="T144" s="4" t="str">
        <f t="shared" ca="1" si="39"/>
        <v/>
      </c>
      <c r="U144" s="4" t="str">
        <f t="shared" ca="1" si="39"/>
        <v/>
      </c>
      <c r="V144" s="4" t="str">
        <f t="shared" ca="1" si="39"/>
        <v/>
      </c>
      <c r="W144" s="4" t="str">
        <f t="shared" ca="1" si="40"/>
        <v/>
      </c>
      <c r="X144" s="4" t="str">
        <f t="shared" ca="1" si="40"/>
        <v/>
      </c>
      <c r="Y144" s="4" t="str">
        <f t="shared" ca="1" si="40"/>
        <v/>
      </c>
      <c r="Z144" s="4" t="str">
        <f t="shared" ca="1" si="40"/>
        <v/>
      </c>
      <c r="AA144" s="4" t="str">
        <f t="shared" ca="1" si="40"/>
        <v/>
      </c>
      <c r="AB144" s="4" t="str">
        <f t="shared" ca="1" si="40"/>
        <v/>
      </c>
      <c r="AC144" s="4" t="str">
        <f t="shared" ca="1" si="40"/>
        <v/>
      </c>
      <c r="AD144" s="4" t="str">
        <f t="shared" ca="1" si="40"/>
        <v/>
      </c>
      <c r="AE144" s="4" t="str">
        <f t="shared" ca="1" si="40"/>
        <v/>
      </c>
      <c r="AF144" s="4" t="str">
        <f t="shared" ca="1" si="40"/>
        <v/>
      </c>
      <c r="AG144" s="4" t="str">
        <f t="shared" ca="1" si="41"/>
        <v/>
      </c>
      <c r="AH144" s="4" t="str">
        <f t="shared" ca="1" si="41"/>
        <v/>
      </c>
      <c r="AI144" s="4" t="str">
        <f t="shared" ca="1" si="41"/>
        <v/>
      </c>
      <c r="AJ144" s="4" t="str">
        <f t="shared" ca="1" si="41"/>
        <v/>
      </c>
      <c r="AK144" s="4" t="str">
        <f t="shared" ca="1" si="41"/>
        <v/>
      </c>
      <c r="AL144" s="4" t="str">
        <f t="shared" ca="1" si="41"/>
        <v/>
      </c>
      <c r="AM144" s="4" t="str">
        <f t="shared" ca="1" si="41"/>
        <v/>
      </c>
      <c r="AN144" s="4" t="str">
        <f t="shared" ca="1" si="41"/>
        <v/>
      </c>
      <c r="AO144" s="4" t="str">
        <f t="shared" ca="1" si="41"/>
        <v/>
      </c>
      <c r="AP144" s="4" t="str">
        <f t="shared" ca="1" si="41"/>
        <v/>
      </c>
      <c r="AQ144" s="4" t="str">
        <f t="shared" ca="1" si="42"/>
        <v/>
      </c>
      <c r="AR144" s="4" t="str">
        <f t="shared" ca="1" si="42"/>
        <v/>
      </c>
      <c r="AS144" s="4" t="str">
        <f t="shared" ca="1" si="42"/>
        <v/>
      </c>
      <c r="AT144" s="4" t="str">
        <f t="shared" ca="1" si="42"/>
        <v/>
      </c>
      <c r="AU144" s="4" t="str">
        <f t="shared" ca="1" si="42"/>
        <v/>
      </c>
      <c r="AV144" s="4" t="str">
        <f t="shared" ca="1" si="42"/>
        <v/>
      </c>
      <c r="AW144" s="4" t="str">
        <f t="shared" ca="1" si="42"/>
        <v/>
      </c>
      <c r="AX144" s="4" t="str">
        <f t="shared" ca="1" si="42"/>
        <v/>
      </c>
      <c r="AY144" s="4" t="str">
        <f t="shared" ca="1" si="42"/>
        <v/>
      </c>
      <c r="AZ144" s="4" t="str">
        <f t="shared" ca="1" si="42"/>
        <v/>
      </c>
      <c r="BA144" s="4" t="str">
        <f t="shared" si="37"/>
        <v/>
      </c>
    </row>
    <row r="145" spans="1:53">
      <c r="A145">
        <v>81</v>
      </c>
      <c r="C145" s="4" t="str">
        <f t="shared" ref="C145:L154" ca="1" si="43">IF(COLUMN()-2&lt;=$E$3,INDEX($B$10:$B$59,RANDBETWEEN(1,$E$3)),"")</f>
        <v/>
      </c>
      <c r="D145" s="4" t="str">
        <f t="shared" ca="1" si="43"/>
        <v/>
      </c>
      <c r="E145" s="4" t="str">
        <f t="shared" ca="1" si="43"/>
        <v/>
      </c>
      <c r="F145" s="4" t="str">
        <f t="shared" ca="1" si="43"/>
        <v/>
      </c>
      <c r="G145" s="4" t="str">
        <f t="shared" ca="1" si="43"/>
        <v/>
      </c>
      <c r="H145" s="4" t="str">
        <f t="shared" ca="1" si="43"/>
        <v/>
      </c>
      <c r="I145" s="4" t="str">
        <f t="shared" ca="1" si="43"/>
        <v/>
      </c>
      <c r="J145" s="4" t="str">
        <f t="shared" ca="1" si="43"/>
        <v/>
      </c>
      <c r="K145" s="4" t="str">
        <f t="shared" ca="1" si="43"/>
        <v/>
      </c>
      <c r="L145" s="4" t="str">
        <f t="shared" ca="1" si="43"/>
        <v/>
      </c>
      <c r="M145" s="4" t="str">
        <f t="shared" ref="M145:V154" ca="1" si="44">IF(COLUMN()-2&lt;=$E$3,INDEX($B$10:$B$59,RANDBETWEEN(1,$E$3)),"")</f>
        <v/>
      </c>
      <c r="N145" s="4" t="str">
        <f t="shared" ca="1" si="44"/>
        <v/>
      </c>
      <c r="O145" s="4" t="str">
        <f t="shared" ca="1" si="44"/>
        <v/>
      </c>
      <c r="P145" s="4" t="str">
        <f t="shared" ca="1" si="44"/>
        <v/>
      </c>
      <c r="Q145" s="4" t="str">
        <f t="shared" ca="1" si="44"/>
        <v/>
      </c>
      <c r="R145" s="4" t="str">
        <f t="shared" ca="1" si="44"/>
        <v/>
      </c>
      <c r="S145" s="4" t="str">
        <f t="shared" ca="1" si="44"/>
        <v/>
      </c>
      <c r="T145" s="4" t="str">
        <f t="shared" ca="1" si="44"/>
        <v/>
      </c>
      <c r="U145" s="4" t="str">
        <f t="shared" ca="1" si="44"/>
        <v/>
      </c>
      <c r="V145" s="4" t="str">
        <f t="shared" ca="1" si="44"/>
        <v/>
      </c>
      <c r="W145" s="4" t="str">
        <f t="shared" ref="W145:AF154" ca="1" si="45">IF(COLUMN()-2&lt;=$E$3,INDEX($B$10:$B$59,RANDBETWEEN(1,$E$3)),"")</f>
        <v/>
      </c>
      <c r="X145" s="4" t="str">
        <f t="shared" ca="1" si="45"/>
        <v/>
      </c>
      <c r="Y145" s="4" t="str">
        <f t="shared" ca="1" si="45"/>
        <v/>
      </c>
      <c r="Z145" s="4" t="str">
        <f t="shared" ca="1" si="45"/>
        <v/>
      </c>
      <c r="AA145" s="4" t="str">
        <f t="shared" ca="1" si="45"/>
        <v/>
      </c>
      <c r="AB145" s="4" t="str">
        <f t="shared" ca="1" si="45"/>
        <v/>
      </c>
      <c r="AC145" s="4" t="str">
        <f t="shared" ca="1" si="45"/>
        <v/>
      </c>
      <c r="AD145" s="4" t="str">
        <f t="shared" ca="1" si="45"/>
        <v/>
      </c>
      <c r="AE145" s="4" t="str">
        <f t="shared" ca="1" si="45"/>
        <v/>
      </c>
      <c r="AF145" s="4" t="str">
        <f t="shared" ca="1" si="45"/>
        <v/>
      </c>
      <c r="AG145" s="4" t="str">
        <f t="shared" ref="AG145:AP154" ca="1" si="46">IF(COLUMN()-2&lt;=$E$3,INDEX($B$10:$B$59,RANDBETWEEN(1,$E$3)),"")</f>
        <v/>
      </c>
      <c r="AH145" s="4" t="str">
        <f t="shared" ca="1" si="46"/>
        <v/>
      </c>
      <c r="AI145" s="4" t="str">
        <f t="shared" ca="1" si="46"/>
        <v/>
      </c>
      <c r="AJ145" s="4" t="str">
        <f t="shared" ca="1" si="46"/>
        <v/>
      </c>
      <c r="AK145" s="4" t="str">
        <f t="shared" ca="1" si="46"/>
        <v/>
      </c>
      <c r="AL145" s="4" t="str">
        <f t="shared" ca="1" si="46"/>
        <v/>
      </c>
      <c r="AM145" s="4" t="str">
        <f t="shared" ca="1" si="46"/>
        <v/>
      </c>
      <c r="AN145" s="4" t="str">
        <f t="shared" ca="1" si="46"/>
        <v/>
      </c>
      <c r="AO145" s="4" t="str">
        <f t="shared" ca="1" si="46"/>
        <v/>
      </c>
      <c r="AP145" s="4" t="str">
        <f t="shared" ca="1" si="46"/>
        <v/>
      </c>
      <c r="AQ145" s="4" t="str">
        <f t="shared" ref="AQ145:AZ154" ca="1" si="47">IF(COLUMN()-2&lt;=$E$3,INDEX($B$10:$B$59,RANDBETWEEN(1,$E$3)),"")</f>
        <v/>
      </c>
      <c r="AR145" s="4" t="str">
        <f t="shared" ca="1" si="47"/>
        <v/>
      </c>
      <c r="AS145" s="4" t="str">
        <f t="shared" ca="1" si="47"/>
        <v/>
      </c>
      <c r="AT145" s="4" t="str">
        <f t="shared" ca="1" si="47"/>
        <v/>
      </c>
      <c r="AU145" s="4" t="str">
        <f t="shared" ca="1" si="47"/>
        <v/>
      </c>
      <c r="AV145" s="4" t="str">
        <f t="shared" ca="1" si="47"/>
        <v/>
      </c>
      <c r="AW145" s="4" t="str">
        <f t="shared" ca="1" si="47"/>
        <v/>
      </c>
      <c r="AX145" s="4" t="str">
        <f t="shared" ca="1" si="47"/>
        <v/>
      </c>
      <c r="AY145" s="4" t="str">
        <f t="shared" ca="1" si="47"/>
        <v/>
      </c>
      <c r="AZ145" s="4" t="str">
        <f t="shared" ca="1" si="47"/>
        <v/>
      </c>
      <c r="BA145" s="4" t="str">
        <f t="shared" si="37"/>
        <v/>
      </c>
    </row>
    <row r="146" spans="1:53">
      <c r="A146">
        <v>82</v>
      </c>
      <c r="C146" s="4" t="str">
        <f t="shared" ca="1" si="43"/>
        <v/>
      </c>
      <c r="D146" s="4" t="str">
        <f t="shared" ca="1" si="43"/>
        <v/>
      </c>
      <c r="E146" s="4" t="str">
        <f t="shared" ca="1" si="43"/>
        <v/>
      </c>
      <c r="F146" s="4" t="str">
        <f t="shared" ca="1" si="43"/>
        <v/>
      </c>
      <c r="G146" s="4" t="str">
        <f t="shared" ca="1" si="43"/>
        <v/>
      </c>
      <c r="H146" s="4" t="str">
        <f t="shared" ca="1" si="43"/>
        <v/>
      </c>
      <c r="I146" s="4" t="str">
        <f t="shared" ca="1" si="43"/>
        <v/>
      </c>
      <c r="J146" s="4" t="str">
        <f t="shared" ca="1" si="43"/>
        <v/>
      </c>
      <c r="K146" s="4" t="str">
        <f t="shared" ca="1" si="43"/>
        <v/>
      </c>
      <c r="L146" s="4" t="str">
        <f t="shared" ca="1" si="43"/>
        <v/>
      </c>
      <c r="M146" s="4" t="str">
        <f t="shared" ca="1" si="44"/>
        <v/>
      </c>
      <c r="N146" s="4" t="str">
        <f t="shared" ca="1" si="44"/>
        <v/>
      </c>
      <c r="O146" s="4" t="str">
        <f t="shared" ca="1" si="44"/>
        <v/>
      </c>
      <c r="P146" s="4" t="str">
        <f t="shared" ca="1" si="44"/>
        <v/>
      </c>
      <c r="Q146" s="4" t="str">
        <f t="shared" ca="1" si="44"/>
        <v/>
      </c>
      <c r="R146" s="4" t="str">
        <f t="shared" ca="1" si="44"/>
        <v/>
      </c>
      <c r="S146" s="4" t="str">
        <f t="shared" ca="1" si="44"/>
        <v/>
      </c>
      <c r="T146" s="4" t="str">
        <f t="shared" ca="1" si="44"/>
        <v/>
      </c>
      <c r="U146" s="4" t="str">
        <f t="shared" ca="1" si="44"/>
        <v/>
      </c>
      <c r="V146" s="4" t="str">
        <f t="shared" ca="1" si="44"/>
        <v/>
      </c>
      <c r="W146" s="4" t="str">
        <f t="shared" ca="1" si="45"/>
        <v/>
      </c>
      <c r="X146" s="4" t="str">
        <f t="shared" ca="1" si="45"/>
        <v/>
      </c>
      <c r="Y146" s="4" t="str">
        <f t="shared" ca="1" si="45"/>
        <v/>
      </c>
      <c r="Z146" s="4" t="str">
        <f t="shared" ca="1" si="45"/>
        <v/>
      </c>
      <c r="AA146" s="4" t="str">
        <f t="shared" ca="1" si="45"/>
        <v/>
      </c>
      <c r="AB146" s="4" t="str">
        <f t="shared" ca="1" si="45"/>
        <v/>
      </c>
      <c r="AC146" s="4" t="str">
        <f t="shared" ca="1" si="45"/>
        <v/>
      </c>
      <c r="AD146" s="4" t="str">
        <f t="shared" ca="1" si="45"/>
        <v/>
      </c>
      <c r="AE146" s="4" t="str">
        <f t="shared" ca="1" si="45"/>
        <v/>
      </c>
      <c r="AF146" s="4" t="str">
        <f t="shared" ca="1" si="45"/>
        <v/>
      </c>
      <c r="AG146" s="4" t="str">
        <f t="shared" ca="1" si="46"/>
        <v/>
      </c>
      <c r="AH146" s="4" t="str">
        <f t="shared" ca="1" si="46"/>
        <v/>
      </c>
      <c r="AI146" s="4" t="str">
        <f t="shared" ca="1" si="46"/>
        <v/>
      </c>
      <c r="AJ146" s="4" t="str">
        <f t="shared" ca="1" si="46"/>
        <v/>
      </c>
      <c r="AK146" s="4" t="str">
        <f t="shared" ca="1" si="46"/>
        <v/>
      </c>
      <c r="AL146" s="4" t="str">
        <f t="shared" ca="1" si="46"/>
        <v/>
      </c>
      <c r="AM146" s="4" t="str">
        <f t="shared" ca="1" si="46"/>
        <v/>
      </c>
      <c r="AN146" s="4" t="str">
        <f t="shared" ca="1" si="46"/>
        <v/>
      </c>
      <c r="AO146" s="4" t="str">
        <f t="shared" ca="1" si="46"/>
        <v/>
      </c>
      <c r="AP146" s="4" t="str">
        <f t="shared" ca="1" si="46"/>
        <v/>
      </c>
      <c r="AQ146" s="4" t="str">
        <f t="shared" ca="1" si="47"/>
        <v/>
      </c>
      <c r="AR146" s="4" t="str">
        <f t="shared" ca="1" si="47"/>
        <v/>
      </c>
      <c r="AS146" s="4" t="str">
        <f t="shared" ca="1" si="47"/>
        <v/>
      </c>
      <c r="AT146" s="4" t="str">
        <f t="shared" ca="1" si="47"/>
        <v/>
      </c>
      <c r="AU146" s="4" t="str">
        <f t="shared" ca="1" si="47"/>
        <v/>
      </c>
      <c r="AV146" s="4" t="str">
        <f t="shared" ca="1" si="47"/>
        <v/>
      </c>
      <c r="AW146" s="4" t="str">
        <f t="shared" ca="1" si="47"/>
        <v/>
      </c>
      <c r="AX146" s="4" t="str">
        <f t="shared" ca="1" si="47"/>
        <v/>
      </c>
      <c r="AY146" s="4" t="str">
        <f t="shared" ca="1" si="47"/>
        <v/>
      </c>
      <c r="AZ146" s="4" t="str">
        <f t="shared" ca="1" si="47"/>
        <v/>
      </c>
      <c r="BA146" s="4" t="str">
        <f t="shared" si="37"/>
        <v/>
      </c>
    </row>
    <row r="147" spans="1:53">
      <c r="A147">
        <v>83</v>
      </c>
      <c r="C147" s="4" t="str">
        <f t="shared" ca="1" si="43"/>
        <v/>
      </c>
      <c r="D147" s="4" t="str">
        <f t="shared" ca="1" si="43"/>
        <v/>
      </c>
      <c r="E147" s="4" t="str">
        <f t="shared" ca="1" si="43"/>
        <v/>
      </c>
      <c r="F147" s="4" t="str">
        <f t="shared" ca="1" si="43"/>
        <v/>
      </c>
      <c r="G147" s="4" t="str">
        <f t="shared" ca="1" si="43"/>
        <v/>
      </c>
      <c r="H147" s="4" t="str">
        <f t="shared" ca="1" si="43"/>
        <v/>
      </c>
      <c r="I147" s="4" t="str">
        <f t="shared" ca="1" si="43"/>
        <v/>
      </c>
      <c r="J147" s="4" t="str">
        <f t="shared" ca="1" si="43"/>
        <v/>
      </c>
      <c r="K147" s="4" t="str">
        <f t="shared" ca="1" si="43"/>
        <v/>
      </c>
      <c r="L147" s="4" t="str">
        <f t="shared" ca="1" si="43"/>
        <v/>
      </c>
      <c r="M147" s="4" t="str">
        <f t="shared" ca="1" si="44"/>
        <v/>
      </c>
      <c r="N147" s="4" t="str">
        <f t="shared" ca="1" si="44"/>
        <v/>
      </c>
      <c r="O147" s="4" t="str">
        <f t="shared" ca="1" si="44"/>
        <v/>
      </c>
      <c r="P147" s="4" t="str">
        <f t="shared" ca="1" si="44"/>
        <v/>
      </c>
      <c r="Q147" s="4" t="str">
        <f t="shared" ca="1" si="44"/>
        <v/>
      </c>
      <c r="R147" s="4" t="str">
        <f t="shared" ca="1" si="44"/>
        <v/>
      </c>
      <c r="S147" s="4" t="str">
        <f t="shared" ca="1" si="44"/>
        <v/>
      </c>
      <c r="T147" s="4" t="str">
        <f t="shared" ca="1" si="44"/>
        <v/>
      </c>
      <c r="U147" s="4" t="str">
        <f t="shared" ca="1" si="44"/>
        <v/>
      </c>
      <c r="V147" s="4" t="str">
        <f t="shared" ca="1" si="44"/>
        <v/>
      </c>
      <c r="W147" s="4" t="str">
        <f t="shared" ca="1" si="45"/>
        <v/>
      </c>
      <c r="X147" s="4" t="str">
        <f t="shared" ca="1" si="45"/>
        <v/>
      </c>
      <c r="Y147" s="4" t="str">
        <f t="shared" ca="1" si="45"/>
        <v/>
      </c>
      <c r="Z147" s="4" t="str">
        <f t="shared" ca="1" si="45"/>
        <v/>
      </c>
      <c r="AA147" s="4" t="str">
        <f t="shared" ca="1" si="45"/>
        <v/>
      </c>
      <c r="AB147" s="4" t="str">
        <f t="shared" ca="1" si="45"/>
        <v/>
      </c>
      <c r="AC147" s="4" t="str">
        <f t="shared" ca="1" si="45"/>
        <v/>
      </c>
      <c r="AD147" s="4" t="str">
        <f t="shared" ca="1" si="45"/>
        <v/>
      </c>
      <c r="AE147" s="4" t="str">
        <f t="shared" ca="1" si="45"/>
        <v/>
      </c>
      <c r="AF147" s="4" t="str">
        <f t="shared" ca="1" si="45"/>
        <v/>
      </c>
      <c r="AG147" s="4" t="str">
        <f t="shared" ca="1" si="46"/>
        <v/>
      </c>
      <c r="AH147" s="4" t="str">
        <f t="shared" ca="1" si="46"/>
        <v/>
      </c>
      <c r="AI147" s="4" t="str">
        <f t="shared" ca="1" si="46"/>
        <v/>
      </c>
      <c r="AJ147" s="4" t="str">
        <f t="shared" ca="1" si="46"/>
        <v/>
      </c>
      <c r="AK147" s="4" t="str">
        <f t="shared" ca="1" si="46"/>
        <v/>
      </c>
      <c r="AL147" s="4" t="str">
        <f t="shared" ca="1" si="46"/>
        <v/>
      </c>
      <c r="AM147" s="4" t="str">
        <f t="shared" ca="1" si="46"/>
        <v/>
      </c>
      <c r="AN147" s="4" t="str">
        <f t="shared" ca="1" si="46"/>
        <v/>
      </c>
      <c r="AO147" s="4" t="str">
        <f t="shared" ca="1" si="46"/>
        <v/>
      </c>
      <c r="AP147" s="4" t="str">
        <f t="shared" ca="1" si="46"/>
        <v/>
      </c>
      <c r="AQ147" s="4" t="str">
        <f t="shared" ca="1" si="47"/>
        <v/>
      </c>
      <c r="AR147" s="4" t="str">
        <f t="shared" ca="1" si="47"/>
        <v/>
      </c>
      <c r="AS147" s="4" t="str">
        <f t="shared" ca="1" si="47"/>
        <v/>
      </c>
      <c r="AT147" s="4" t="str">
        <f t="shared" ca="1" si="47"/>
        <v/>
      </c>
      <c r="AU147" s="4" t="str">
        <f t="shared" ca="1" si="47"/>
        <v/>
      </c>
      <c r="AV147" s="4" t="str">
        <f t="shared" ca="1" si="47"/>
        <v/>
      </c>
      <c r="AW147" s="4" t="str">
        <f t="shared" ca="1" si="47"/>
        <v/>
      </c>
      <c r="AX147" s="4" t="str">
        <f t="shared" ca="1" si="47"/>
        <v/>
      </c>
      <c r="AY147" s="4" t="str">
        <f t="shared" ca="1" si="47"/>
        <v/>
      </c>
      <c r="AZ147" s="4" t="str">
        <f t="shared" ca="1" si="47"/>
        <v/>
      </c>
      <c r="BA147" s="4" t="str">
        <f t="shared" si="37"/>
        <v/>
      </c>
    </row>
    <row r="148" spans="1:53">
      <c r="A148">
        <v>84</v>
      </c>
      <c r="C148" s="4" t="str">
        <f t="shared" ca="1" si="43"/>
        <v/>
      </c>
      <c r="D148" s="4" t="str">
        <f t="shared" ca="1" si="43"/>
        <v/>
      </c>
      <c r="E148" s="4" t="str">
        <f t="shared" ca="1" si="43"/>
        <v/>
      </c>
      <c r="F148" s="4" t="str">
        <f t="shared" ca="1" si="43"/>
        <v/>
      </c>
      <c r="G148" s="4" t="str">
        <f t="shared" ca="1" si="43"/>
        <v/>
      </c>
      <c r="H148" s="4" t="str">
        <f t="shared" ca="1" si="43"/>
        <v/>
      </c>
      <c r="I148" s="4" t="str">
        <f t="shared" ca="1" si="43"/>
        <v/>
      </c>
      <c r="J148" s="4" t="str">
        <f t="shared" ca="1" si="43"/>
        <v/>
      </c>
      <c r="K148" s="4" t="str">
        <f t="shared" ca="1" si="43"/>
        <v/>
      </c>
      <c r="L148" s="4" t="str">
        <f t="shared" ca="1" si="43"/>
        <v/>
      </c>
      <c r="M148" s="4" t="str">
        <f t="shared" ca="1" si="44"/>
        <v/>
      </c>
      <c r="N148" s="4" t="str">
        <f t="shared" ca="1" si="44"/>
        <v/>
      </c>
      <c r="O148" s="4" t="str">
        <f t="shared" ca="1" si="44"/>
        <v/>
      </c>
      <c r="P148" s="4" t="str">
        <f t="shared" ca="1" si="44"/>
        <v/>
      </c>
      <c r="Q148" s="4" t="str">
        <f t="shared" ca="1" si="44"/>
        <v/>
      </c>
      <c r="R148" s="4" t="str">
        <f t="shared" ca="1" si="44"/>
        <v/>
      </c>
      <c r="S148" s="4" t="str">
        <f t="shared" ca="1" si="44"/>
        <v/>
      </c>
      <c r="T148" s="4" t="str">
        <f t="shared" ca="1" si="44"/>
        <v/>
      </c>
      <c r="U148" s="4" t="str">
        <f t="shared" ca="1" si="44"/>
        <v/>
      </c>
      <c r="V148" s="4" t="str">
        <f t="shared" ca="1" si="44"/>
        <v/>
      </c>
      <c r="W148" s="4" t="str">
        <f t="shared" ca="1" si="45"/>
        <v/>
      </c>
      <c r="X148" s="4" t="str">
        <f t="shared" ca="1" si="45"/>
        <v/>
      </c>
      <c r="Y148" s="4" t="str">
        <f t="shared" ca="1" si="45"/>
        <v/>
      </c>
      <c r="Z148" s="4" t="str">
        <f t="shared" ca="1" si="45"/>
        <v/>
      </c>
      <c r="AA148" s="4" t="str">
        <f t="shared" ca="1" si="45"/>
        <v/>
      </c>
      <c r="AB148" s="4" t="str">
        <f t="shared" ca="1" si="45"/>
        <v/>
      </c>
      <c r="AC148" s="4" t="str">
        <f t="shared" ca="1" si="45"/>
        <v/>
      </c>
      <c r="AD148" s="4" t="str">
        <f t="shared" ca="1" si="45"/>
        <v/>
      </c>
      <c r="AE148" s="4" t="str">
        <f t="shared" ca="1" si="45"/>
        <v/>
      </c>
      <c r="AF148" s="4" t="str">
        <f t="shared" ca="1" si="45"/>
        <v/>
      </c>
      <c r="AG148" s="4" t="str">
        <f t="shared" ca="1" si="46"/>
        <v/>
      </c>
      <c r="AH148" s="4" t="str">
        <f t="shared" ca="1" si="46"/>
        <v/>
      </c>
      <c r="AI148" s="4" t="str">
        <f t="shared" ca="1" si="46"/>
        <v/>
      </c>
      <c r="AJ148" s="4" t="str">
        <f t="shared" ca="1" si="46"/>
        <v/>
      </c>
      <c r="AK148" s="4" t="str">
        <f t="shared" ca="1" si="46"/>
        <v/>
      </c>
      <c r="AL148" s="4" t="str">
        <f t="shared" ca="1" si="46"/>
        <v/>
      </c>
      <c r="AM148" s="4" t="str">
        <f t="shared" ca="1" si="46"/>
        <v/>
      </c>
      <c r="AN148" s="4" t="str">
        <f t="shared" ca="1" si="46"/>
        <v/>
      </c>
      <c r="AO148" s="4" t="str">
        <f t="shared" ca="1" si="46"/>
        <v/>
      </c>
      <c r="AP148" s="4" t="str">
        <f t="shared" ca="1" si="46"/>
        <v/>
      </c>
      <c r="AQ148" s="4" t="str">
        <f t="shared" ca="1" si="47"/>
        <v/>
      </c>
      <c r="AR148" s="4" t="str">
        <f t="shared" ca="1" si="47"/>
        <v/>
      </c>
      <c r="AS148" s="4" t="str">
        <f t="shared" ca="1" si="47"/>
        <v/>
      </c>
      <c r="AT148" s="4" t="str">
        <f t="shared" ca="1" si="47"/>
        <v/>
      </c>
      <c r="AU148" s="4" t="str">
        <f t="shared" ca="1" si="47"/>
        <v/>
      </c>
      <c r="AV148" s="4" t="str">
        <f t="shared" ca="1" si="47"/>
        <v/>
      </c>
      <c r="AW148" s="4" t="str">
        <f t="shared" ca="1" si="47"/>
        <v/>
      </c>
      <c r="AX148" s="4" t="str">
        <f t="shared" ca="1" si="47"/>
        <v/>
      </c>
      <c r="AY148" s="4" t="str">
        <f t="shared" ca="1" si="47"/>
        <v/>
      </c>
      <c r="AZ148" s="4" t="str">
        <f t="shared" ca="1" si="47"/>
        <v/>
      </c>
      <c r="BA148" s="4" t="str">
        <f t="shared" si="37"/>
        <v/>
      </c>
    </row>
    <row r="149" spans="1:53">
      <c r="A149">
        <v>85</v>
      </c>
      <c r="C149" s="4" t="str">
        <f t="shared" ca="1" si="43"/>
        <v/>
      </c>
      <c r="D149" s="4" t="str">
        <f t="shared" ca="1" si="43"/>
        <v/>
      </c>
      <c r="E149" s="4" t="str">
        <f t="shared" ca="1" si="43"/>
        <v/>
      </c>
      <c r="F149" s="4" t="str">
        <f t="shared" ca="1" si="43"/>
        <v/>
      </c>
      <c r="G149" s="4" t="str">
        <f t="shared" ca="1" si="43"/>
        <v/>
      </c>
      <c r="H149" s="4" t="str">
        <f t="shared" ca="1" si="43"/>
        <v/>
      </c>
      <c r="I149" s="4" t="str">
        <f t="shared" ca="1" si="43"/>
        <v/>
      </c>
      <c r="J149" s="4" t="str">
        <f t="shared" ca="1" si="43"/>
        <v/>
      </c>
      <c r="K149" s="4" t="str">
        <f t="shared" ca="1" si="43"/>
        <v/>
      </c>
      <c r="L149" s="4" t="str">
        <f t="shared" ca="1" si="43"/>
        <v/>
      </c>
      <c r="M149" s="4" t="str">
        <f t="shared" ca="1" si="44"/>
        <v/>
      </c>
      <c r="N149" s="4" t="str">
        <f t="shared" ca="1" si="44"/>
        <v/>
      </c>
      <c r="O149" s="4" t="str">
        <f t="shared" ca="1" si="44"/>
        <v/>
      </c>
      <c r="P149" s="4" t="str">
        <f t="shared" ca="1" si="44"/>
        <v/>
      </c>
      <c r="Q149" s="4" t="str">
        <f t="shared" ca="1" si="44"/>
        <v/>
      </c>
      <c r="R149" s="4" t="str">
        <f t="shared" ca="1" si="44"/>
        <v/>
      </c>
      <c r="S149" s="4" t="str">
        <f t="shared" ca="1" si="44"/>
        <v/>
      </c>
      <c r="T149" s="4" t="str">
        <f t="shared" ca="1" si="44"/>
        <v/>
      </c>
      <c r="U149" s="4" t="str">
        <f t="shared" ca="1" si="44"/>
        <v/>
      </c>
      <c r="V149" s="4" t="str">
        <f t="shared" ca="1" si="44"/>
        <v/>
      </c>
      <c r="W149" s="4" t="str">
        <f t="shared" ca="1" si="45"/>
        <v/>
      </c>
      <c r="X149" s="4" t="str">
        <f t="shared" ca="1" si="45"/>
        <v/>
      </c>
      <c r="Y149" s="4" t="str">
        <f t="shared" ca="1" si="45"/>
        <v/>
      </c>
      <c r="Z149" s="4" t="str">
        <f t="shared" ca="1" si="45"/>
        <v/>
      </c>
      <c r="AA149" s="4" t="str">
        <f t="shared" ca="1" si="45"/>
        <v/>
      </c>
      <c r="AB149" s="4" t="str">
        <f t="shared" ca="1" si="45"/>
        <v/>
      </c>
      <c r="AC149" s="4" t="str">
        <f t="shared" ca="1" si="45"/>
        <v/>
      </c>
      <c r="AD149" s="4" t="str">
        <f t="shared" ca="1" si="45"/>
        <v/>
      </c>
      <c r="AE149" s="4" t="str">
        <f t="shared" ca="1" si="45"/>
        <v/>
      </c>
      <c r="AF149" s="4" t="str">
        <f t="shared" ca="1" si="45"/>
        <v/>
      </c>
      <c r="AG149" s="4" t="str">
        <f t="shared" ca="1" si="46"/>
        <v/>
      </c>
      <c r="AH149" s="4" t="str">
        <f t="shared" ca="1" si="46"/>
        <v/>
      </c>
      <c r="AI149" s="4" t="str">
        <f t="shared" ca="1" si="46"/>
        <v/>
      </c>
      <c r="AJ149" s="4" t="str">
        <f t="shared" ca="1" si="46"/>
        <v/>
      </c>
      <c r="AK149" s="4" t="str">
        <f t="shared" ca="1" si="46"/>
        <v/>
      </c>
      <c r="AL149" s="4" t="str">
        <f t="shared" ca="1" si="46"/>
        <v/>
      </c>
      <c r="AM149" s="4" t="str">
        <f t="shared" ca="1" si="46"/>
        <v/>
      </c>
      <c r="AN149" s="4" t="str">
        <f t="shared" ca="1" si="46"/>
        <v/>
      </c>
      <c r="AO149" s="4" t="str">
        <f t="shared" ca="1" si="46"/>
        <v/>
      </c>
      <c r="AP149" s="4" t="str">
        <f t="shared" ca="1" si="46"/>
        <v/>
      </c>
      <c r="AQ149" s="4" t="str">
        <f t="shared" ca="1" si="47"/>
        <v/>
      </c>
      <c r="AR149" s="4" t="str">
        <f t="shared" ca="1" si="47"/>
        <v/>
      </c>
      <c r="AS149" s="4" t="str">
        <f t="shared" ca="1" si="47"/>
        <v/>
      </c>
      <c r="AT149" s="4" t="str">
        <f t="shared" ca="1" si="47"/>
        <v/>
      </c>
      <c r="AU149" s="4" t="str">
        <f t="shared" ca="1" si="47"/>
        <v/>
      </c>
      <c r="AV149" s="4" t="str">
        <f t="shared" ca="1" si="47"/>
        <v/>
      </c>
      <c r="AW149" s="4" t="str">
        <f t="shared" ca="1" si="47"/>
        <v/>
      </c>
      <c r="AX149" s="4" t="str">
        <f t="shared" ca="1" si="47"/>
        <v/>
      </c>
      <c r="AY149" s="4" t="str">
        <f t="shared" ca="1" si="47"/>
        <v/>
      </c>
      <c r="AZ149" s="4" t="str">
        <f t="shared" ca="1" si="47"/>
        <v/>
      </c>
      <c r="BA149" s="4" t="str">
        <f t="shared" si="37"/>
        <v/>
      </c>
    </row>
    <row r="150" spans="1:53">
      <c r="A150">
        <v>86</v>
      </c>
      <c r="C150" s="4" t="str">
        <f t="shared" ca="1" si="43"/>
        <v/>
      </c>
      <c r="D150" s="4" t="str">
        <f t="shared" ca="1" si="43"/>
        <v/>
      </c>
      <c r="E150" s="4" t="str">
        <f t="shared" ca="1" si="43"/>
        <v/>
      </c>
      <c r="F150" s="4" t="str">
        <f t="shared" ca="1" si="43"/>
        <v/>
      </c>
      <c r="G150" s="4" t="str">
        <f t="shared" ca="1" si="43"/>
        <v/>
      </c>
      <c r="H150" s="4" t="str">
        <f t="shared" ca="1" si="43"/>
        <v/>
      </c>
      <c r="I150" s="4" t="str">
        <f t="shared" ca="1" si="43"/>
        <v/>
      </c>
      <c r="J150" s="4" t="str">
        <f t="shared" ca="1" si="43"/>
        <v/>
      </c>
      <c r="K150" s="4" t="str">
        <f t="shared" ca="1" si="43"/>
        <v/>
      </c>
      <c r="L150" s="4" t="str">
        <f t="shared" ca="1" si="43"/>
        <v/>
      </c>
      <c r="M150" s="4" t="str">
        <f t="shared" ca="1" si="44"/>
        <v/>
      </c>
      <c r="N150" s="4" t="str">
        <f t="shared" ca="1" si="44"/>
        <v/>
      </c>
      <c r="O150" s="4" t="str">
        <f t="shared" ca="1" si="44"/>
        <v/>
      </c>
      <c r="P150" s="4" t="str">
        <f t="shared" ca="1" si="44"/>
        <v/>
      </c>
      <c r="Q150" s="4" t="str">
        <f t="shared" ca="1" si="44"/>
        <v/>
      </c>
      <c r="R150" s="4" t="str">
        <f t="shared" ca="1" si="44"/>
        <v/>
      </c>
      <c r="S150" s="4" t="str">
        <f t="shared" ca="1" si="44"/>
        <v/>
      </c>
      <c r="T150" s="4" t="str">
        <f t="shared" ca="1" si="44"/>
        <v/>
      </c>
      <c r="U150" s="4" t="str">
        <f t="shared" ca="1" si="44"/>
        <v/>
      </c>
      <c r="V150" s="4" t="str">
        <f t="shared" ca="1" si="44"/>
        <v/>
      </c>
      <c r="W150" s="4" t="str">
        <f t="shared" ca="1" si="45"/>
        <v/>
      </c>
      <c r="X150" s="4" t="str">
        <f t="shared" ca="1" si="45"/>
        <v/>
      </c>
      <c r="Y150" s="4" t="str">
        <f t="shared" ca="1" si="45"/>
        <v/>
      </c>
      <c r="Z150" s="4" t="str">
        <f t="shared" ca="1" si="45"/>
        <v/>
      </c>
      <c r="AA150" s="4" t="str">
        <f t="shared" ca="1" si="45"/>
        <v/>
      </c>
      <c r="AB150" s="4" t="str">
        <f t="shared" ca="1" si="45"/>
        <v/>
      </c>
      <c r="AC150" s="4" t="str">
        <f t="shared" ca="1" si="45"/>
        <v/>
      </c>
      <c r="AD150" s="4" t="str">
        <f t="shared" ca="1" si="45"/>
        <v/>
      </c>
      <c r="AE150" s="4" t="str">
        <f t="shared" ca="1" si="45"/>
        <v/>
      </c>
      <c r="AF150" s="4" t="str">
        <f t="shared" ca="1" si="45"/>
        <v/>
      </c>
      <c r="AG150" s="4" t="str">
        <f t="shared" ca="1" si="46"/>
        <v/>
      </c>
      <c r="AH150" s="4" t="str">
        <f t="shared" ca="1" si="46"/>
        <v/>
      </c>
      <c r="AI150" s="4" t="str">
        <f t="shared" ca="1" si="46"/>
        <v/>
      </c>
      <c r="AJ150" s="4" t="str">
        <f t="shared" ca="1" si="46"/>
        <v/>
      </c>
      <c r="AK150" s="4" t="str">
        <f t="shared" ca="1" si="46"/>
        <v/>
      </c>
      <c r="AL150" s="4" t="str">
        <f t="shared" ca="1" si="46"/>
        <v/>
      </c>
      <c r="AM150" s="4" t="str">
        <f t="shared" ca="1" si="46"/>
        <v/>
      </c>
      <c r="AN150" s="4" t="str">
        <f t="shared" ca="1" si="46"/>
        <v/>
      </c>
      <c r="AO150" s="4" t="str">
        <f t="shared" ca="1" si="46"/>
        <v/>
      </c>
      <c r="AP150" s="4" t="str">
        <f t="shared" ca="1" si="46"/>
        <v/>
      </c>
      <c r="AQ150" s="4" t="str">
        <f t="shared" ca="1" si="47"/>
        <v/>
      </c>
      <c r="AR150" s="4" t="str">
        <f t="shared" ca="1" si="47"/>
        <v/>
      </c>
      <c r="AS150" s="4" t="str">
        <f t="shared" ca="1" si="47"/>
        <v/>
      </c>
      <c r="AT150" s="4" t="str">
        <f t="shared" ca="1" si="47"/>
        <v/>
      </c>
      <c r="AU150" s="4" t="str">
        <f t="shared" ca="1" si="47"/>
        <v/>
      </c>
      <c r="AV150" s="4" t="str">
        <f t="shared" ca="1" si="47"/>
        <v/>
      </c>
      <c r="AW150" s="4" t="str">
        <f t="shared" ca="1" si="47"/>
        <v/>
      </c>
      <c r="AX150" s="4" t="str">
        <f t="shared" ca="1" si="47"/>
        <v/>
      </c>
      <c r="AY150" s="4" t="str">
        <f t="shared" ca="1" si="47"/>
        <v/>
      </c>
      <c r="AZ150" s="4" t="str">
        <f t="shared" ca="1" si="47"/>
        <v/>
      </c>
      <c r="BA150" s="4" t="str">
        <f t="shared" si="37"/>
        <v/>
      </c>
    </row>
    <row r="151" spans="1:53">
      <c r="A151">
        <v>87</v>
      </c>
      <c r="C151" s="4" t="str">
        <f t="shared" ca="1" si="43"/>
        <v/>
      </c>
      <c r="D151" s="4" t="str">
        <f t="shared" ca="1" si="43"/>
        <v/>
      </c>
      <c r="E151" s="4" t="str">
        <f t="shared" ca="1" si="43"/>
        <v/>
      </c>
      <c r="F151" s="4" t="str">
        <f t="shared" ca="1" si="43"/>
        <v/>
      </c>
      <c r="G151" s="4" t="str">
        <f t="shared" ca="1" si="43"/>
        <v/>
      </c>
      <c r="H151" s="4" t="str">
        <f t="shared" ca="1" si="43"/>
        <v/>
      </c>
      <c r="I151" s="4" t="str">
        <f t="shared" ca="1" si="43"/>
        <v/>
      </c>
      <c r="J151" s="4" t="str">
        <f t="shared" ca="1" si="43"/>
        <v/>
      </c>
      <c r="K151" s="4" t="str">
        <f t="shared" ca="1" si="43"/>
        <v/>
      </c>
      <c r="L151" s="4" t="str">
        <f t="shared" ca="1" si="43"/>
        <v/>
      </c>
      <c r="M151" s="4" t="str">
        <f t="shared" ca="1" si="44"/>
        <v/>
      </c>
      <c r="N151" s="4" t="str">
        <f t="shared" ca="1" si="44"/>
        <v/>
      </c>
      <c r="O151" s="4" t="str">
        <f t="shared" ca="1" si="44"/>
        <v/>
      </c>
      <c r="P151" s="4" t="str">
        <f t="shared" ca="1" si="44"/>
        <v/>
      </c>
      <c r="Q151" s="4" t="str">
        <f t="shared" ca="1" si="44"/>
        <v/>
      </c>
      <c r="R151" s="4" t="str">
        <f t="shared" ca="1" si="44"/>
        <v/>
      </c>
      <c r="S151" s="4" t="str">
        <f t="shared" ca="1" si="44"/>
        <v/>
      </c>
      <c r="T151" s="4" t="str">
        <f t="shared" ca="1" si="44"/>
        <v/>
      </c>
      <c r="U151" s="4" t="str">
        <f t="shared" ca="1" si="44"/>
        <v/>
      </c>
      <c r="V151" s="4" t="str">
        <f t="shared" ca="1" si="44"/>
        <v/>
      </c>
      <c r="W151" s="4" t="str">
        <f t="shared" ca="1" si="45"/>
        <v/>
      </c>
      <c r="X151" s="4" t="str">
        <f t="shared" ca="1" si="45"/>
        <v/>
      </c>
      <c r="Y151" s="4" t="str">
        <f t="shared" ca="1" si="45"/>
        <v/>
      </c>
      <c r="Z151" s="4" t="str">
        <f t="shared" ca="1" si="45"/>
        <v/>
      </c>
      <c r="AA151" s="4" t="str">
        <f t="shared" ca="1" si="45"/>
        <v/>
      </c>
      <c r="AB151" s="4" t="str">
        <f t="shared" ca="1" si="45"/>
        <v/>
      </c>
      <c r="AC151" s="4" t="str">
        <f t="shared" ca="1" si="45"/>
        <v/>
      </c>
      <c r="AD151" s="4" t="str">
        <f t="shared" ca="1" si="45"/>
        <v/>
      </c>
      <c r="AE151" s="4" t="str">
        <f t="shared" ca="1" si="45"/>
        <v/>
      </c>
      <c r="AF151" s="4" t="str">
        <f t="shared" ca="1" si="45"/>
        <v/>
      </c>
      <c r="AG151" s="4" t="str">
        <f t="shared" ca="1" si="46"/>
        <v/>
      </c>
      <c r="AH151" s="4" t="str">
        <f t="shared" ca="1" si="46"/>
        <v/>
      </c>
      <c r="AI151" s="4" t="str">
        <f t="shared" ca="1" si="46"/>
        <v/>
      </c>
      <c r="AJ151" s="4" t="str">
        <f t="shared" ca="1" si="46"/>
        <v/>
      </c>
      <c r="AK151" s="4" t="str">
        <f t="shared" ca="1" si="46"/>
        <v/>
      </c>
      <c r="AL151" s="4" t="str">
        <f t="shared" ca="1" si="46"/>
        <v/>
      </c>
      <c r="AM151" s="4" t="str">
        <f t="shared" ca="1" si="46"/>
        <v/>
      </c>
      <c r="AN151" s="4" t="str">
        <f t="shared" ca="1" si="46"/>
        <v/>
      </c>
      <c r="AO151" s="4" t="str">
        <f t="shared" ca="1" si="46"/>
        <v/>
      </c>
      <c r="AP151" s="4" t="str">
        <f t="shared" ca="1" si="46"/>
        <v/>
      </c>
      <c r="AQ151" s="4" t="str">
        <f t="shared" ca="1" si="47"/>
        <v/>
      </c>
      <c r="AR151" s="4" t="str">
        <f t="shared" ca="1" si="47"/>
        <v/>
      </c>
      <c r="AS151" s="4" t="str">
        <f t="shared" ca="1" si="47"/>
        <v/>
      </c>
      <c r="AT151" s="4" t="str">
        <f t="shared" ca="1" si="47"/>
        <v/>
      </c>
      <c r="AU151" s="4" t="str">
        <f t="shared" ca="1" si="47"/>
        <v/>
      </c>
      <c r="AV151" s="4" t="str">
        <f t="shared" ca="1" si="47"/>
        <v/>
      </c>
      <c r="AW151" s="4" t="str">
        <f t="shared" ca="1" si="47"/>
        <v/>
      </c>
      <c r="AX151" s="4" t="str">
        <f t="shared" ca="1" si="47"/>
        <v/>
      </c>
      <c r="AY151" s="4" t="str">
        <f t="shared" ca="1" si="47"/>
        <v/>
      </c>
      <c r="AZ151" s="4" t="str">
        <f t="shared" ca="1" si="47"/>
        <v/>
      </c>
      <c r="BA151" s="4" t="str">
        <f t="shared" si="37"/>
        <v/>
      </c>
    </row>
    <row r="152" spans="1:53">
      <c r="A152">
        <v>88</v>
      </c>
      <c r="C152" s="4" t="str">
        <f t="shared" ca="1" si="43"/>
        <v/>
      </c>
      <c r="D152" s="4" t="str">
        <f t="shared" ca="1" si="43"/>
        <v/>
      </c>
      <c r="E152" s="4" t="str">
        <f t="shared" ca="1" si="43"/>
        <v/>
      </c>
      <c r="F152" s="4" t="str">
        <f t="shared" ca="1" si="43"/>
        <v/>
      </c>
      <c r="G152" s="4" t="str">
        <f t="shared" ca="1" si="43"/>
        <v/>
      </c>
      <c r="H152" s="4" t="str">
        <f t="shared" ca="1" si="43"/>
        <v/>
      </c>
      <c r="I152" s="4" t="str">
        <f t="shared" ca="1" si="43"/>
        <v/>
      </c>
      <c r="J152" s="4" t="str">
        <f t="shared" ca="1" si="43"/>
        <v/>
      </c>
      <c r="K152" s="4" t="str">
        <f t="shared" ca="1" si="43"/>
        <v/>
      </c>
      <c r="L152" s="4" t="str">
        <f t="shared" ca="1" si="43"/>
        <v/>
      </c>
      <c r="M152" s="4" t="str">
        <f t="shared" ca="1" si="44"/>
        <v/>
      </c>
      <c r="N152" s="4" t="str">
        <f t="shared" ca="1" si="44"/>
        <v/>
      </c>
      <c r="O152" s="4" t="str">
        <f t="shared" ca="1" si="44"/>
        <v/>
      </c>
      <c r="P152" s="4" t="str">
        <f t="shared" ca="1" si="44"/>
        <v/>
      </c>
      <c r="Q152" s="4" t="str">
        <f t="shared" ca="1" si="44"/>
        <v/>
      </c>
      <c r="R152" s="4" t="str">
        <f t="shared" ca="1" si="44"/>
        <v/>
      </c>
      <c r="S152" s="4" t="str">
        <f t="shared" ca="1" si="44"/>
        <v/>
      </c>
      <c r="T152" s="4" t="str">
        <f t="shared" ca="1" si="44"/>
        <v/>
      </c>
      <c r="U152" s="4" t="str">
        <f t="shared" ca="1" si="44"/>
        <v/>
      </c>
      <c r="V152" s="4" t="str">
        <f t="shared" ca="1" si="44"/>
        <v/>
      </c>
      <c r="W152" s="4" t="str">
        <f t="shared" ca="1" si="45"/>
        <v/>
      </c>
      <c r="X152" s="4" t="str">
        <f t="shared" ca="1" si="45"/>
        <v/>
      </c>
      <c r="Y152" s="4" t="str">
        <f t="shared" ca="1" si="45"/>
        <v/>
      </c>
      <c r="Z152" s="4" t="str">
        <f t="shared" ca="1" si="45"/>
        <v/>
      </c>
      <c r="AA152" s="4" t="str">
        <f t="shared" ca="1" si="45"/>
        <v/>
      </c>
      <c r="AB152" s="4" t="str">
        <f t="shared" ca="1" si="45"/>
        <v/>
      </c>
      <c r="AC152" s="4" t="str">
        <f t="shared" ca="1" si="45"/>
        <v/>
      </c>
      <c r="AD152" s="4" t="str">
        <f t="shared" ca="1" si="45"/>
        <v/>
      </c>
      <c r="AE152" s="4" t="str">
        <f t="shared" ca="1" si="45"/>
        <v/>
      </c>
      <c r="AF152" s="4" t="str">
        <f t="shared" ca="1" si="45"/>
        <v/>
      </c>
      <c r="AG152" s="4" t="str">
        <f t="shared" ca="1" si="46"/>
        <v/>
      </c>
      <c r="AH152" s="4" t="str">
        <f t="shared" ca="1" si="46"/>
        <v/>
      </c>
      <c r="AI152" s="4" t="str">
        <f t="shared" ca="1" si="46"/>
        <v/>
      </c>
      <c r="AJ152" s="4" t="str">
        <f t="shared" ca="1" si="46"/>
        <v/>
      </c>
      <c r="AK152" s="4" t="str">
        <f t="shared" ca="1" si="46"/>
        <v/>
      </c>
      <c r="AL152" s="4" t="str">
        <f t="shared" ca="1" si="46"/>
        <v/>
      </c>
      <c r="AM152" s="4" t="str">
        <f t="shared" ca="1" si="46"/>
        <v/>
      </c>
      <c r="AN152" s="4" t="str">
        <f t="shared" ca="1" si="46"/>
        <v/>
      </c>
      <c r="AO152" s="4" t="str">
        <f t="shared" ca="1" si="46"/>
        <v/>
      </c>
      <c r="AP152" s="4" t="str">
        <f t="shared" ca="1" si="46"/>
        <v/>
      </c>
      <c r="AQ152" s="4" t="str">
        <f t="shared" ca="1" si="47"/>
        <v/>
      </c>
      <c r="AR152" s="4" t="str">
        <f t="shared" ca="1" si="47"/>
        <v/>
      </c>
      <c r="AS152" s="4" t="str">
        <f t="shared" ca="1" si="47"/>
        <v/>
      </c>
      <c r="AT152" s="4" t="str">
        <f t="shared" ca="1" si="47"/>
        <v/>
      </c>
      <c r="AU152" s="4" t="str">
        <f t="shared" ca="1" si="47"/>
        <v/>
      </c>
      <c r="AV152" s="4" t="str">
        <f t="shared" ca="1" si="47"/>
        <v/>
      </c>
      <c r="AW152" s="4" t="str">
        <f t="shared" ca="1" si="47"/>
        <v/>
      </c>
      <c r="AX152" s="4" t="str">
        <f t="shared" ca="1" si="47"/>
        <v/>
      </c>
      <c r="AY152" s="4" t="str">
        <f t="shared" ca="1" si="47"/>
        <v/>
      </c>
      <c r="AZ152" s="4" t="str">
        <f t="shared" ca="1" si="47"/>
        <v/>
      </c>
      <c r="BA152" s="4" t="str">
        <f t="shared" si="37"/>
        <v/>
      </c>
    </row>
    <row r="153" spans="1:53">
      <c r="A153">
        <v>89</v>
      </c>
      <c r="C153" s="4" t="str">
        <f t="shared" ca="1" si="43"/>
        <v/>
      </c>
      <c r="D153" s="4" t="str">
        <f t="shared" ca="1" si="43"/>
        <v/>
      </c>
      <c r="E153" s="4" t="str">
        <f t="shared" ca="1" si="43"/>
        <v/>
      </c>
      <c r="F153" s="4" t="str">
        <f t="shared" ca="1" si="43"/>
        <v/>
      </c>
      <c r="G153" s="4" t="str">
        <f t="shared" ca="1" si="43"/>
        <v/>
      </c>
      <c r="H153" s="4" t="str">
        <f t="shared" ca="1" si="43"/>
        <v/>
      </c>
      <c r="I153" s="4" t="str">
        <f t="shared" ca="1" si="43"/>
        <v/>
      </c>
      <c r="J153" s="4" t="str">
        <f t="shared" ca="1" si="43"/>
        <v/>
      </c>
      <c r="K153" s="4" t="str">
        <f t="shared" ca="1" si="43"/>
        <v/>
      </c>
      <c r="L153" s="4" t="str">
        <f t="shared" ca="1" si="43"/>
        <v/>
      </c>
      <c r="M153" s="4" t="str">
        <f t="shared" ca="1" si="44"/>
        <v/>
      </c>
      <c r="N153" s="4" t="str">
        <f t="shared" ca="1" si="44"/>
        <v/>
      </c>
      <c r="O153" s="4" t="str">
        <f t="shared" ca="1" si="44"/>
        <v/>
      </c>
      <c r="P153" s="4" t="str">
        <f t="shared" ca="1" si="44"/>
        <v/>
      </c>
      <c r="Q153" s="4" t="str">
        <f t="shared" ca="1" si="44"/>
        <v/>
      </c>
      <c r="R153" s="4" t="str">
        <f t="shared" ca="1" si="44"/>
        <v/>
      </c>
      <c r="S153" s="4" t="str">
        <f t="shared" ca="1" si="44"/>
        <v/>
      </c>
      <c r="T153" s="4" t="str">
        <f t="shared" ca="1" si="44"/>
        <v/>
      </c>
      <c r="U153" s="4" t="str">
        <f t="shared" ca="1" si="44"/>
        <v/>
      </c>
      <c r="V153" s="4" t="str">
        <f t="shared" ca="1" si="44"/>
        <v/>
      </c>
      <c r="W153" s="4" t="str">
        <f t="shared" ca="1" si="45"/>
        <v/>
      </c>
      <c r="X153" s="4" t="str">
        <f t="shared" ca="1" si="45"/>
        <v/>
      </c>
      <c r="Y153" s="4" t="str">
        <f t="shared" ca="1" si="45"/>
        <v/>
      </c>
      <c r="Z153" s="4" t="str">
        <f t="shared" ca="1" si="45"/>
        <v/>
      </c>
      <c r="AA153" s="4" t="str">
        <f t="shared" ca="1" si="45"/>
        <v/>
      </c>
      <c r="AB153" s="4" t="str">
        <f t="shared" ca="1" si="45"/>
        <v/>
      </c>
      <c r="AC153" s="4" t="str">
        <f t="shared" ca="1" si="45"/>
        <v/>
      </c>
      <c r="AD153" s="4" t="str">
        <f t="shared" ca="1" si="45"/>
        <v/>
      </c>
      <c r="AE153" s="4" t="str">
        <f t="shared" ca="1" si="45"/>
        <v/>
      </c>
      <c r="AF153" s="4" t="str">
        <f t="shared" ca="1" si="45"/>
        <v/>
      </c>
      <c r="AG153" s="4" t="str">
        <f t="shared" ca="1" si="46"/>
        <v/>
      </c>
      <c r="AH153" s="4" t="str">
        <f t="shared" ca="1" si="46"/>
        <v/>
      </c>
      <c r="AI153" s="4" t="str">
        <f t="shared" ca="1" si="46"/>
        <v/>
      </c>
      <c r="AJ153" s="4" t="str">
        <f t="shared" ca="1" si="46"/>
        <v/>
      </c>
      <c r="AK153" s="4" t="str">
        <f t="shared" ca="1" si="46"/>
        <v/>
      </c>
      <c r="AL153" s="4" t="str">
        <f t="shared" ca="1" si="46"/>
        <v/>
      </c>
      <c r="AM153" s="4" t="str">
        <f t="shared" ca="1" si="46"/>
        <v/>
      </c>
      <c r="AN153" s="4" t="str">
        <f t="shared" ca="1" si="46"/>
        <v/>
      </c>
      <c r="AO153" s="4" t="str">
        <f t="shared" ca="1" si="46"/>
        <v/>
      </c>
      <c r="AP153" s="4" t="str">
        <f t="shared" ca="1" si="46"/>
        <v/>
      </c>
      <c r="AQ153" s="4" t="str">
        <f t="shared" ca="1" si="47"/>
        <v/>
      </c>
      <c r="AR153" s="4" t="str">
        <f t="shared" ca="1" si="47"/>
        <v/>
      </c>
      <c r="AS153" s="4" t="str">
        <f t="shared" ca="1" si="47"/>
        <v/>
      </c>
      <c r="AT153" s="4" t="str">
        <f t="shared" ca="1" si="47"/>
        <v/>
      </c>
      <c r="AU153" s="4" t="str">
        <f t="shared" ca="1" si="47"/>
        <v/>
      </c>
      <c r="AV153" s="4" t="str">
        <f t="shared" ca="1" si="47"/>
        <v/>
      </c>
      <c r="AW153" s="4" t="str">
        <f t="shared" ca="1" si="47"/>
        <v/>
      </c>
      <c r="AX153" s="4" t="str">
        <f t="shared" ca="1" si="47"/>
        <v/>
      </c>
      <c r="AY153" s="4" t="str">
        <f t="shared" ca="1" si="47"/>
        <v/>
      </c>
      <c r="AZ153" s="4" t="str">
        <f t="shared" ca="1" si="47"/>
        <v/>
      </c>
      <c r="BA153" s="4" t="str">
        <f t="shared" si="37"/>
        <v/>
      </c>
    </row>
    <row r="154" spans="1:53">
      <c r="A154">
        <v>90</v>
      </c>
      <c r="C154" s="4" t="str">
        <f t="shared" ca="1" si="43"/>
        <v/>
      </c>
      <c r="D154" s="4" t="str">
        <f t="shared" ca="1" si="43"/>
        <v/>
      </c>
      <c r="E154" s="4" t="str">
        <f t="shared" ca="1" si="43"/>
        <v/>
      </c>
      <c r="F154" s="4" t="str">
        <f t="shared" ca="1" si="43"/>
        <v/>
      </c>
      <c r="G154" s="4" t="str">
        <f t="shared" ca="1" si="43"/>
        <v/>
      </c>
      <c r="H154" s="4" t="str">
        <f t="shared" ca="1" si="43"/>
        <v/>
      </c>
      <c r="I154" s="4" t="str">
        <f t="shared" ca="1" si="43"/>
        <v/>
      </c>
      <c r="J154" s="4" t="str">
        <f t="shared" ca="1" si="43"/>
        <v/>
      </c>
      <c r="K154" s="4" t="str">
        <f t="shared" ca="1" si="43"/>
        <v/>
      </c>
      <c r="L154" s="4" t="str">
        <f t="shared" ca="1" si="43"/>
        <v/>
      </c>
      <c r="M154" s="4" t="str">
        <f t="shared" ca="1" si="44"/>
        <v/>
      </c>
      <c r="N154" s="4" t="str">
        <f t="shared" ca="1" si="44"/>
        <v/>
      </c>
      <c r="O154" s="4" t="str">
        <f t="shared" ca="1" si="44"/>
        <v/>
      </c>
      <c r="P154" s="4" t="str">
        <f t="shared" ca="1" si="44"/>
        <v/>
      </c>
      <c r="Q154" s="4" t="str">
        <f t="shared" ca="1" si="44"/>
        <v/>
      </c>
      <c r="R154" s="4" t="str">
        <f t="shared" ca="1" si="44"/>
        <v/>
      </c>
      <c r="S154" s="4" t="str">
        <f t="shared" ca="1" si="44"/>
        <v/>
      </c>
      <c r="T154" s="4" t="str">
        <f t="shared" ca="1" si="44"/>
        <v/>
      </c>
      <c r="U154" s="4" t="str">
        <f t="shared" ca="1" si="44"/>
        <v/>
      </c>
      <c r="V154" s="4" t="str">
        <f t="shared" ca="1" si="44"/>
        <v/>
      </c>
      <c r="W154" s="4" t="str">
        <f t="shared" ca="1" si="45"/>
        <v/>
      </c>
      <c r="X154" s="4" t="str">
        <f t="shared" ca="1" si="45"/>
        <v/>
      </c>
      <c r="Y154" s="4" t="str">
        <f t="shared" ca="1" si="45"/>
        <v/>
      </c>
      <c r="Z154" s="4" t="str">
        <f t="shared" ca="1" si="45"/>
        <v/>
      </c>
      <c r="AA154" s="4" t="str">
        <f t="shared" ca="1" si="45"/>
        <v/>
      </c>
      <c r="AB154" s="4" t="str">
        <f t="shared" ca="1" si="45"/>
        <v/>
      </c>
      <c r="AC154" s="4" t="str">
        <f t="shared" ca="1" si="45"/>
        <v/>
      </c>
      <c r="AD154" s="4" t="str">
        <f t="shared" ca="1" si="45"/>
        <v/>
      </c>
      <c r="AE154" s="4" t="str">
        <f t="shared" ca="1" si="45"/>
        <v/>
      </c>
      <c r="AF154" s="4" t="str">
        <f t="shared" ca="1" si="45"/>
        <v/>
      </c>
      <c r="AG154" s="4" t="str">
        <f t="shared" ca="1" si="46"/>
        <v/>
      </c>
      <c r="AH154" s="4" t="str">
        <f t="shared" ca="1" si="46"/>
        <v/>
      </c>
      <c r="AI154" s="4" t="str">
        <f t="shared" ca="1" si="46"/>
        <v/>
      </c>
      <c r="AJ154" s="4" t="str">
        <f t="shared" ca="1" si="46"/>
        <v/>
      </c>
      <c r="AK154" s="4" t="str">
        <f t="shared" ca="1" si="46"/>
        <v/>
      </c>
      <c r="AL154" s="4" t="str">
        <f t="shared" ca="1" si="46"/>
        <v/>
      </c>
      <c r="AM154" s="4" t="str">
        <f t="shared" ca="1" si="46"/>
        <v/>
      </c>
      <c r="AN154" s="4" t="str">
        <f t="shared" ca="1" si="46"/>
        <v/>
      </c>
      <c r="AO154" s="4" t="str">
        <f t="shared" ca="1" si="46"/>
        <v/>
      </c>
      <c r="AP154" s="4" t="str">
        <f t="shared" ca="1" si="46"/>
        <v/>
      </c>
      <c r="AQ154" s="4" t="str">
        <f t="shared" ca="1" si="47"/>
        <v/>
      </c>
      <c r="AR154" s="4" t="str">
        <f t="shared" ca="1" si="47"/>
        <v/>
      </c>
      <c r="AS154" s="4" t="str">
        <f t="shared" ca="1" si="47"/>
        <v/>
      </c>
      <c r="AT154" s="4" t="str">
        <f t="shared" ca="1" si="47"/>
        <v/>
      </c>
      <c r="AU154" s="4" t="str">
        <f t="shared" ca="1" si="47"/>
        <v/>
      </c>
      <c r="AV154" s="4" t="str">
        <f t="shared" ca="1" si="47"/>
        <v/>
      </c>
      <c r="AW154" s="4" t="str">
        <f t="shared" ca="1" si="47"/>
        <v/>
      </c>
      <c r="AX154" s="4" t="str">
        <f t="shared" ca="1" si="47"/>
        <v/>
      </c>
      <c r="AY154" s="4" t="str">
        <f t="shared" ca="1" si="47"/>
        <v/>
      </c>
      <c r="AZ154" s="4" t="str">
        <f t="shared" ca="1" si="47"/>
        <v/>
      </c>
      <c r="BA154" s="4" t="str">
        <f t="shared" si="37"/>
        <v/>
      </c>
    </row>
    <row r="155" spans="1:53">
      <c r="A155">
        <v>91</v>
      </c>
      <c r="C155" s="4" t="str">
        <f t="shared" ref="C155:L164" ca="1" si="48">IF(COLUMN()-2&lt;=$E$3,INDEX($B$10:$B$59,RANDBETWEEN(1,$E$3)),"")</f>
        <v/>
      </c>
      <c r="D155" s="4" t="str">
        <f t="shared" ca="1" si="48"/>
        <v/>
      </c>
      <c r="E155" s="4" t="str">
        <f t="shared" ca="1" si="48"/>
        <v/>
      </c>
      <c r="F155" s="4" t="str">
        <f t="shared" ca="1" si="48"/>
        <v/>
      </c>
      <c r="G155" s="4" t="str">
        <f t="shared" ca="1" si="48"/>
        <v/>
      </c>
      <c r="H155" s="4" t="str">
        <f t="shared" ca="1" si="48"/>
        <v/>
      </c>
      <c r="I155" s="4" t="str">
        <f t="shared" ca="1" si="48"/>
        <v/>
      </c>
      <c r="J155" s="4" t="str">
        <f t="shared" ca="1" si="48"/>
        <v/>
      </c>
      <c r="K155" s="4" t="str">
        <f t="shared" ca="1" si="48"/>
        <v/>
      </c>
      <c r="L155" s="4" t="str">
        <f t="shared" ca="1" si="48"/>
        <v/>
      </c>
      <c r="M155" s="4" t="str">
        <f t="shared" ref="M155:V164" ca="1" si="49">IF(COLUMN()-2&lt;=$E$3,INDEX($B$10:$B$59,RANDBETWEEN(1,$E$3)),"")</f>
        <v/>
      </c>
      <c r="N155" s="4" t="str">
        <f t="shared" ca="1" si="49"/>
        <v/>
      </c>
      <c r="O155" s="4" t="str">
        <f t="shared" ca="1" si="49"/>
        <v/>
      </c>
      <c r="P155" s="4" t="str">
        <f t="shared" ca="1" si="49"/>
        <v/>
      </c>
      <c r="Q155" s="4" t="str">
        <f t="shared" ca="1" si="49"/>
        <v/>
      </c>
      <c r="R155" s="4" t="str">
        <f t="shared" ca="1" si="49"/>
        <v/>
      </c>
      <c r="S155" s="4" t="str">
        <f t="shared" ca="1" si="49"/>
        <v/>
      </c>
      <c r="T155" s="4" t="str">
        <f t="shared" ca="1" si="49"/>
        <v/>
      </c>
      <c r="U155" s="4" t="str">
        <f t="shared" ca="1" si="49"/>
        <v/>
      </c>
      <c r="V155" s="4" t="str">
        <f t="shared" ca="1" si="49"/>
        <v/>
      </c>
      <c r="W155" s="4" t="str">
        <f t="shared" ref="W155:AF164" ca="1" si="50">IF(COLUMN()-2&lt;=$E$3,INDEX($B$10:$B$59,RANDBETWEEN(1,$E$3)),"")</f>
        <v/>
      </c>
      <c r="X155" s="4" t="str">
        <f t="shared" ca="1" si="50"/>
        <v/>
      </c>
      <c r="Y155" s="4" t="str">
        <f t="shared" ca="1" si="50"/>
        <v/>
      </c>
      <c r="Z155" s="4" t="str">
        <f t="shared" ca="1" si="50"/>
        <v/>
      </c>
      <c r="AA155" s="4" t="str">
        <f t="shared" ca="1" si="50"/>
        <v/>
      </c>
      <c r="AB155" s="4" t="str">
        <f t="shared" ca="1" si="50"/>
        <v/>
      </c>
      <c r="AC155" s="4" t="str">
        <f t="shared" ca="1" si="50"/>
        <v/>
      </c>
      <c r="AD155" s="4" t="str">
        <f t="shared" ca="1" si="50"/>
        <v/>
      </c>
      <c r="AE155" s="4" t="str">
        <f t="shared" ca="1" si="50"/>
        <v/>
      </c>
      <c r="AF155" s="4" t="str">
        <f t="shared" ca="1" si="50"/>
        <v/>
      </c>
      <c r="AG155" s="4" t="str">
        <f t="shared" ref="AG155:AP164" ca="1" si="51">IF(COLUMN()-2&lt;=$E$3,INDEX($B$10:$B$59,RANDBETWEEN(1,$E$3)),"")</f>
        <v/>
      </c>
      <c r="AH155" s="4" t="str">
        <f t="shared" ca="1" si="51"/>
        <v/>
      </c>
      <c r="AI155" s="4" t="str">
        <f t="shared" ca="1" si="51"/>
        <v/>
      </c>
      <c r="AJ155" s="4" t="str">
        <f t="shared" ca="1" si="51"/>
        <v/>
      </c>
      <c r="AK155" s="4" t="str">
        <f t="shared" ca="1" si="51"/>
        <v/>
      </c>
      <c r="AL155" s="4" t="str">
        <f t="shared" ca="1" si="51"/>
        <v/>
      </c>
      <c r="AM155" s="4" t="str">
        <f t="shared" ca="1" si="51"/>
        <v/>
      </c>
      <c r="AN155" s="4" t="str">
        <f t="shared" ca="1" si="51"/>
        <v/>
      </c>
      <c r="AO155" s="4" t="str">
        <f t="shared" ca="1" si="51"/>
        <v/>
      </c>
      <c r="AP155" s="4" t="str">
        <f t="shared" ca="1" si="51"/>
        <v/>
      </c>
      <c r="AQ155" s="4" t="str">
        <f t="shared" ref="AQ155:AZ164" ca="1" si="52">IF(COLUMN()-2&lt;=$E$3,INDEX($B$10:$B$59,RANDBETWEEN(1,$E$3)),"")</f>
        <v/>
      </c>
      <c r="AR155" s="4" t="str">
        <f t="shared" ca="1" si="52"/>
        <v/>
      </c>
      <c r="AS155" s="4" t="str">
        <f t="shared" ca="1" si="52"/>
        <v/>
      </c>
      <c r="AT155" s="4" t="str">
        <f t="shared" ca="1" si="52"/>
        <v/>
      </c>
      <c r="AU155" s="4" t="str">
        <f t="shared" ca="1" si="52"/>
        <v/>
      </c>
      <c r="AV155" s="4" t="str">
        <f t="shared" ca="1" si="52"/>
        <v/>
      </c>
      <c r="AW155" s="4" t="str">
        <f t="shared" ca="1" si="52"/>
        <v/>
      </c>
      <c r="AX155" s="4" t="str">
        <f t="shared" ca="1" si="52"/>
        <v/>
      </c>
      <c r="AY155" s="4" t="str">
        <f t="shared" ca="1" si="52"/>
        <v/>
      </c>
      <c r="AZ155" s="4" t="str">
        <f t="shared" ca="1" si="52"/>
        <v/>
      </c>
      <c r="BA155" s="4" t="str">
        <f t="shared" si="37"/>
        <v/>
      </c>
    </row>
    <row r="156" spans="1:53">
      <c r="A156">
        <v>92</v>
      </c>
      <c r="C156" s="4" t="str">
        <f t="shared" ca="1" si="48"/>
        <v/>
      </c>
      <c r="D156" s="4" t="str">
        <f t="shared" ca="1" si="48"/>
        <v/>
      </c>
      <c r="E156" s="4" t="str">
        <f t="shared" ca="1" si="48"/>
        <v/>
      </c>
      <c r="F156" s="4" t="str">
        <f t="shared" ca="1" si="48"/>
        <v/>
      </c>
      <c r="G156" s="4" t="str">
        <f t="shared" ca="1" si="48"/>
        <v/>
      </c>
      <c r="H156" s="4" t="str">
        <f t="shared" ca="1" si="48"/>
        <v/>
      </c>
      <c r="I156" s="4" t="str">
        <f t="shared" ca="1" si="48"/>
        <v/>
      </c>
      <c r="J156" s="4" t="str">
        <f t="shared" ca="1" si="48"/>
        <v/>
      </c>
      <c r="K156" s="4" t="str">
        <f t="shared" ca="1" si="48"/>
        <v/>
      </c>
      <c r="L156" s="4" t="str">
        <f t="shared" ca="1" si="48"/>
        <v/>
      </c>
      <c r="M156" s="4" t="str">
        <f t="shared" ca="1" si="49"/>
        <v/>
      </c>
      <c r="N156" s="4" t="str">
        <f t="shared" ca="1" si="49"/>
        <v/>
      </c>
      <c r="O156" s="4" t="str">
        <f t="shared" ca="1" si="49"/>
        <v/>
      </c>
      <c r="P156" s="4" t="str">
        <f t="shared" ca="1" si="49"/>
        <v/>
      </c>
      <c r="Q156" s="4" t="str">
        <f t="shared" ca="1" si="49"/>
        <v/>
      </c>
      <c r="R156" s="4" t="str">
        <f t="shared" ca="1" si="49"/>
        <v/>
      </c>
      <c r="S156" s="4" t="str">
        <f t="shared" ca="1" si="49"/>
        <v/>
      </c>
      <c r="T156" s="4" t="str">
        <f t="shared" ca="1" si="49"/>
        <v/>
      </c>
      <c r="U156" s="4" t="str">
        <f t="shared" ca="1" si="49"/>
        <v/>
      </c>
      <c r="V156" s="4" t="str">
        <f t="shared" ca="1" si="49"/>
        <v/>
      </c>
      <c r="W156" s="4" t="str">
        <f t="shared" ca="1" si="50"/>
        <v/>
      </c>
      <c r="X156" s="4" t="str">
        <f t="shared" ca="1" si="50"/>
        <v/>
      </c>
      <c r="Y156" s="4" t="str">
        <f t="shared" ca="1" si="50"/>
        <v/>
      </c>
      <c r="Z156" s="4" t="str">
        <f t="shared" ca="1" si="50"/>
        <v/>
      </c>
      <c r="AA156" s="4" t="str">
        <f t="shared" ca="1" si="50"/>
        <v/>
      </c>
      <c r="AB156" s="4" t="str">
        <f t="shared" ca="1" si="50"/>
        <v/>
      </c>
      <c r="AC156" s="4" t="str">
        <f t="shared" ca="1" si="50"/>
        <v/>
      </c>
      <c r="AD156" s="4" t="str">
        <f t="shared" ca="1" si="50"/>
        <v/>
      </c>
      <c r="AE156" s="4" t="str">
        <f t="shared" ca="1" si="50"/>
        <v/>
      </c>
      <c r="AF156" s="4" t="str">
        <f t="shared" ca="1" si="50"/>
        <v/>
      </c>
      <c r="AG156" s="4" t="str">
        <f t="shared" ca="1" si="51"/>
        <v/>
      </c>
      <c r="AH156" s="4" t="str">
        <f t="shared" ca="1" si="51"/>
        <v/>
      </c>
      <c r="AI156" s="4" t="str">
        <f t="shared" ca="1" si="51"/>
        <v/>
      </c>
      <c r="AJ156" s="4" t="str">
        <f t="shared" ca="1" si="51"/>
        <v/>
      </c>
      <c r="AK156" s="4" t="str">
        <f t="shared" ca="1" si="51"/>
        <v/>
      </c>
      <c r="AL156" s="4" t="str">
        <f t="shared" ca="1" si="51"/>
        <v/>
      </c>
      <c r="AM156" s="4" t="str">
        <f t="shared" ca="1" si="51"/>
        <v/>
      </c>
      <c r="AN156" s="4" t="str">
        <f t="shared" ca="1" si="51"/>
        <v/>
      </c>
      <c r="AO156" s="4" t="str">
        <f t="shared" ca="1" si="51"/>
        <v/>
      </c>
      <c r="AP156" s="4" t="str">
        <f t="shared" ca="1" si="51"/>
        <v/>
      </c>
      <c r="AQ156" s="4" t="str">
        <f t="shared" ca="1" si="52"/>
        <v/>
      </c>
      <c r="AR156" s="4" t="str">
        <f t="shared" ca="1" si="52"/>
        <v/>
      </c>
      <c r="AS156" s="4" t="str">
        <f t="shared" ca="1" si="52"/>
        <v/>
      </c>
      <c r="AT156" s="4" t="str">
        <f t="shared" ca="1" si="52"/>
        <v/>
      </c>
      <c r="AU156" s="4" t="str">
        <f t="shared" ca="1" si="52"/>
        <v/>
      </c>
      <c r="AV156" s="4" t="str">
        <f t="shared" ca="1" si="52"/>
        <v/>
      </c>
      <c r="AW156" s="4" t="str">
        <f t="shared" ca="1" si="52"/>
        <v/>
      </c>
      <c r="AX156" s="4" t="str">
        <f t="shared" ca="1" si="52"/>
        <v/>
      </c>
      <c r="AY156" s="4" t="str">
        <f t="shared" ca="1" si="52"/>
        <v/>
      </c>
      <c r="AZ156" s="4" t="str">
        <f t="shared" ca="1" si="52"/>
        <v/>
      </c>
      <c r="BA156" s="4" t="str">
        <f t="shared" si="37"/>
        <v/>
      </c>
    </row>
    <row r="157" spans="1:53">
      <c r="A157">
        <v>93</v>
      </c>
      <c r="C157" s="4" t="str">
        <f t="shared" ca="1" si="48"/>
        <v/>
      </c>
      <c r="D157" s="4" t="str">
        <f t="shared" ca="1" si="48"/>
        <v/>
      </c>
      <c r="E157" s="4" t="str">
        <f t="shared" ca="1" si="48"/>
        <v/>
      </c>
      <c r="F157" s="4" t="str">
        <f t="shared" ca="1" si="48"/>
        <v/>
      </c>
      <c r="G157" s="4" t="str">
        <f t="shared" ca="1" si="48"/>
        <v/>
      </c>
      <c r="H157" s="4" t="str">
        <f t="shared" ca="1" si="48"/>
        <v/>
      </c>
      <c r="I157" s="4" t="str">
        <f t="shared" ca="1" si="48"/>
        <v/>
      </c>
      <c r="J157" s="4" t="str">
        <f t="shared" ca="1" si="48"/>
        <v/>
      </c>
      <c r="K157" s="4" t="str">
        <f t="shared" ca="1" si="48"/>
        <v/>
      </c>
      <c r="L157" s="4" t="str">
        <f t="shared" ca="1" si="48"/>
        <v/>
      </c>
      <c r="M157" s="4" t="str">
        <f t="shared" ca="1" si="49"/>
        <v/>
      </c>
      <c r="N157" s="4" t="str">
        <f t="shared" ca="1" si="49"/>
        <v/>
      </c>
      <c r="O157" s="4" t="str">
        <f t="shared" ca="1" si="49"/>
        <v/>
      </c>
      <c r="P157" s="4" t="str">
        <f t="shared" ca="1" si="49"/>
        <v/>
      </c>
      <c r="Q157" s="4" t="str">
        <f t="shared" ca="1" si="49"/>
        <v/>
      </c>
      <c r="R157" s="4" t="str">
        <f t="shared" ca="1" si="49"/>
        <v/>
      </c>
      <c r="S157" s="4" t="str">
        <f t="shared" ca="1" si="49"/>
        <v/>
      </c>
      <c r="T157" s="4" t="str">
        <f t="shared" ca="1" si="49"/>
        <v/>
      </c>
      <c r="U157" s="4" t="str">
        <f t="shared" ca="1" si="49"/>
        <v/>
      </c>
      <c r="V157" s="4" t="str">
        <f t="shared" ca="1" si="49"/>
        <v/>
      </c>
      <c r="W157" s="4" t="str">
        <f t="shared" ca="1" si="50"/>
        <v/>
      </c>
      <c r="X157" s="4" t="str">
        <f t="shared" ca="1" si="50"/>
        <v/>
      </c>
      <c r="Y157" s="4" t="str">
        <f t="shared" ca="1" si="50"/>
        <v/>
      </c>
      <c r="Z157" s="4" t="str">
        <f t="shared" ca="1" si="50"/>
        <v/>
      </c>
      <c r="AA157" s="4" t="str">
        <f t="shared" ca="1" si="50"/>
        <v/>
      </c>
      <c r="AB157" s="4" t="str">
        <f t="shared" ca="1" si="50"/>
        <v/>
      </c>
      <c r="AC157" s="4" t="str">
        <f t="shared" ca="1" si="50"/>
        <v/>
      </c>
      <c r="AD157" s="4" t="str">
        <f t="shared" ca="1" si="50"/>
        <v/>
      </c>
      <c r="AE157" s="4" t="str">
        <f t="shared" ca="1" si="50"/>
        <v/>
      </c>
      <c r="AF157" s="4" t="str">
        <f t="shared" ca="1" si="50"/>
        <v/>
      </c>
      <c r="AG157" s="4" t="str">
        <f t="shared" ca="1" si="51"/>
        <v/>
      </c>
      <c r="AH157" s="4" t="str">
        <f t="shared" ca="1" si="51"/>
        <v/>
      </c>
      <c r="AI157" s="4" t="str">
        <f t="shared" ca="1" si="51"/>
        <v/>
      </c>
      <c r="AJ157" s="4" t="str">
        <f t="shared" ca="1" si="51"/>
        <v/>
      </c>
      <c r="AK157" s="4" t="str">
        <f t="shared" ca="1" si="51"/>
        <v/>
      </c>
      <c r="AL157" s="4" t="str">
        <f t="shared" ca="1" si="51"/>
        <v/>
      </c>
      <c r="AM157" s="4" t="str">
        <f t="shared" ca="1" si="51"/>
        <v/>
      </c>
      <c r="AN157" s="4" t="str">
        <f t="shared" ca="1" si="51"/>
        <v/>
      </c>
      <c r="AO157" s="4" t="str">
        <f t="shared" ca="1" si="51"/>
        <v/>
      </c>
      <c r="AP157" s="4" t="str">
        <f t="shared" ca="1" si="51"/>
        <v/>
      </c>
      <c r="AQ157" s="4" t="str">
        <f t="shared" ca="1" si="52"/>
        <v/>
      </c>
      <c r="AR157" s="4" t="str">
        <f t="shared" ca="1" si="52"/>
        <v/>
      </c>
      <c r="AS157" s="4" t="str">
        <f t="shared" ca="1" si="52"/>
        <v/>
      </c>
      <c r="AT157" s="4" t="str">
        <f t="shared" ca="1" si="52"/>
        <v/>
      </c>
      <c r="AU157" s="4" t="str">
        <f t="shared" ca="1" si="52"/>
        <v/>
      </c>
      <c r="AV157" s="4" t="str">
        <f t="shared" ca="1" si="52"/>
        <v/>
      </c>
      <c r="AW157" s="4" t="str">
        <f t="shared" ca="1" si="52"/>
        <v/>
      </c>
      <c r="AX157" s="4" t="str">
        <f t="shared" ca="1" si="52"/>
        <v/>
      </c>
      <c r="AY157" s="4" t="str">
        <f t="shared" ca="1" si="52"/>
        <v/>
      </c>
      <c r="AZ157" s="4" t="str">
        <f t="shared" ca="1" si="52"/>
        <v/>
      </c>
      <c r="BA157" s="4" t="str">
        <f t="shared" si="37"/>
        <v/>
      </c>
    </row>
    <row r="158" spans="1:53">
      <c r="A158">
        <v>94</v>
      </c>
      <c r="C158" s="4" t="str">
        <f t="shared" ca="1" si="48"/>
        <v/>
      </c>
      <c r="D158" s="4" t="str">
        <f t="shared" ca="1" si="48"/>
        <v/>
      </c>
      <c r="E158" s="4" t="str">
        <f t="shared" ca="1" si="48"/>
        <v/>
      </c>
      <c r="F158" s="4" t="str">
        <f t="shared" ca="1" si="48"/>
        <v/>
      </c>
      <c r="G158" s="4" t="str">
        <f t="shared" ca="1" si="48"/>
        <v/>
      </c>
      <c r="H158" s="4" t="str">
        <f t="shared" ca="1" si="48"/>
        <v/>
      </c>
      <c r="I158" s="4" t="str">
        <f t="shared" ca="1" si="48"/>
        <v/>
      </c>
      <c r="J158" s="4" t="str">
        <f t="shared" ca="1" si="48"/>
        <v/>
      </c>
      <c r="K158" s="4" t="str">
        <f t="shared" ca="1" si="48"/>
        <v/>
      </c>
      <c r="L158" s="4" t="str">
        <f t="shared" ca="1" si="48"/>
        <v/>
      </c>
      <c r="M158" s="4" t="str">
        <f t="shared" ca="1" si="49"/>
        <v/>
      </c>
      <c r="N158" s="4" t="str">
        <f t="shared" ca="1" si="49"/>
        <v/>
      </c>
      <c r="O158" s="4" t="str">
        <f t="shared" ca="1" si="49"/>
        <v/>
      </c>
      <c r="P158" s="4" t="str">
        <f t="shared" ca="1" si="49"/>
        <v/>
      </c>
      <c r="Q158" s="4" t="str">
        <f t="shared" ca="1" si="49"/>
        <v/>
      </c>
      <c r="R158" s="4" t="str">
        <f t="shared" ca="1" si="49"/>
        <v/>
      </c>
      <c r="S158" s="4" t="str">
        <f t="shared" ca="1" si="49"/>
        <v/>
      </c>
      <c r="T158" s="4" t="str">
        <f t="shared" ca="1" si="49"/>
        <v/>
      </c>
      <c r="U158" s="4" t="str">
        <f t="shared" ca="1" si="49"/>
        <v/>
      </c>
      <c r="V158" s="4" t="str">
        <f t="shared" ca="1" si="49"/>
        <v/>
      </c>
      <c r="W158" s="4" t="str">
        <f t="shared" ca="1" si="50"/>
        <v/>
      </c>
      <c r="X158" s="4" t="str">
        <f t="shared" ca="1" si="50"/>
        <v/>
      </c>
      <c r="Y158" s="4" t="str">
        <f t="shared" ca="1" si="50"/>
        <v/>
      </c>
      <c r="Z158" s="4" t="str">
        <f t="shared" ca="1" si="50"/>
        <v/>
      </c>
      <c r="AA158" s="4" t="str">
        <f t="shared" ca="1" si="50"/>
        <v/>
      </c>
      <c r="AB158" s="4" t="str">
        <f t="shared" ca="1" si="50"/>
        <v/>
      </c>
      <c r="AC158" s="4" t="str">
        <f t="shared" ca="1" si="50"/>
        <v/>
      </c>
      <c r="AD158" s="4" t="str">
        <f t="shared" ca="1" si="50"/>
        <v/>
      </c>
      <c r="AE158" s="4" t="str">
        <f t="shared" ca="1" si="50"/>
        <v/>
      </c>
      <c r="AF158" s="4" t="str">
        <f t="shared" ca="1" si="50"/>
        <v/>
      </c>
      <c r="AG158" s="4" t="str">
        <f t="shared" ca="1" si="51"/>
        <v/>
      </c>
      <c r="AH158" s="4" t="str">
        <f t="shared" ca="1" si="51"/>
        <v/>
      </c>
      <c r="AI158" s="4" t="str">
        <f t="shared" ca="1" si="51"/>
        <v/>
      </c>
      <c r="AJ158" s="4" t="str">
        <f t="shared" ca="1" si="51"/>
        <v/>
      </c>
      <c r="AK158" s="4" t="str">
        <f t="shared" ca="1" si="51"/>
        <v/>
      </c>
      <c r="AL158" s="4" t="str">
        <f t="shared" ca="1" si="51"/>
        <v/>
      </c>
      <c r="AM158" s="4" t="str">
        <f t="shared" ca="1" si="51"/>
        <v/>
      </c>
      <c r="AN158" s="4" t="str">
        <f t="shared" ca="1" si="51"/>
        <v/>
      </c>
      <c r="AO158" s="4" t="str">
        <f t="shared" ca="1" si="51"/>
        <v/>
      </c>
      <c r="AP158" s="4" t="str">
        <f t="shared" ca="1" si="51"/>
        <v/>
      </c>
      <c r="AQ158" s="4" t="str">
        <f t="shared" ca="1" si="52"/>
        <v/>
      </c>
      <c r="AR158" s="4" t="str">
        <f t="shared" ca="1" si="52"/>
        <v/>
      </c>
      <c r="AS158" s="4" t="str">
        <f t="shared" ca="1" si="52"/>
        <v/>
      </c>
      <c r="AT158" s="4" t="str">
        <f t="shared" ca="1" si="52"/>
        <v/>
      </c>
      <c r="AU158" s="4" t="str">
        <f t="shared" ca="1" si="52"/>
        <v/>
      </c>
      <c r="AV158" s="4" t="str">
        <f t="shared" ca="1" si="52"/>
        <v/>
      </c>
      <c r="AW158" s="4" t="str">
        <f t="shared" ca="1" si="52"/>
        <v/>
      </c>
      <c r="AX158" s="4" t="str">
        <f t="shared" ca="1" si="52"/>
        <v/>
      </c>
      <c r="AY158" s="4" t="str">
        <f t="shared" ca="1" si="52"/>
        <v/>
      </c>
      <c r="AZ158" s="4" t="str">
        <f t="shared" ca="1" si="52"/>
        <v/>
      </c>
      <c r="BA158" s="4" t="str">
        <f t="shared" si="37"/>
        <v/>
      </c>
    </row>
    <row r="159" spans="1:53">
      <c r="A159">
        <v>95</v>
      </c>
      <c r="C159" s="4" t="str">
        <f t="shared" ca="1" si="48"/>
        <v/>
      </c>
      <c r="D159" s="4" t="str">
        <f t="shared" ca="1" si="48"/>
        <v/>
      </c>
      <c r="E159" s="4" t="str">
        <f t="shared" ca="1" si="48"/>
        <v/>
      </c>
      <c r="F159" s="4" t="str">
        <f t="shared" ca="1" si="48"/>
        <v/>
      </c>
      <c r="G159" s="4" t="str">
        <f t="shared" ca="1" si="48"/>
        <v/>
      </c>
      <c r="H159" s="4" t="str">
        <f t="shared" ca="1" si="48"/>
        <v/>
      </c>
      <c r="I159" s="4" t="str">
        <f t="shared" ca="1" si="48"/>
        <v/>
      </c>
      <c r="J159" s="4" t="str">
        <f t="shared" ca="1" si="48"/>
        <v/>
      </c>
      <c r="K159" s="4" t="str">
        <f t="shared" ca="1" si="48"/>
        <v/>
      </c>
      <c r="L159" s="4" t="str">
        <f t="shared" ca="1" si="48"/>
        <v/>
      </c>
      <c r="M159" s="4" t="str">
        <f t="shared" ca="1" si="49"/>
        <v/>
      </c>
      <c r="N159" s="4" t="str">
        <f t="shared" ca="1" si="49"/>
        <v/>
      </c>
      <c r="O159" s="4" t="str">
        <f t="shared" ca="1" si="49"/>
        <v/>
      </c>
      <c r="P159" s="4" t="str">
        <f t="shared" ca="1" si="49"/>
        <v/>
      </c>
      <c r="Q159" s="4" t="str">
        <f t="shared" ca="1" si="49"/>
        <v/>
      </c>
      <c r="R159" s="4" t="str">
        <f t="shared" ca="1" si="49"/>
        <v/>
      </c>
      <c r="S159" s="4" t="str">
        <f t="shared" ca="1" si="49"/>
        <v/>
      </c>
      <c r="T159" s="4" t="str">
        <f t="shared" ca="1" si="49"/>
        <v/>
      </c>
      <c r="U159" s="4" t="str">
        <f t="shared" ca="1" si="49"/>
        <v/>
      </c>
      <c r="V159" s="4" t="str">
        <f t="shared" ca="1" si="49"/>
        <v/>
      </c>
      <c r="W159" s="4" t="str">
        <f t="shared" ca="1" si="50"/>
        <v/>
      </c>
      <c r="X159" s="4" t="str">
        <f t="shared" ca="1" si="50"/>
        <v/>
      </c>
      <c r="Y159" s="4" t="str">
        <f t="shared" ca="1" si="50"/>
        <v/>
      </c>
      <c r="Z159" s="4" t="str">
        <f t="shared" ca="1" si="50"/>
        <v/>
      </c>
      <c r="AA159" s="4" t="str">
        <f t="shared" ca="1" si="50"/>
        <v/>
      </c>
      <c r="AB159" s="4" t="str">
        <f t="shared" ca="1" si="50"/>
        <v/>
      </c>
      <c r="AC159" s="4" t="str">
        <f t="shared" ca="1" si="50"/>
        <v/>
      </c>
      <c r="AD159" s="4" t="str">
        <f t="shared" ca="1" si="50"/>
        <v/>
      </c>
      <c r="AE159" s="4" t="str">
        <f t="shared" ca="1" si="50"/>
        <v/>
      </c>
      <c r="AF159" s="4" t="str">
        <f t="shared" ca="1" si="50"/>
        <v/>
      </c>
      <c r="AG159" s="4" t="str">
        <f t="shared" ca="1" si="51"/>
        <v/>
      </c>
      <c r="AH159" s="4" t="str">
        <f t="shared" ca="1" si="51"/>
        <v/>
      </c>
      <c r="AI159" s="4" t="str">
        <f t="shared" ca="1" si="51"/>
        <v/>
      </c>
      <c r="AJ159" s="4" t="str">
        <f t="shared" ca="1" si="51"/>
        <v/>
      </c>
      <c r="AK159" s="4" t="str">
        <f t="shared" ca="1" si="51"/>
        <v/>
      </c>
      <c r="AL159" s="4" t="str">
        <f t="shared" ca="1" si="51"/>
        <v/>
      </c>
      <c r="AM159" s="4" t="str">
        <f t="shared" ca="1" si="51"/>
        <v/>
      </c>
      <c r="AN159" s="4" t="str">
        <f t="shared" ca="1" si="51"/>
        <v/>
      </c>
      <c r="AO159" s="4" t="str">
        <f t="shared" ca="1" si="51"/>
        <v/>
      </c>
      <c r="AP159" s="4" t="str">
        <f t="shared" ca="1" si="51"/>
        <v/>
      </c>
      <c r="AQ159" s="4" t="str">
        <f t="shared" ca="1" si="52"/>
        <v/>
      </c>
      <c r="AR159" s="4" t="str">
        <f t="shared" ca="1" si="52"/>
        <v/>
      </c>
      <c r="AS159" s="4" t="str">
        <f t="shared" ca="1" si="52"/>
        <v/>
      </c>
      <c r="AT159" s="4" t="str">
        <f t="shared" ca="1" si="52"/>
        <v/>
      </c>
      <c r="AU159" s="4" t="str">
        <f t="shared" ca="1" si="52"/>
        <v/>
      </c>
      <c r="AV159" s="4" t="str">
        <f t="shared" ca="1" si="52"/>
        <v/>
      </c>
      <c r="AW159" s="4" t="str">
        <f t="shared" ca="1" si="52"/>
        <v/>
      </c>
      <c r="AX159" s="4" t="str">
        <f t="shared" ca="1" si="52"/>
        <v/>
      </c>
      <c r="AY159" s="4" t="str">
        <f t="shared" ca="1" si="52"/>
        <v/>
      </c>
      <c r="AZ159" s="4" t="str">
        <f t="shared" ca="1" si="52"/>
        <v/>
      </c>
      <c r="BA159" s="4" t="str">
        <f t="shared" si="37"/>
        <v/>
      </c>
    </row>
    <row r="160" spans="1:53">
      <c r="A160">
        <v>96</v>
      </c>
      <c r="C160" s="4" t="str">
        <f t="shared" ca="1" si="48"/>
        <v/>
      </c>
      <c r="D160" s="4" t="str">
        <f t="shared" ca="1" si="48"/>
        <v/>
      </c>
      <c r="E160" s="4" t="str">
        <f t="shared" ca="1" si="48"/>
        <v/>
      </c>
      <c r="F160" s="4" t="str">
        <f t="shared" ca="1" si="48"/>
        <v/>
      </c>
      <c r="G160" s="4" t="str">
        <f t="shared" ca="1" si="48"/>
        <v/>
      </c>
      <c r="H160" s="4" t="str">
        <f t="shared" ca="1" si="48"/>
        <v/>
      </c>
      <c r="I160" s="4" t="str">
        <f t="shared" ca="1" si="48"/>
        <v/>
      </c>
      <c r="J160" s="4" t="str">
        <f t="shared" ca="1" si="48"/>
        <v/>
      </c>
      <c r="K160" s="4" t="str">
        <f t="shared" ca="1" si="48"/>
        <v/>
      </c>
      <c r="L160" s="4" t="str">
        <f t="shared" ca="1" si="48"/>
        <v/>
      </c>
      <c r="M160" s="4" t="str">
        <f t="shared" ca="1" si="49"/>
        <v/>
      </c>
      <c r="N160" s="4" t="str">
        <f t="shared" ca="1" si="49"/>
        <v/>
      </c>
      <c r="O160" s="4" t="str">
        <f t="shared" ca="1" si="49"/>
        <v/>
      </c>
      <c r="P160" s="4" t="str">
        <f t="shared" ca="1" si="49"/>
        <v/>
      </c>
      <c r="Q160" s="4" t="str">
        <f t="shared" ca="1" si="49"/>
        <v/>
      </c>
      <c r="R160" s="4" t="str">
        <f t="shared" ca="1" si="49"/>
        <v/>
      </c>
      <c r="S160" s="4" t="str">
        <f t="shared" ca="1" si="49"/>
        <v/>
      </c>
      <c r="T160" s="4" t="str">
        <f t="shared" ca="1" si="49"/>
        <v/>
      </c>
      <c r="U160" s="4" t="str">
        <f t="shared" ca="1" si="49"/>
        <v/>
      </c>
      <c r="V160" s="4" t="str">
        <f t="shared" ca="1" si="49"/>
        <v/>
      </c>
      <c r="W160" s="4" t="str">
        <f t="shared" ca="1" si="50"/>
        <v/>
      </c>
      <c r="X160" s="4" t="str">
        <f t="shared" ca="1" si="50"/>
        <v/>
      </c>
      <c r="Y160" s="4" t="str">
        <f t="shared" ca="1" si="50"/>
        <v/>
      </c>
      <c r="Z160" s="4" t="str">
        <f t="shared" ca="1" si="50"/>
        <v/>
      </c>
      <c r="AA160" s="4" t="str">
        <f t="shared" ca="1" si="50"/>
        <v/>
      </c>
      <c r="AB160" s="4" t="str">
        <f t="shared" ca="1" si="50"/>
        <v/>
      </c>
      <c r="AC160" s="4" t="str">
        <f t="shared" ca="1" si="50"/>
        <v/>
      </c>
      <c r="AD160" s="4" t="str">
        <f t="shared" ca="1" si="50"/>
        <v/>
      </c>
      <c r="AE160" s="4" t="str">
        <f t="shared" ca="1" si="50"/>
        <v/>
      </c>
      <c r="AF160" s="4" t="str">
        <f t="shared" ca="1" si="50"/>
        <v/>
      </c>
      <c r="AG160" s="4" t="str">
        <f t="shared" ca="1" si="51"/>
        <v/>
      </c>
      <c r="AH160" s="4" t="str">
        <f t="shared" ca="1" si="51"/>
        <v/>
      </c>
      <c r="AI160" s="4" t="str">
        <f t="shared" ca="1" si="51"/>
        <v/>
      </c>
      <c r="AJ160" s="4" t="str">
        <f t="shared" ca="1" si="51"/>
        <v/>
      </c>
      <c r="AK160" s="4" t="str">
        <f t="shared" ca="1" si="51"/>
        <v/>
      </c>
      <c r="AL160" s="4" t="str">
        <f t="shared" ca="1" si="51"/>
        <v/>
      </c>
      <c r="AM160" s="4" t="str">
        <f t="shared" ca="1" si="51"/>
        <v/>
      </c>
      <c r="AN160" s="4" t="str">
        <f t="shared" ca="1" si="51"/>
        <v/>
      </c>
      <c r="AO160" s="4" t="str">
        <f t="shared" ca="1" si="51"/>
        <v/>
      </c>
      <c r="AP160" s="4" t="str">
        <f t="shared" ca="1" si="51"/>
        <v/>
      </c>
      <c r="AQ160" s="4" t="str">
        <f t="shared" ca="1" si="52"/>
        <v/>
      </c>
      <c r="AR160" s="4" t="str">
        <f t="shared" ca="1" si="52"/>
        <v/>
      </c>
      <c r="AS160" s="4" t="str">
        <f t="shared" ca="1" si="52"/>
        <v/>
      </c>
      <c r="AT160" s="4" t="str">
        <f t="shared" ca="1" si="52"/>
        <v/>
      </c>
      <c r="AU160" s="4" t="str">
        <f t="shared" ca="1" si="52"/>
        <v/>
      </c>
      <c r="AV160" s="4" t="str">
        <f t="shared" ca="1" si="52"/>
        <v/>
      </c>
      <c r="AW160" s="4" t="str">
        <f t="shared" ca="1" si="52"/>
        <v/>
      </c>
      <c r="AX160" s="4" t="str">
        <f t="shared" ca="1" si="52"/>
        <v/>
      </c>
      <c r="AY160" s="4" t="str">
        <f t="shared" ca="1" si="52"/>
        <v/>
      </c>
      <c r="AZ160" s="4" t="str">
        <f t="shared" ca="1" si="52"/>
        <v/>
      </c>
      <c r="BA160" s="4" t="str">
        <f t="shared" si="37"/>
        <v/>
      </c>
    </row>
    <row r="161" spans="1:53">
      <c r="A161">
        <v>97</v>
      </c>
      <c r="C161" s="4" t="str">
        <f t="shared" ca="1" si="48"/>
        <v/>
      </c>
      <c r="D161" s="4" t="str">
        <f t="shared" ca="1" si="48"/>
        <v/>
      </c>
      <c r="E161" s="4" t="str">
        <f t="shared" ca="1" si="48"/>
        <v/>
      </c>
      <c r="F161" s="4" t="str">
        <f t="shared" ca="1" si="48"/>
        <v/>
      </c>
      <c r="G161" s="4" t="str">
        <f t="shared" ca="1" si="48"/>
        <v/>
      </c>
      <c r="H161" s="4" t="str">
        <f t="shared" ca="1" si="48"/>
        <v/>
      </c>
      <c r="I161" s="4" t="str">
        <f t="shared" ca="1" si="48"/>
        <v/>
      </c>
      <c r="J161" s="4" t="str">
        <f t="shared" ca="1" si="48"/>
        <v/>
      </c>
      <c r="K161" s="4" t="str">
        <f t="shared" ca="1" si="48"/>
        <v/>
      </c>
      <c r="L161" s="4" t="str">
        <f t="shared" ca="1" si="48"/>
        <v/>
      </c>
      <c r="M161" s="4" t="str">
        <f t="shared" ca="1" si="49"/>
        <v/>
      </c>
      <c r="N161" s="4" t="str">
        <f t="shared" ca="1" si="49"/>
        <v/>
      </c>
      <c r="O161" s="4" t="str">
        <f t="shared" ca="1" si="49"/>
        <v/>
      </c>
      <c r="P161" s="4" t="str">
        <f t="shared" ca="1" si="49"/>
        <v/>
      </c>
      <c r="Q161" s="4" t="str">
        <f t="shared" ca="1" si="49"/>
        <v/>
      </c>
      <c r="R161" s="4" t="str">
        <f t="shared" ca="1" si="49"/>
        <v/>
      </c>
      <c r="S161" s="4" t="str">
        <f t="shared" ca="1" si="49"/>
        <v/>
      </c>
      <c r="T161" s="4" t="str">
        <f t="shared" ca="1" si="49"/>
        <v/>
      </c>
      <c r="U161" s="4" t="str">
        <f t="shared" ca="1" si="49"/>
        <v/>
      </c>
      <c r="V161" s="4" t="str">
        <f t="shared" ca="1" si="49"/>
        <v/>
      </c>
      <c r="W161" s="4" t="str">
        <f t="shared" ca="1" si="50"/>
        <v/>
      </c>
      <c r="X161" s="4" t="str">
        <f t="shared" ca="1" si="50"/>
        <v/>
      </c>
      <c r="Y161" s="4" t="str">
        <f t="shared" ca="1" si="50"/>
        <v/>
      </c>
      <c r="Z161" s="4" t="str">
        <f t="shared" ca="1" si="50"/>
        <v/>
      </c>
      <c r="AA161" s="4" t="str">
        <f t="shared" ca="1" si="50"/>
        <v/>
      </c>
      <c r="AB161" s="4" t="str">
        <f t="shared" ca="1" si="50"/>
        <v/>
      </c>
      <c r="AC161" s="4" t="str">
        <f t="shared" ca="1" si="50"/>
        <v/>
      </c>
      <c r="AD161" s="4" t="str">
        <f t="shared" ca="1" si="50"/>
        <v/>
      </c>
      <c r="AE161" s="4" t="str">
        <f t="shared" ca="1" si="50"/>
        <v/>
      </c>
      <c r="AF161" s="4" t="str">
        <f t="shared" ca="1" si="50"/>
        <v/>
      </c>
      <c r="AG161" s="4" t="str">
        <f t="shared" ca="1" si="51"/>
        <v/>
      </c>
      <c r="AH161" s="4" t="str">
        <f t="shared" ca="1" si="51"/>
        <v/>
      </c>
      <c r="AI161" s="4" t="str">
        <f t="shared" ca="1" si="51"/>
        <v/>
      </c>
      <c r="AJ161" s="4" t="str">
        <f t="shared" ca="1" si="51"/>
        <v/>
      </c>
      <c r="AK161" s="4" t="str">
        <f t="shared" ca="1" si="51"/>
        <v/>
      </c>
      <c r="AL161" s="4" t="str">
        <f t="shared" ca="1" si="51"/>
        <v/>
      </c>
      <c r="AM161" s="4" t="str">
        <f t="shared" ca="1" si="51"/>
        <v/>
      </c>
      <c r="AN161" s="4" t="str">
        <f t="shared" ca="1" si="51"/>
        <v/>
      </c>
      <c r="AO161" s="4" t="str">
        <f t="shared" ca="1" si="51"/>
        <v/>
      </c>
      <c r="AP161" s="4" t="str">
        <f t="shared" ca="1" si="51"/>
        <v/>
      </c>
      <c r="AQ161" s="4" t="str">
        <f t="shared" ca="1" si="52"/>
        <v/>
      </c>
      <c r="AR161" s="4" t="str">
        <f t="shared" ca="1" si="52"/>
        <v/>
      </c>
      <c r="AS161" s="4" t="str">
        <f t="shared" ca="1" si="52"/>
        <v/>
      </c>
      <c r="AT161" s="4" t="str">
        <f t="shared" ca="1" si="52"/>
        <v/>
      </c>
      <c r="AU161" s="4" t="str">
        <f t="shared" ca="1" si="52"/>
        <v/>
      </c>
      <c r="AV161" s="4" t="str">
        <f t="shared" ca="1" si="52"/>
        <v/>
      </c>
      <c r="AW161" s="4" t="str">
        <f t="shared" ca="1" si="52"/>
        <v/>
      </c>
      <c r="AX161" s="4" t="str">
        <f t="shared" ca="1" si="52"/>
        <v/>
      </c>
      <c r="AY161" s="4" t="str">
        <f t="shared" ca="1" si="52"/>
        <v/>
      </c>
      <c r="AZ161" s="4" t="str">
        <f t="shared" ca="1" si="52"/>
        <v/>
      </c>
      <c r="BA161" s="4" t="str">
        <f t="shared" ref="BA161:BA192" si="53">IF($E$3=0,"",AVERAGE(C161:AZ161))</f>
        <v/>
      </c>
    </row>
    <row r="162" spans="1:53">
      <c r="A162">
        <v>98</v>
      </c>
      <c r="C162" s="4" t="str">
        <f t="shared" ca="1" si="48"/>
        <v/>
      </c>
      <c r="D162" s="4" t="str">
        <f t="shared" ca="1" si="48"/>
        <v/>
      </c>
      <c r="E162" s="4" t="str">
        <f t="shared" ca="1" si="48"/>
        <v/>
      </c>
      <c r="F162" s="4" t="str">
        <f t="shared" ca="1" si="48"/>
        <v/>
      </c>
      <c r="G162" s="4" t="str">
        <f t="shared" ca="1" si="48"/>
        <v/>
      </c>
      <c r="H162" s="4" t="str">
        <f t="shared" ca="1" si="48"/>
        <v/>
      </c>
      <c r="I162" s="4" t="str">
        <f t="shared" ca="1" si="48"/>
        <v/>
      </c>
      <c r="J162" s="4" t="str">
        <f t="shared" ca="1" si="48"/>
        <v/>
      </c>
      <c r="K162" s="4" t="str">
        <f t="shared" ca="1" si="48"/>
        <v/>
      </c>
      <c r="L162" s="4" t="str">
        <f t="shared" ca="1" si="48"/>
        <v/>
      </c>
      <c r="M162" s="4" t="str">
        <f t="shared" ca="1" si="49"/>
        <v/>
      </c>
      <c r="N162" s="4" t="str">
        <f t="shared" ca="1" si="49"/>
        <v/>
      </c>
      <c r="O162" s="4" t="str">
        <f t="shared" ca="1" si="49"/>
        <v/>
      </c>
      <c r="P162" s="4" t="str">
        <f t="shared" ca="1" si="49"/>
        <v/>
      </c>
      <c r="Q162" s="4" t="str">
        <f t="shared" ca="1" si="49"/>
        <v/>
      </c>
      <c r="R162" s="4" t="str">
        <f t="shared" ca="1" si="49"/>
        <v/>
      </c>
      <c r="S162" s="4" t="str">
        <f t="shared" ca="1" si="49"/>
        <v/>
      </c>
      <c r="T162" s="4" t="str">
        <f t="shared" ca="1" si="49"/>
        <v/>
      </c>
      <c r="U162" s="4" t="str">
        <f t="shared" ca="1" si="49"/>
        <v/>
      </c>
      <c r="V162" s="4" t="str">
        <f t="shared" ca="1" si="49"/>
        <v/>
      </c>
      <c r="W162" s="4" t="str">
        <f t="shared" ca="1" si="50"/>
        <v/>
      </c>
      <c r="X162" s="4" t="str">
        <f t="shared" ca="1" si="50"/>
        <v/>
      </c>
      <c r="Y162" s="4" t="str">
        <f t="shared" ca="1" si="50"/>
        <v/>
      </c>
      <c r="Z162" s="4" t="str">
        <f t="shared" ca="1" si="50"/>
        <v/>
      </c>
      <c r="AA162" s="4" t="str">
        <f t="shared" ca="1" si="50"/>
        <v/>
      </c>
      <c r="AB162" s="4" t="str">
        <f t="shared" ca="1" si="50"/>
        <v/>
      </c>
      <c r="AC162" s="4" t="str">
        <f t="shared" ca="1" si="50"/>
        <v/>
      </c>
      <c r="AD162" s="4" t="str">
        <f t="shared" ca="1" si="50"/>
        <v/>
      </c>
      <c r="AE162" s="4" t="str">
        <f t="shared" ca="1" si="50"/>
        <v/>
      </c>
      <c r="AF162" s="4" t="str">
        <f t="shared" ca="1" si="50"/>
        <v/>
      </c>
      <c r="AG162" s="4" t="str">
        <f t="shared" ca="1" si="51"/>
        <v/>
      </c>
      <c r="AH162" s="4" t="str">
        <f t="shared" ca="1" si="51"/>
        <v/>
      </c>
      <c r="AI162" s="4" t="str">
        <f t="shared" ca="1" si="51"/>
        <v/>
      </c>
      <c r="AJ162" s="4" t="str">
        <f t="shared" ca="1" si="51"/>
        <v/>
      </c>
      <c r="AK162" s="4" t="str">
        <f t="shared" ca="1" si="51"/>
        <v/>
      </c>
      <c r="AL162" s="4" t="str">
        <f t="shared" ca="1" si="51"/>
        <v/>
      </c>
      <c r="AM162" s="4" t="str">
        <f t="shared" ca="1" si="51"/>
        <v/>
      </c>
      <c r="AN162" s="4" t="str">
        <f t="shared" ca="1" si="51"/>
        <v/>
      </c>
      <c r="AO162" s="4" t="str">
        <f t="shared" ca="1" si="51"/>
        <v/>
      </c>
      <c r="AP162" s="4" t="str">
        <f t="shared" ca="1" si="51"/>
        <v/>
      </c>
      <c r="AQ162" s="4" t="str">
        <f t="shared" ca="1" si="52"/>
        <v/>
      </c>
      <c r="AR162" s="4" t="str">
        <f t="shared" ca="1" si="52"/>
        <v/>
      </c>
      <c r="AS162" s="4" t="str">
        <f t="shared" ca="1" si="52"/>
        <v/>
      </c>
      <c r="AT162" s="4" t="str">
        <f t="shared" ca="1" si="52"/>
        <v/>
      </c>
      <c r="AU162" s="4" t="str">
        <f t="shared" ca="1" si="52"/>
        <v/>
      </c>
      <c r="AV162" s="4" t="str">
        <f t="shared" ca="1" si="52"/>
        <v/>
      </c>
      <c r="AW162" s="4" t="str">
        <f t="shared" ca="1" si="52"/>
        <v/>
      </c>
      <c r="AX162" s="4" t="str">
        <f t="shared" ca="1" si="52"/>
        <v/>
      </c>
      <c r="AY162" s="4" t="str">
        <f t="shared" ca="1" si="52"/>
        <v/>
      </c>
      <c r="AZ162" s="4" t="str">
        <f t="shared" ca="1" si="52"/>
        <v/>
      </c>
      <c r="BA162" s="4" t="str">
        <f t="shared" si="53"/>
        <v/>
      </c>
    </row>
    <row r="163" spans="1:53">
      <c r="A163">
        <v>99</v>
      </c>
      <c r="C163" s="4" t="str">
        <f t="shared" ca="1" si="48"/>
        <v/>
      </c>
      <c r="D163" s="4" t="str">
        <f t="shared" ca="1" si="48"/>
        <v/>
      </c>
      <c r="E163" s="4" t="str">
        <f t="shared" ca="1" si="48"/>
        <v/>
      </c>
      <c r="F163" s="4" t="str">
        <f t="shared" ca="1" si="48"/>
        <v/>
      </c>
      <c r="G163" s="4" t="str">
        <f t="shared" ca="1" si="48"/>
        <v/>
      </c>
      <c r="H163" s="4" t="str">
        <f t="shared" ca="1" si="48"/>
        <v/>
      </c>
      <c r="I163" s="4" t="str">
        <f t="shared" ca="1" si="48"/>
        <v/>
      </c>
      <c r="J163" s="4" t="str">
        <f t="shared" ca="1" si="48"/>
        <v/>
      </c>
      <c r="K163" s="4" t="str">
        <f t="shared" ca="1" si="48"/>
        <v/>
      </c>
      <c r="L163" s="4" t="str">
        <f t="shared" ca="1" si="48"/>
        <v/>
      </c>
      <c r="M163" s="4" t="str">
        <f t="shared" ca="1" si="49"/>
        <v/>
      </c>
      <c r="N163" s="4" t="str">
        <f t="shared" ca="1" si="49"/>
        <v/>
      </c>
      <c r="O163" s="4" t="str">
        <f t="shared" ca="1" si="49"/>
        <v/>
      </c>
      <c r="P163" s="4" t="str">
        <f t="shared" ca="1" si="49"/>
        <v/>
      </c>
      <c r="Q163" s="4" t="str">
        <f t="shared" ca="1" si="49"/>
        <v/>
      </c>
      <c r="R163" s="4" t="str">
        <f t="shared" ca="1" si="49"/>
        <v/>
      </c>
      <c r="S163" s="4" t="str">
        <f t="shared" ca="1" si="49"/>
        <v/>
      </c>
      <c r="T163" s="4" t="str">
        <f t="shared" ca="1" si="49"/>
        <v/>
      </c>
      <c r="U163" s="4" t="str">
        <f t="shared" ca="1" si="49"/>
        <v/>
      </c>
      <c r="V163" s="4" t="str">
        <f t="shared" ca="1" si="49"/>
        <v/>
      </c>
      <c r="W163" s="4" t="str">
        <f t="shared" ca="1" si="50"/>
        <v/>
      </c>
      <c r="X163" s="4" t="str">
        <f t="shared" ca="1" si="50"/>
        <v/>
      </c>
      <c r="Y163" s="4" t="str">
        <f t="shared" ca="1" si="50"/>
        <v/>
      </c>
      <c r="Z163" s="4" t="str">
        <f t="shared" ca="1" si="50"/>
        <v/>
      </c>
      <c r="AA163" s="4" t="str">
        <f t="shared" ca="1" si="50"/>
        <v/>
      </c>
      <c r="AB163" s="4" t="str">
        <f t="shared" ca="1" si="50"/>
        <v/>
      </c>
      <c r="AC163" s="4" t="str">
        <f t="shared" ca="1" si="50"/>
        <v/>
      </c>
      <c r="AD163" s="4" t="str">
        <f t="shared" ca="1" si="50"/>
        <v/>
      </c>
      <c r="AE163" s="4" t="str">
        <f t="shared" ca="1" si="50"/>
        <v/>
      </c>
      <c r="AF163" s="4" t="str">
        <f t="shared" ca="1" si="50"/>
        <v/>
      </c>
      <c r="AG163" s="4" t="str">
        <f t="shared" ca="1" si="51"/>
        <v/>
      </c>
      <c r="AH163" s="4" t="str">
        <f t="shared" ca="1" si="51"/>
        <v/>
      </c>
      <c r="AI163" s="4" t="str">
        <f t="shared" ca="1" si="51"/>
        <v/>
      </c>
      <c r="AJ163" s="4" t="str">
        <f t="shared" ca="1" si="51"/>
        <v/>
      </c>
      <c r="AK163" s="4" t="str">
        <f t="shared" ca="1" si="51"/>
        <v/>
      </c>
      <c r="AL163" s="4" t="str">
        <f t="shared" ca="1" si="51"/>
        <v/>
      </c>
      <c r="AM163" s="4" t="str">
        <f t="shared" ca="1" si="51"/>
        <v/>
      </c>
      <c r="AN163" s="4" t="str">
        <f t="shared" ca="1" si="51"/>
        <v/>
      </c>
      <c r="AO163" s="4" t="str">
        <f t="shared" ca="1" si="51"/>
        <v/>
      </c>
      <c r="AP163" s="4" t="str">
        <f t="shared" ca="1" si="51"/>
        <v/>
      </c>
      <c r="AQ163" s="4" t="str">
        <f t="shared" ca="1" si="52"/>
        <v/>
      </c>
      <c r="AR163" s="4" t="str">
        <f t="shared" ca="1" si="52"/>
        <v/>
      </c>
      <c r="AS163" s="4" t="str">
        <f t="shared" ca="1" si="52"/>
        <v/>
      </c>
      <c r="AT163" s="4" t="str">
        <f t="shared" ca="1" si="52"/>
        <v/>
      </c>
      <c r="AU163" s="4" t="str">
        <f t="shared" ca="1" si="52"/>
        <v/>
      </c>
      <c r="AV163" s="4" t="str">
        <f t="shared" ca="1" si="52"/>
        <v/>
      </c>
      <c r="AW163" s="4" t="str">
        <f t="shared" ca="1" si="52"/>
        <v/>
      </c>
      <c r="AX163" s="4" t="str">
        <f t="shared" ca="1" si="52"/>
        <v/>
      </c>
      <c r="AY163" s="4" t="str">
        <f t="shared" ca="1" si="52"/>
        <v/>
      </c>
      <c r="AZ163" s="4" t="str">
        <f t="shared" ca="1" si="52"/>
        <v/>
      </c>
      <c r="BA163" s="4" t="str">
        <f t="shared" si="53"/>
        <v/>
      </c>
    </row>
    <row r="164" spans="1:53">
      <c r="A164">
        <v>100</v>
      </c>
      <c r="C164" s="4" t="str">
        <f t="shared" ca="1" si="48"/>
        <v/>
      </c>
      <c r="D164" s="4" t="str">
        <f t="shared" ca="1" si="48"/>
        <v/>
      </c>
      <c r="E164" s="4" t="str">
        <f t="shared" ca="1" si="48"/>
        <v/>
      </c>
      <c r="F164" s="4" t="str">
        <f t="shared" ca="1" si="48"/>
        <v/>
      </c>
      <c r="G164" s="4" t="str">
        <f t="shared" ca="1" si="48"/>
        <v/>
      </c>
      <c r="H164" s="4" t="str">
        <f t="shared" ca="1" si="48"/>
        <v/>
      </c>
      <c r="I164" s="4" t="str">
        <f t="shared" ca="1" si="48"/>
        <v/>
      </c>
      <c r="J164" s="4" t="str">
        <f t="shared" ca="1" si="48"/>
        <v/>
      </c>
      <c r="K164" s="4" t="str">
        <f t="shared" ca="1" si="48"/>
        <v/>
      </c>
      <c r="L164" s="4" t="str">
        <f t="shared" ca="1" si="48"/>
        <v/>
      </c>
      <c r="M164" s="4" t="str">
        <f t="shared" ca="1" si="49"/>
        <v/>
      </c>
      <c r="N164" s="4" t="str">
        <f t="shared" ca="1" si="49"/>
        <v/>
      </c>
      <c r="O164" s="4" t="str">
        <f t="shared" ca="1" si="49"/>
        <v/>
      </c>
      <c r="P164" s="4" t="str">
        <f t="shared" ca="1" si="49"/>
        <v/>
      </c>
      <c r="Q164" s="4" t="str">
        <f t="shared" ca="1" si="49"/>
        <v/>
      </c>
      <c r="R164" s="4" t="str">
        <f t="shared" ca="1" si="49"/>
        <v/>
      </c>
      <c r="S164" s="4" t="str">
        <f t="shared" ca="1" si="49"/>
        <v/>
      </c>
      <c r="T164" s="4" t="str">
        <f t="shared" ca="1" si="49"/>
        <v/>
      </c>
      <c r="U164" s="4" t="str">
        <f t="shared" ca="1" si="49"/>
        <v/>
      </c>
      <c r="V164" s="4" t="str">
        <f t="shared" ca="1" si="49"/>
        <v/>
      </c>
      <c r="W164" s="4" t="str">
        <f t="shared" ca="1" si="50"/>
        <v/>
      </c>
      <c r="X164" s="4" t="str">
        <f t="shared" ca="1" si="50"/>
        <v/>
      </c>
      <c r="Y164" s="4" t="str">
        <f t="shared" ca="1" si="50"/>
        <v/>
      </c>
      <c r="Z164" s="4" t="str">
        <f t="shared" ca="1" si="50"/>
        <v/>
      </c>
      <c r="AA164" s="4" t="str">
        <f t="shared" ca="1" si="50"/>
        <v/>
      </c>
      <c r="AB164" s="4" t="str">
        <f t="shared" ca="1" si="50"/>
        <v/>
      </c>
      <c r="AC164" s="4" t="str">
        <f t="shared" ca="1" si="50"/>
        <v/>
      </c>
      <c r="AD164" s="4" t="str">
        <f t="shared" ca="1" si="50"/>
        <v/>
      </c>
      <c r="AE164" s="4" t="str">
        <f t="shared" ca="1" si="50"/>
        <v/>
      </c>
      <c r="AF164" s="4" t="str">
        <f t="shared" ca="1" si="50"/>
        <v/>
      </c>
      <c r="AG164" s="4" t="str">
        <f t="shared" ca="1" si="51"/>
        <v/>
      </c>
      <c r="AH164" s="4" t="str">
        <f t="shared" ca="1" si="51"/>
        <v/>
      </c>
      <c r="AI164" s="4" t="str">
        <f t="shared" ca="1" si="51"/>
        <v/>
      </c>
      <c r="AJ164" s="4" t="str">
        <f t="shared" ca="1" si="51"/>
        <v/>
      </c>
      <c r="AK164" s="4" t="str">
        <f t="shared" ca="1" si="51"/>
        <v/>
      </c>
      <c r="AL164" s="4" t="str">
        <f t="shared" ca="1" si="51"/>
        <v/>
      </c>
      <c r="AM164" s="4" t="str">
        <f t="shared" ca="1" si="51"/>
        <v/>
      </c>
      <c r="AN164" s="4" t="str">
        <f t="shared" ca="1" si="51"/>
        <v/>
      </c>
      <c r="AO164" s="4" t="str">
        <f t="shared" ca="1" si="51"/>
        <v/>
      </c>
      <c r="AP164" s="4" t="str">
        <f t="shared" ca="1" si="51"/>
        <v/>
      </c>
      <c r="AQ164" s="4" t="str">
        <f t="shared" ca="1" si="52"/>
        <v/>
      </c>
      <c r="AR164" s="4" t="str">
        <f t="shared" ca="1" si="52"/>
        <v/>
      </c>
      <c r="AS164" s="4" t="str">
        <f t="shared" ca="1" si="52"/>
        <v/>
      </c>
      <c r="AT164" s="4" t="str">
        <f t="shared" ca="1" si="52"/>
        <v/>
      </c>
      <c r="AU164" s="4" t="str">
        <f t="shared" ca="1" si="52"/>
        <v/>
      </c>
      <c r="AV164" s="4" t="str">
        <f t="shared" ca="1" si="52"/>
        <v/>
      </c>
      <c r="AW164" s="4" t="str">
        <f t="shared" ca="1" si="52"/>
        <v/>
      </c>
      <c r="AX164" s="4" t="str">
        <f t="shared" ca="1" si="52"/>
        <v/>
      </c>
      <c r="AY164" s="4" t="str">
        <f t="shared" ca="1" si="52"/>
        <v/>
      </c>
      <c r="AZ164" s="4" t="str">
        <f t="shared" ca="1" si="52"/>
        <v/>
      </c>
      <c r="BA164" s="4" t="str">
        <f t="shared" si="53"/>
        <v/>
      </c>
    </row>
    <row r="165" spans="1:53">
      <c r="A165">
        <v>101</v>
      </c>
      <c r="C165" s="4" t="str">
        <f t="shared" ref="C165:L174" ca="1" si="54">IF(COLUMN()-2&lt;=$E$3,INDEX($B$10:$B$59,RANDBETWEEN(1,$E$3)),"")</f>
        <v/>
      </c>
      <c r="D165" s="4" t="str">
        <f t="shared" ca="1" si="54"/>
        <v/>
      </c>
      <c r="E165" s="4" t="str">
        <f t="shared" ca="1" si="54"/>
        <v/>
      </c>
      <c r="F165" s="4" t="str">
        <f t="shared" ca="1" si="54"/>
        <v/>
      </c>
      <c r="G165" s="4" t="str">
        <f t="shared" ca="1" si="54"/>
        <v/>
      </c>
      <c r="H165" s="4" t="str">
        <f t="shared" ca="1" si="54"/>
        <v/>
      </c>
      <c r="I165" s="4" t="str">
        <f t="shared" ca="1" si="54"/>
        <v/>
      </c>
      <c r="J165" s="4" t="str">
        <f t="shared" ca="1" si="54"/>
        <v/>
      </c>
      <c r="K165" s="4" t="str">
        <f t="shared" ca="1" si="54"/>
        <v/>
      </c>
      <c r="L165" s="4" t="str">
        <f t="shared" ca="1" si="54"/>
        <v/>
      </c>
      <c r="M165" s="4" t="str">
        <f t="shared" ref="M165:V174" ca="1" si="55">IF(COLUMN()-2&lt;=$E$3,INDEX($B$10:$B$59,RANDBETWEEN(1,$E$3)),"")</f>
        <v/>
      </c>
      <c r="N165" s="4" t="str">
        <f t="shared" ca="1" si="55"/>
        <v/>
      </c>
      <c r="O165" s="4" t="str">
        <f t="shared" ca="1" si="55"/>
        <v/>
      </c>
      <c r="P165" s="4" t="str">
        <f t="shared" ca="1" si="55"/>
        <v/>
      </c>
      <c r="Q165" s="4" t="str">
        <f t="shared" ca="1" si="55"/>
        <v/>
      </c>
      <c r="R165" s="4" t="str">
        <f t="shared" ca="1" si="55"/>
        <v/>
      </c>
      <c r="S165" s="4" t="str">
        <f t="shared" ca="1" si="55"/>
        <v/>
      </c>
      <c r="T165" s="4" t="str">
        <f t="shared" ca="1" si="55"/>
        <v/>
      </c>
      <c r="U165" s="4" t="str">
        <f t="shared" ca="1" si="55"/>
        <v/>
      </c>
      <c r="V165" s="4" t="str">
        <f t="shared" ca="1" si="55"/>
        <v/>
      </c>
      <c r="W165" s="4" t="str">
        <f t="shared" ref="W165:AF174" ca="1" si="56">IF(COLUMN()-2&lt;=$E$3,INDEX($B$10:$B$59,RANDBETWEEN(1,$E$3)),"")</f>
        <v/>
      </c>
      <c r="X165" s="4" t="str">
        <f t="shared" ca="1" si="56"/>
        <v/>
      </c>
      <c r="Y165" s="4" t="str">
        <f t="shared" ca="1" si="56"/>
        <v/>
      </c>
      <c r="Z165" s="4" t="str">
        <f t="shared" ca="1" si="56"/>
        <v/>
      </c>
      <c r="AA165" s="4" t="str">
        <f t="shared" ca="1" si="56"/>
        <v/>
      </c>
      <c r="AB165" s="4" t="str">
        <f t="shared" ca="1" si="56"/>
        <v/>
      </c>
      <c r="AC165" s="4" t="str">
        <f t="shared" ca="1" si="56"/>
        <v/>
      </c>
      <c r="AD165" s="4" t="str">
        <f t="shared" ca="1" si="56"/>
        <v/>
      </c>
      <c r="AE165" s="4" t="str">
        <f t="shared" ca="1" si="56"/>
        <v/>
      </c>
      <c r="AF165" s="4" t="str">
        <f t="shared" ca="1" si="56"/>
        <v/>
      </c>
      <c r="AG165" s="4" t="str">
        <f t="shared" ref="AG165:AP174" ca="1" si="57">IF(COLUMN()-2&lt;=$E$3,INDEX($B$10:$B$59,RANDBETWEEN(1,$E$3)),"")</f>
        <v/>
      </c>
      <c r="AH165" s="4" t="str">
        <f t="shared" ca="1" si="57"/>
        <v/>
      </c>
      <c r="AI165" s="4" t="str">
        <f t="shared" ca="1" si="57"/>
        <v/>
      </c>
      <c r="AJ165" s="4" t="str">
        <f t="shared" ca="1" si="57"/>
        <v/>
      </c>
      <c r="AK165" s="4" t="str">
        <f t="shared" ca="1" si="57"/>
        <v/>
      </c>
      <c r="AL165" s="4" t="str">
        <f t="shared" ca="1" si="57"/>
        <v/>
      </c>
      <c r="AM165" s="4" t="str">
        <f t="shared" ca="1" si="57"/>
        <v/>
      </c>
      <c r="AN165" s="4" t="str">
        <f t="shared" ca="1" si="57"/>
        <v/>
      </c>
      <c r="AO165" s="4" t="str">
        <f t="shared" ca="1" si="57"/>
        <v/>
      </c>
      <c r="AP165" s="4" t="str">
        <f t="shared" ca="1" si="57"/>
        <v/>
      </c>
      <c r="AQ165" s="4" t="str">
        <f t="shared" ref="AQ165:AZ174" ca="1" si="58">IF(COLUMN()-2&lt;=$E$3,INDEX($B$10:$B$59,RANDBETWEEN(1,$E$3)),"")</f>
        <v/>
      </c>
      <c r="AR165" s="4" t="str">
        <f t="shared" ca="1" si="58"/>
        <v/>
      </c>
      <c r="AS165" s="4" t="str">
        <f t="shared" ca="1" si="58"/>
        <v/>
      </c>
      <c r="AT165" s="4" t="str">
        <f t="shared" ca="1" si="58"/>
        <v/>
      </c>
      <c r="AU165" s="4" t="str">
        <f t="shared" ca="1" si="58"/>
        <v/>
      </c>
      <c r="AV165" s="4" t="str">
        <f t="shared" ca="1" si="58"/>
        <v/>
      </c>
      <c r="AW165" s="4" t="str">
        <f t="shared" ca="1" si="58"/>
        <v/>
      </c>
      <c r="AX165" s="4" t="str">
        <f t="shared" ca="1" si="58"/>
        <v/>
      </c>
      <c r="AY165" s="4" t="str">
        <f t="shared" ca="1" si="58"/>
        <v/>
      </c>
      <c r="AZ165" s="4" t="str">
        <f t="shared" ca="1" si="58"/>
        <v/>
      </c>
      <c r="BA165" s="4" t="str">
        <f t="shared" si="53"/>
        <v/>
      </c>
    </row>
    <row r="166" spans="1:53">
      <c r="A166">
        <v>102</v>
      </c>
      <c r="C166" s="4" t="str">
        <f t="shared" ca="1" si="54"/>
        <v/>
      </c>
      <c r="D166" s="4" t="str">
        <f t="shared" ca="1" si="54"/>
        <v/>
      </c>
      <c r="E166" s="4" t="str">
        <f t="shared" ca="1" si="54"/>
        <v/>
      </c>
      <c r="F166" s="4" t="str">
        <f t="shared" ca="1" si="54"/>
        <v/>
      </c>
      <c r="G166" s="4" t="str">
        <f t="shared" ca="1" si="54"/>
        <v/>
      </c>
      <c r="H166" s="4" t="str">
        <f t="shared" ca="1" si="54"/>
        <v/>
      </c>
      <c r="I166" s="4" t="str">
        <f t="shared" ca="1" si="54"/>
        <v/>
      </c>
      <c r="J166" s="4" t="str">
        <f t="shared" ca="1" si="54"/>
        <v/>
      </c>
      <c r="K166" s="4" t="str">
        <f t="shared" ca="1" si="54"/>
        <v/>
      </c>
      <c r="L166" s="4" t="str">
        <f t="shared" ca="1" si="54"/>
        <v/>
      </c>
      <c r="M166" s="4" t="str">
        <f t="shared" ca="1" si="55"/>
        <v/>
      </c>
      <c r="N166" s="4" t="str">
        <f t="shared" ca="1" si="55"/>
        <v/>
      </c>
      <c r="O166" s="4" t="str">
        <f t="shared" ca="1" si="55"/>
        <v/>
      </c>
      <c r="P166" s="4" t="str">
        <f t="shared" ca="1" si="55"/>
        <v/>
      </c>
      <c r="Q166" s="4" t="str">
        <f t="shared" ca="1" si="55"/>
        <v/>
      </c>
      <c r="R166" s="4" t="str">
        <f t="shared" ca="1" si="55"/>
        <v/>
      </c>
      <c r="S166" s="4" t="str">
        <f t="shared" ca="1" si="55"/>
        <v/>
      </c>
      <c r="T166" s="4" t="str">
        <f t="shared" ca="1" si="55"/>
        <v/>
      </c>
      <c r="U166" s="4" t="str">
        <f t="shared" ca="1" si="55"/>
        <v/>
      </c>
      <c r="V166" s="4" t="str">
        <f t="shared" ca="1" si="55"/>
        <v/>
      </c>
      <c r="W166" s="4" t="str">
        <f t="shared" ca="1" si="56"/>
        <v/>
      </c>
      <c r="X166" s="4" t="str">
        <f t="shared" ca="1" si="56"/>
        <v/>
      </c>
      <c r="Y166" s="4" t="str">
        <f t="shared" ca="1" si="56"/>
        <v/>
      </c>
      <c r="Z166" s="4" t="str">
        <f t="shared" ca="1" si="56"/>
        <v/>
      </c>
      <c r="AA166" s="4" t="str">
        <f t="shared" ca="1" si="56"/>
        <v/>
      </c>
      <c r="AB166" s="4" t="str">
        <f t="shared" ca="1" si="56"/>
        <v/>
      </c>
      <c r="AC166" s="4" t="str">
        <f t="shared" ca="1" si="56"/>
        <v/>
      </c>
      <c r="AD166" s="4" t="str">
        <f t="shared" ca="1" si="56"/>
        <v/>
      </c>
      <c r="AE166" s="4" t="str">
        <f t="shared" ca="1" si="56"/>
        <v/>
      </c>
      <c r="AF166" s="4" t="str">
        <f t="shared" ca="1" si="56"/>
        <v/>
      </c>
      <c r="AG166" s="4" t="str">
        <f t="shared" ca="1" si="57"/>
        <v/>
      </c>
      <c r="AH166" s="4" t="str">
        <f t="shared" ca="1" si="57"/>
        <v/>
      </c>
      <c r="AI166" s="4" t="str">
        <f t="shared" ca="1" si="57"/>
        <v/>
      </c>
      <c r="AJ166" s="4" t="str">
        <f t="shared" ca="1" si="57"/>
        <v/>
      </c>
      <c r="AK166" s="4" t="str">
        <f t="shared" ca="1" si="57"/>
        <v/>
      </c>
      <c r="AL166" s="4" t="str">
        <f t="shared" ca="1" si="57"/>
        <v/>
      </c>
      <c r="AM166" s="4" t="str">
        <f t="shared" ca="1" si="57"/>
        <v/>
      </c>
      <c r="AN166" s="4" t="str">
        <f t="shared" ca="1" si="57"/>
        <v/>
      </c>
      <c r="AO166" s="4" t="str">
        <f t="shared" ca="1" si="57"/>
        <v/>
      </c>
      <c r="AP166" s="4" t="str">
        <f t="shared" ca="1" si="57"/>
        <v/>
      </c>
      <c r="AQ166" s="4" t="str">
        <f t="shared" ca="1" si="58"/>
        <v/>
      </c>
      <c r="AR166" s="4" t="str">
        <f t="shared" ca="1" si="58"/>
        <v/>
      </c>
      <c r="AS166" s="4" t="str">
        <f t="shared" ca="1" si="58"/>
        <v/>
      </c>
      <c r="AT166" s="4" t="str">
        <f t="shared" ca="1" si="58"/>
        <v/>
      </c>
      <c r="AU166" s="4" t="str">
        <f t="shared" ca="1" si="58"/>
        <v/>
      </c>
      <c r="AV166" s="4" t="str">
        <f t="shared" ca="1" si="58"/>
        <v/>
      </c>
      <c r="AW166" s="4" t="str">
        <f t="shared" ca="1" si="58"/>
        <v/>
      </c>
      <c r="AX166" s="4" t="str">
        <f t="shared" ca="1" si="58"/>
        <v/>
      </c>
      <c r="AY166" s="4" t="str">
        <f t="shared" ca="1" si="58"/>
        <v/>
      </c>
      <c r="AZ166" s="4" t="str">
        <f t="shared" ca="1" si="58"/>
        <v/>
      </c>
      <c r="BA166" s="4" t="str">
        <f t="shared" si="53"/>
        <v/>
      </c>
    </row>
    <row r="167" spans="1:53">
      <c r="A167">
        <v>103</v>
      </c>
      <c r="C167" s="4" t="str">
        <f t="shared" ca="1" si="54"/>
        <v/>
      </c>
      <c r="D167" s="4" t="str">
        <f t="shared" ca="1" si="54"/>
        <v/>
      </c>
      <c r="E167" s="4" t="str">
        <f t="shared" ca="1" si="54"/>
        <v/>
      </c>
      <c r="F167" s="4" t="str">
        <f t="shared" ca="1" si="54"/>
        <v/>
      </c>
      <c r="G167" s="4" t="str">
        <f t="shared" ca="1" si="54"/>
        <v/>
      </c>
      <c r="H167" s="4" t="str">
        <f t="shared" ca="1" si="54"/>
        <v/>
      </c>
      <c r="I167" s="4" t="str">
        <f t="shared" ca="1" si="54"/>
        <v/>
      </c>
      <c r="J167" s="4" t="str">
        <f t="shared" ca="1" si="54"/>
        <v/>
      </c>
      <c r="K167" s="4" t="str">
        <f t="shared" ca="1" si="54"/>
        <v/>
      </c>
      <c r="L167" s="4" t="str">
        <f t="shared" ca="1" si="54"/>
        <v/>
      </c>
      <c r="M167" s="4" t="str">
        <f t="shared" ca="1" si="55"/>
        <v/>
      </c>
      <c r="N167" s="4" t="str">
        <f t="shared" ca="1" si="55"/>
        <v/>
      </c>
      <c r="O167" s="4" t="str">
        <f t="shared" ca="1" si="55"/>
        <v/>
      </c>
      <c r="P167" s="4" t="str">
        <f t="shared" ca="1" si="55"/>
        <v/>
      </c>
      <c r="Q167" s="4" t="str">
        <f t="shared" ca="1" si="55"/>
        <v/>
      </c>
      <c r="R167" s="4" t="str">
        <f t="shared" ca="1" si="55"/>
        <v/>
      </c>
      <c r="S167" s="4" t="str">
        <f t="shared" ca="1" si="55"/>
        <v/>
      </c>
      <c r="T167" s="4" t="str">
        <f t="shared" ca="1" si="55"/>
        <v/>
      </c>
      <c r="U167" s="4" t="str">
        <f t="shared" ca="1" si="55"/>
        <v/>
      </c>
      <c r="V167" s="4" t="str">
        <f t="shared" ca="1" si="55"/>
        <v/>
      </c>
      <c r="W167" s="4" t="str">
        <f t="shared" ca="1" si="56"/>
        <v/>
      </c>
      <c r="X167" s="4" t="str">
        <f t="shared" ca="1" si="56"/>
        <v/>
      </c>
      <c r="Y167" s="4" t="str">
        <f t="shared" ca="1" si="56"/>
        <v/>
      </c>
      <c r="Z167" s="4" t="str">
        <f t="shared" ca="1" si="56"/>
        <v/>
      </c>
      <c r="AA167" s="4" t="str">
        <f t="shared" ca="1" si="56"/>
        <v/>
      </c>
      <c r="AB167" s="4" t="str">
        <f t="shared" ca="1" si="56"/>
        <v/>
      </c>
      <c r="AC167" s="4" t="str">
        <f t="shared" ca="1" si="56"/>
        <v/>
      </c>
      <c r="AD167" s="4" t="str">
        <f t="shared" ca="1" si="56"/>
        <v/>
      </c>
      <c r="AE167" s="4" t="str">
        <f t="shared" ca="1" si="56"/>
        <v/>
      </c>
      <c r="AF167" s="4" t="str">
        <f t="shared" ca="1" si="56"/>
        <v/>
      </c>
      <c r="AG167" s="4" t="str">
        <f t="shared" ca="1" si="57"/>
        <v/>
      </c>
      <c r="AH167" s="4" t="str">
        <f t="shared" ca="1" si="57"/>
        <v/>
      </c>
      <c r="AI167" s="4" t="str">
        <f t="shared" ca="1" si="57"/>
        <v/>
      </c>
      <c r="AJ167" s="4" t="str">
        <f t="shared" ca="1" si="57"/>
        <v/>
      </c>
      <c r="AK167" s="4" t="str">
        <f t="shared" ca="1" si="57"/>
        <v/>
      </c>
      <c r="AL167" s="4" t="str">
        <f t="shared" ca="1" si="57"/>
        <v/>
      </c>
      <c r="AM167" s="4" t="str">
        <f t="shared" ca="1" si="57"/>
        <v/>
      </c>
      <c r="AN167" s="4" t="str">
        <f t="shared" ca="1" si="57"/>
        <v/>
      </c>
      <c r="AO167" s="4" t="str">
        <f t="shared" ca="1" si="57"/>
        <v/>
      </c>
      <c r="AP167" s="4" t="str">
        <f t="shared" ca="1" si="57"/>
        <v/>
      </c>
      <c r="AQ167" s="4" t="str">
        <f t="shared" ca="1" si="58"/>
        <v/>
      </c>
      <c r="AR167" s="4" t="str">
        <f t="shared" ca="1" si="58"/>
        <v/>
      </c>
      <c r="AS167" s="4" t="str">
        <f t="shared" ca="1" si="58"/>
        <v/>
      </c>
      <c r="AT167" s="4" t="str">
        <f t="shared" ca="1" si="58"/>
        <v/>
      </c>
      <c r="AU167" s="4" t="str">
        <f t="shared" ca="1" si="58"/>
        <v/>
      </c>
      <c r="AV167" s="4" t="str">
        <f t="shared" ca="1" si="58"/>
        <v/>
      </c>
      <c r="AW167" s="4" t="str">
        <f t="shared" ca="1" si="58"/>
        <v/>
      </c>
      <c r="AX167" s="4" t="str">
        <f t="shared" ca="1" si="58"/>
        <v/>
      </c>
      <c r="AY167" s="4" t="str">
        <f t="shared" ca="1" si="58"/>
        <v/>
      </c>
      <c r="AZ167" s="4" t="str">
        <f t="shared" ca="1" si="58"/>
        <v/>
      </c>
      <c r="BA167" s="4" t="str">
        <f t="shared" si="53"/>
        <v/>
      </c>
    </row>
    <row r="168" spans="1:53">
      <c r="A168">
        <v>104</v>
      </c>
      <c r="C168" s="4" t="str">
        <f t="shared" ca="1" si="54"/>
        <v/>
      </c>
      <c r="D168" s="4" t="str">
        <f t="shared" ca="1" si="54"/>
        <v/>
      </c>
      <c r="E168" s="4" t="str">
        <f t="shared" ca="1" si="54"/>
        <v/>
      </c>
      <c r="F168" s="4" t="str">
        <f t="shared" ca="1" si="54"/>
        <v/>
      </c>
      <c r="G168" s="4" t="str">
        <f t="shared" ca="1" si="54"/>
        <v/>
      </c>
      <c r="H168" s="4" t="str">
        <f t="shared" ca="1" si="54"/>
        <v/>
      </c>
      <c r="I168" s="4" t="str">
        <f t="shared" ca="1" si="54"/>
        <v/>
      </c>
      <c r="J168" s="4" t="str">
        <f t="shared" ca="1" si="54"/>
        <v/>
      </c>
      <c r="K168" s="4" t="str">
        <f t="shared" ca="1" si="54"/>
        <v/>
      </c>
      <c r="L168" s="4" t="str">
        <f t="shared" ca="1" si="54"/>
        <v/>
      </c>
      <c r="M168" s="4" t="str">
        <f t="shared" ca="1" si="55"/>
        <v/>
      </c>
      <c r="N168" s="4" t="str">
        <f t="shared" ca="1" si="55"/>
        <v/>
      </c>
      <c r="O168" s="4" t="str">
        <f t="shared" ca="1" si="55"/>
        <v/>
      </c>
      <c r="P168" s="4" t="str">
        <f t="shared" ca="1" si="55"/>
        <v/>
      </c>
      <c r="Q168" s="4" t="str">
        <f t="shared" ca="1" si="55"/>
        <v/>
      </c>
      <c r="R168" s="4" t="str">
        <f t="shared" ca="1" si="55"/>
        <v/>
      </c>
      <c r="S168" s="4" t="str">
        <f t="shared" ca="1" si="55"/>
        <v/>
      </c>
      <c r="T168" s="4" t="str">
        <f t="shared" ca="1" si="55"/>
        <v/>
      </c>
      <c r="U168" s="4" t="str">
        <f t="shared" ca="1" si="55"/>
        <v/>
      </c>
      <c r="V168" s="4" t="str">
        <f t="shared" ca="1" si="55"/>
        <v/>
      </c>
      <c r="W168" s="4" t="str">
        <f t="shared" ca="1" si="56"/>
        <v/>
      </c>
      <c r="X168" s="4" t="str">
        <f t="shared" ca="1" si="56"/>
        <v/>
      </c>
      <c r="Y168" s="4" t="str">
        <f t="shared" ca="1" si="56"/>
        <v/>
      </c>
      <c r="Z168" s="4" t="str">
        <f t="shared" ca="1" si="56"/>
        <v/>
      </c>
      <c r="AA168" s="4" t="str">
        <f t="shared" ca="1" si="56"/>
        <v/>
      </c>
      <c r="AB168" s="4" t="str">
        <f t="shared" ca="1" si="56"/>
        <v/>
      </c>
      <c r="AC168" s="4" t="str">
        <f t="shared" ca="1" si="56"/>
        <v/>
      </c>
      <c r="AD168" s="4" t="str">
        <f t="shared" ca="1" si="56"/>
        <v/>
      </c>
      <c r="AE168" s="4" t="str">
        <f t="shared" ca="1" si="56"/>
        <v/>
      </c>
      <c r="AF168" s="4" t="str">
        <f t="shared" ca="1" si="56"/>
        <v/>
      </c>
      <c r="AG168" s="4" t="str">
        <f t="shared" ca="1" si="57"/>
        <v/>
      </c>
      <c r="AH168" s="4" t="str">
        <f t="shared" ca="1" si="57"/>
        <v/>
      </c>
      <c r="AI168" s="4" t="str">
        <f t="shared" ca="1" si="57"/>
        <v/>
      </c>
      <c r="AJ168" s="4" t="str">
        <f t="shared" ca="1" si="57"/>
        <v/>
      </c>
      <c r="AK168" s="4" t="str">
        <f t="shared" ca="1" si="57"/>
        <v/>
      </c>
      <c r="AL168" s="4" t="str">
        <f t="shared" ca="1" si="57"/>
        <v/>
      </c>
      <c r="AM168" s="4" t="str">
        <f t="shared" ca="1" si="57"/>
        <v/>
      </c>
      <c r="AN168" s="4" t="str">
        <f t="shared" ca="1" si="57"/>
        <v/>
      </c>
      <c r="AO168" s="4" t="str">
        <f t="shared" ca="1" si="57"/>
        <v/>
      </c>
      <c r="AP168" s="4" t="str">
        <f t="shared" ca="1" si="57"/>
        <v/>
      </c>
      <c r="AQ168" s="4" t="str">
        <f t="shared" ca="1" si="58"/>
        <v/>
      </c>
      <c r="AR168" s="4" t="str">
        <f t="shared" ca="1" si="58"/>
        <v/>
      </c>
      <c r="AS168" s="4" t="str">
        <f t="shared" ca="1" si="58"/>
        <v/>
      </c>
      <c r="AT168" s="4" t="str">
        <f t="shared" ca="1" si="58"/>
        <v/>
      </c>
      <c r="AU168" s="4" t="str">
        <f t="shared" ca="1" si="58"/>
        <v/>
      </c>
      <c r="AV168" s="4" t="str">
        <f t="shared" ca="1" si="58"/>
        <v/>
      </c>
      <c r="AW168" s="4" t="str">
        <f t="shared" ca="1" si="58"/>
        <v/>
      </c>
      <c r="AX168" s="4" t="str">
        <f t="shared" ca="1" si="58"/>
        <v/>
      </c>
      <c r="AY168" s="4" t="str">
        <f t="shared" ca="1" si="58"/>
        <v/>
      </c>
      <c r="AZ168" s="4" t="str">
        <f t="shared" ca="1" si="58"/>
        <v/>
      </c>
      <c r="BA168" s="4" t="str">
        <f t="shared" si="53"/>
        <v/>
      </c>
    </row>
    <row r="169" spans="1:53">
      <c r="A169">
        <v>105</v>
      </c>
      <c r="C169" s="4" t="str">
        <f t="shared" ca="1" si="54"/>
        <v/>
      </c>
      <c r="D169" s="4" t="str">
        <f t="shared" ca="1" si="54"/>
        <v/>
      </c>
      <c r="E169" s="4" t="str">
        <f t="shared" ca="1" si="54"/>
        <v/>
      </c>
      <c r="F169" s="4" t="str">
        <f t="shared" ca="1" si="54"/>
        <v/>
      </c>
      <c r="G169" s="4" t="str">
        <f t="shared" ca="1" si="54"/>
        <v/>
      </c>
      <c r="H169" s="4" t="str">
        <f t="shared" ca="1" si="54"/>
        <v/>
      </c>
      <c r="I169" s="4" t="str">
        <f t="shared" ca="1" si="54"/>
        <v/>
      </c>
      <c r="J169" s="4" t="str">
        <f t="shared" ca="1" si="54"/>
        <v/>
      </c>
      <c r="K169" s="4" t="str">
        <f t="shared" ca="1" si="54"/>
        <v/>
      </c>
      <c r="L169" s="4" t="str">
        <f t="shared" ca="1" si="54"/>
        <v/>
      </c>
      <c r="M169" s="4" t="str">
        <f t="shared" ca="1" si="55"/>
        <v/>
      </c>
      <c r="N169" s="4" t="str">
        <f t="shared" ca="1" si="55"/>
        <v/>
      </c>
      <c r="O169" s="4" t="str">
        <f t="shared" ca="1" si="55"/>
        <v/>
      </c>
      <c r="P169" s="4" t="str">
        <f t="shared" ca="1" si="55"/>
        <v/>
      </c>
      <c r="Q169" s="4" t="str">
        <f t="shared" ca="1" si="55"/>
        <v/>
      </c>
      <c r="R169" s="4" t="str">
        <f t="shared" ca="1" si="55"/>
        <v/>
      </c>
      <c r="S169" s="4" t="str">
        <f t="shared" ca="1" si="55"/>
        <v/>
      </c>
      <c r="T169" s="4" t="str">
        <f t="shared" ca="1" si="55"/>
        <v/>
      </c>
      <c r="U169" s="4" t="str">
        <f t="shared" ca="1" si="55"/>
        <v/>
      </c>
      <c r="V169" s="4" t="str">
        <f t="shared" ca="1" si="55"/>
        <v/>
      </c>
      <c r="W169" s="4" t="str">
        <f t="shared" ca="1" si="56"/>
        <v/>
      </c>
      <c r="X169" s="4" t="str">
        <f t="shared" ca="1" si="56"/>
        <v/>
      </c>
      <c r="Y169" s="4" t="str">
        <f t="shared" ca="1" si="56"/>
        <v/>
      </c>
      <c r="Z169" s="4" t="str">
        <f t="shared" ca="1" si="56"/>
        <v/>
      </c>
      <c r="AA169" s="4" t="str">
        <f t="shared" ca="1" si="56"/>
        <v/>
      </c>
      <c r="AB169" s="4" t="str">
        <f t="shared" ca="1" si="56"/>
        <v/>
      </c>
      <c r="AC169" s="4" t="str">
        <f t="shared" ca="1" si="56"/>
        <v/>
      </c>
      <c r="AD169" s="4" t="str">
        <f t="shared" ca="1" si="56"/>
        <v/>
      </c>
      <c r="AE169" s="4" t="str">
        <f t="shared" ca="1" si="56"/>
        <v/>
      </c>
      <c r="AF169" s="4" t="str">
        <f t="shared" ca="1" si="56"/>
        <v/>
      </c>
      <c r="AG169" s="4" t="str">
        <f t="shared" ca="1" si="57"/>
        <v/>
      </c>
      <c r="AH169" s="4" t="str">
        <f t="shared" ca="1" si="57"/>
        <v/>
      </c>
      <c r="AI169" s="4" t="str">
        <f t="shared" ca="1" si="57"/>
        <v/>
      </c>
      <c r="AJ169" s="4" t="str">
        <f t="shared" ca="1" si="57"/>
        <v/>
      </c>
      <c r="AK169" s="4" t="str">
        <f t="shared" ca="1" si="57"/>
        <v/>
      </c>
      <c r="AL169" s="4" t="str">
        <f t="shared" ca="1" si="57"/>
        <v/>
      </c>
      <c r="AM169" s="4" t="str">
        <f t="shared" ca="1" si="57"/>
        <v/>
      </c>
      <c r="AN169" s="4" t="str">
        <f t="shared" ca="1" si="57"/>
        <v/>
      </c>
      <c r="AO169" s="4" t="str">
        <f t="shared" ca="1" si="57"/>
        <v/>
      </c>
      <c r="AP169" s="4" t="str">
        <f t="shared" ca="1" si="57"/>
        <v/>
      </c>
      <c r="AQ169" s="4" t="str">
        <f t="shared" ca="1" si="58"/>
        <v/>
      </c>
      <c r="AR169" s="4" t="str">
        <f t="shared" ca="1" si="58"/>
        <v/>
      </c>
      <c r="AS169" s="4" t="str">
        <f t="shared" ca="1" si="58"/>
        <v/>
      </c>
      <c r="AT169" s="4" t="str">
        <f t="shared" ca="1" si="58"/>
        <v/>
      </c>
      <c r="AU169" s="4" t="str">
        <f t="shared" ca="1" si="58"/>
        <v/>
      </c>
      <c r="AV169" s="4" t="str">
        <f t="shared" ca="1" si="58"/>
        <v/>
      </c>
      <c r="AW169" s="4" t="str">
        <f t="shared" ca="1" si="58"/>
        <v/>
      </c>
      <c r="AX169" s="4" t="str">
        <f t="shared" ca="1" si="58"/>
        <v/>
      </c>
      <c r="AY169" s="4" t="str">
        <f t="shared" ca="1" si="58"/>
        <v/>
      </c>
      <c r="AZ169" s="4" t="str">
        <f t="shared" ca="1" si="58"/>
        <v/>
      </c>
      <c r="BA169" s="4" t="str">
        <f t="shared" si="53"/>
        <v/>
      </c>
    </row>
    <row r="170" spans="1:53">
      <c r="A170">
        <v>106</v>
      </c>
      <c r="C170" s="4" t="str">
        <f t="shared" ca="1" si="54"/>
        <v/>
      </c>
      <c r="D170" s="4" t="str">
        <f t="shared" ca="1" si="54"/>
        <v/>
      </c>
      <c r="E170" s="4" t="str">
        <f t="shared" ca="1" si="54"/>
        <v/>
      </c>
      <c r="F170" s="4" t="str">
        <f t="shared" ca="1" si="54"/>
        <v/>
      </c>
      <c r="G170" s="4" t="str">
        <f t="shared" ca="1" si="54"/>
        <v/>
      </c>
      <c r="H170" s="4" t="str">
        <f t="shared" ca="1" si="54"/>
        <v/>
      </c>
      <c r="I170" s="4" t="str">
        <f t="shared" ca="1" si="54"/>
        <v/>
      </c>
      <c r="J170" s="4" t="str">
        <f t="shared" ca="1" si="54"/>
        <v/>
      </c>
      <c r="K170" s="4" t="str">
        <f t="shared" ca="1" si="54"/>
        <v/>
      </c>
      <c r="L170" s="4" t="str">
        <f t="shared" ca="1" si="54"/>
        <v/>
      </c>
      <c r="M170" s="4" t="str">
        <f t="shared" ca="1" si="55"/>
        <v/>
      </c>
      <c r="N170" s="4" t="str">
        <f t="shared" ca="1" si="55"/>
        <v/>
      </c>
      <c r="O170" s="4" t="str">
        <f t="shared" ca="1" si="55"/>
        <v/>
      </c>
      <c r="P170" s="4" t="str">
        <f t="shared" ca="1" si="55"/>
        <v/>
      </c>
      <c r="Q170" s="4" t="str">
        <f t="shared" ca="1" si="55"/>
        <v/>
      </c>
      <c r="R170" s="4" t="str">
        <f t="shared" ca="1" si="55"/>
        <v/>
      </c>
      <c r="S170" s="4" t="str">
        <f t="shared" ca="1" si="55"/>
        <v/>
      </c>
      <c r="T170" s="4" t="str">
        <f t="shared" ca="1" si="55"/>
        <v/>
      </c>
      <c r="U170" s="4" t="str">
        <f t="shared" ca="1" si="55"/>
        <v/>
      </c>
      <c r="V170" s="4" t="str">
        <f t="shared" ca="1" si="55"/>
        <v/>
      </c>
      <c r="W170" s="4" t="str">
        <f t="shared" ca="1" si="56"/>
        <v/>
      </c>
      <c r="X170" s="4" t="str">
        <f t="shared" ca="1" si="56"/>
        <v/>
      </c>
      <c r="Y170" s="4" t="str">
        <f t="shared" ca="1" si="56"/>
        <v/>
      </c>
      <c r="Z170" s="4" t="str">
        <f t="shared" ca="1" si="56"/>
        <v/>
      </c>
      <c r="AA170" s="4" t="str">
        <f t="shared" ca="1" si="56"/>
        <v/>
      </c>
      <c r="AB170" s="4" t="str">
        <f t="shared" ca="1" si="56"/>
        <v/>
      </c>
      <c r="AC170" s="4" t="str">
        <f t="shared" ca="1" si="56"/>
        <v/>
      </c>
      <c r="AD170" s="4" t="str">
        <f t="shared" ca="1" si="56"/>
        <v/>
      </c>
      <c r="AE170" s="4" t="str">
        <f t="shared" ca="1" si="56"/>
        <v/>
      </c>
      <c r="AF170" s="4" t="str">
        <f t="shared" ca="1" si="56"/>
        <v/>
      </c>
      <c r="AG170" s="4" t="str">
        <f t="shared" ca="1" si="57"/>
        <v/>
      </c>
      <c r="AH170" s="4" t="str">
        <f t="shared" ca="1" si="57"/>
        <v/>
      </c>
      <c r="AI170" s="4" t="str">
        <f t="shared" ca="1" si="57"/>
        <v/>
      </c>
      <c r="AJ170" s="4" t="str">
        <f t="shared" ca="1" si="57"/>
        <v/>
      </c>
      <c r="AK170" s="4" t="str">
        <f t="shared" ca="1" si="57"/>
        <v/>
      </c>
      <c r="AL170" s="4" t="str">
        <f t="shared" ca="1" si="57"/>
        <v/>
      </c>
      <c r="AM170" s="4" t="str">
        <f t="shared" ca="1" si="57"/>
        <v/>
      </c>
      <c r="AN170" s="4" t="str">
        <f t="shared" ca="1" si="57"/>
        <v/>
      </c>
      <c r="AO170" s="4" t="str">
        <f t="shared" ca="1" si="57"/>
        <v/>
      </c>
      <c r="AP170" s="4" t="str">
        <f t="shared" ca="1" si="57"/>
        <v/>
      </c>
      <c r="AQ170" s="4" t="str">
        <f t="shared" ca="1" si="58"/>
        <v/>
      </c>
      <c r="AR170" s="4" t="str">
        <f t="shared" ca="1" si="58"/>
        <v/>
      </c>
      <c r="AS170" s="4" t="str">
        <f t="shared" ca="1" si="58"/>
        <v/>
      </c>
      <c r="AT170" s="4" t="str">
        <f t="shared" ca="1" si="58"/>
        <v/>
      </c>
      <c r="AU170" s="4" t="str">
        <f t="shared" ca="1" si="58"/>
        <v/>
      </c>
      <c r="AV170" s="4" t="str">
        <f t="shared" ca="1" si="58"/>
        <v/>
      </c>
      <c r="AW170" s="4" t="str">
        <f t="shared" ca="1" si="58"/>
        <v/>
      </c>
      <c r="AX170" s="4" t="str">
        <f t="shared" ca="1" si="58"/>
        <v/>
      </c>
      <c r="AY170" s="4" t="str">
        <f t="shared" ca="1" si="58"/>
        <v/>
      </c>
      <c r="AZ170" s="4" t="str">
        <f t="shared" ca="1" si="58"/>
        <v/>
      </c>
      <c r="BA170" s="4" t="str">
        <f t="shared" si="53"/>
        <v/>
      </c>
    </row>
    <row r="171" spans="1:53">
      <c r="A171">
        <v>107</v>
      </c>
      <c r="C171" s="4" t="str">
        <f t="shared" ca="1" si="54"/>
        <v/>
      </c>
      <c r="D171" s="4" t="str">
        <f t="shared" ca="1" si="54"/>
        <v/>
      </c>
      <c r="E171" s="4" t="str">
        <f t="shared" ca="1" si="54"/>
        <v/>
      </c>
      <c r="F171" s="4" t="str">
        <f t="shared" ca="1" si="54"/>
        <v/>
      </c>
      <c r="G171" s="4" t="str">
        <f t="shared" ca="1" si="54"/>
        <v/>
      </c>
      <c r="H171" s="4" t="str">
        <f t="shared" ca="1" si="54"/>
        <v/>
      </c>
      <c r="I171" s="4" t="str">
        <f t="shared" ca="1" si="54"/>
        <v/>
      </c>
      <c r="J171" s="4" t="str">
        <f t="shared" ca="1" si="54"/>
        <v/>
      </c>
      <c r="K171" s="4" t="str">
        <f t="shared" ca="1" si="54"/>
        <v/>
      </c>
      <c r="L171" s="4" t="str">
        <f t="shared" ca="1" si="54"/>
        <v/>
      </c>
      <c r="M171" s="4" t="str">
        <f t="shared" ca="1" si="55"/>
        <v/>
      </c>
      <c r="N171" s="4" t="str">
        <f t="shared" ca="1" si="55"/>
        <v/>
      </c>
      <c r="O171" s="4" t="str">
        <f t="shared" ca="1" si="55"/>
        <v/>
      </c>
      <c r="P171" s="4" t="str">
        <f t="shared" ca="1" si="55"/>
        <v/>
      </c>
      <c r="Q171" s="4" t="str">
        <f t="shared" ca="1" si="55"/>
        <v/>
      </c>
      <c r="R171" s="4" t="str">
        <f t="shared" ca="1" si="55"/>
        <v/>
      </c>
      <c r="S171" s="4" t="str">
        <f t="shared" ca="1" si="55"/>
        <v/>
      </c>
      <c r="T171" s="4" t="str">
        <f t="shared" ca="1" si="55"/>
        <v/>
      </c>
      <c r="U171" s="4" t="str">
        <f t="shared" ca="1" si="55"/>
        <v/>
      </c>
      <c r="V171" s="4" t="str">
        <f t="shared" ca="1" si="55"/>
        <v/>
      </c>
      <c r="W171" s="4" t="str">
        <f t="shared" ca="1" si="56"/>
        <v/>
      </c>
      <c r="X171" s="4" t="str">
        <f t="shared" ca="1" si="56"/>
        <v/>
      </c>
      <c r="Y171" s="4" t="str">
        <f t="shared" ca="1" si="56"/>
        <v/>
      </c>
      <c r="Z171" s="4" t="str">
        <f t="shared" ca="1" si="56"/>
        <v/>
      </c>
      <c r="AA171" s="4" t="str">
        <f t="shared" ca="1" si="56"/>
        <v/>
      </c>
      <c r="AB171" s="4" t="str">
        <f t="shared" ca="1" si="56"/>
        <v/>
      </c>
      <c r="AC171" s="4" t="str">
        <f t="shared" ca="1" si="56"/>
        <v/>
      </c>
      <c r="AD171" s="4" t="str">
        <f t="shared" ca="1" si="56"/>
        <v/>
      </c>
      <c r="AE171" s="4" t="str">
        <f t="shared" ca="1" si="56"/>
        <v/>
      </c>
      <c r="AF171" s="4" t="str">
        <f t="shared" ca="1" si="56"/>
        <v/>
      </c>
      <c r="AG171" s="4" t="str">
        <f t="shared" ca="1" si="57"/>
        <v/>
      </c>
      <c r="AH171" s="4" t="str">
        <f t="shared" ca="1" si="57"/>
        <v/>
      </c>
      <c r="AI171" s="4" t="str">
        <f t="shared" ca="1" si="57"/>
        <v/>
      </c>
      <c r="AJ171" s="4" t="str">
        <f t="shared" ca="1" si="57"/>
        <v/>
      </c>
      <c r="AK171" s="4" t="str">
        <f t="shared" ca="1" si="57"/>
        <v/>
      </c>
      <c r="AL171" s="4" t="str">
        <f t="shared" ca="1" si="57"/>
        <v/>
      </c>
      <c r="AM171" s="4" t="str">
        <f t="shared" ca="1" si="57"/>
        <v/>
      </c>
      <c r="AN171" s="4" t="str">
        <f t="shared" ca="1" si="57"/>
        <v/>
      </c>
      <c r="AO171" s="4" t="str">
        <f t="shared" ca="1" si="57"/>
        <v/>
      </c>
      <c r="AP171" s="4" t="str">
        <f t="shared" ca="1" si="57"/>
        <v/>
      </c>
      <c r="AQ171" s="4" t="str">
        <f t="shared" ca="1" si="58"/>
        <v/>
      </c>
      <c r="AR171" s="4" t="str">
        <f t="shared" ca="1" si="58"/>
        <v/>
      </c>
      <c r="AS171" s="4" t="str">
        <f t="shared" ca="1" si="58"/>
        <v/>
      </c>
      <c r="AT171" s="4" t="str">
        <f t="shared" ca="1" si="58"/>
        <v/>
      </c>
      <c r="AU171" s="4" t="str">
        <f t="shared" ca="1" si="58"/>
        <v/>
      </c>
      <c r="AV171" s="4" t="str">
        <f t="shared" ca="1" si="58"/>
        <v/>
      </c>
      <c r="AW171" s="4" t="str">
        <f t="shared" ca="1" si="58"/>
        <v/>
      </c>
      <c r="AX171" s="4" t="str">
        <f t="shared" ca="1" si="58"/>
        <v/>
      </c>
      <c r="AY171" s="4" t="str">
        <f t="shared" ca="1" si="58"/>
        <v/>
      </c>
      <c r="AZ171" s="4" t="str">
        <f t="shared" ca="1" si="58"/>
        <v/>
      </c>
      <c r="BA171" s="4" t="str">
        <f t="shared" si="53"/>
        <v/>
      </c>
    </row>
    <row r="172" spans="1:53">
      <c r="A172">
        <v>108</v>
      </c>
      <c r="C172" s="4" t="str">
        <f t="shared" ca="1" si="54"/>
        <v/>
      </c>
      <c r="D172" s="4" t="str">
        <f t="shared" ca="1" si="54"/>
        <v/>
      </c>
      <c r="E172" s="4" t="str">
        <f t="shared" ca="1" si="54"/>
        <v/>
      </c>
      <c r="F172" s="4" t="str">
        <f t="shared" ca="1" si="54"/>
        <v/>
      </c>
      <c r="G172" s="4" t="str">
        <f t="shared" ca="1" si="54"/>
        <v/>
      </c>
      <c r="H172" s="4" t="str">
        <f t="shared" ca="1" si="54"/>
        <v/>
      </c>
      <c r="I172" s="4" t="str">
        <f t="shared" ca="1" si="54"/>
        <v/>
      </c>
      <c r="J172" s="4" t="str">
        <f t="shared" ca="1" si="54"/>
        <v/>
      </c>
      <c r="K172" s="4" t="str">
        <f t="shared" ca="1" si="54"/>
        <v/>
      </c>
      <c r="L172" s="4" t="str">
        <f t="shared" ca="1" si="54"/>
        <v/>
      </c>
      <c r="M172" s="4" t="str">
        <f t="shared" ca="1" si="55"/>
        <v/>
      </c>
      <c r="N172" s="4" t="str">
        <f t="shared" ca="1" si="55"/>
        <v/>
      </c>
      <c r="O172" s="4" t="str">
        <f t="shared" ca="1" si="55"/>
        <v/>
      </c>
      <c r="P172" s="4" t="str">
        <f t="shared" ca="1" si="55"/>
        <v/>
      </c>
      <c r="Q172" s="4" t="str">
        <f t="shared" ca="1" si="55"/>
        <v/>
      </c>
      <c r="R172" s="4" t="str">
        <f t="shared" ca="1" si="55"/>
        <v/>
      </c>
      <c r="S172" s="4" t="str">
        <f t="shared" ca="1" si="55"/>
        <v/>
      </c>
      <c r="T172" s="4" t="str">
        <f t="shared" ca="1" si="55"/>
        <v/>
      </c>
      <c r="U172" s="4" t="str">
        <f t="shared" ca="1" si="55"/>
        <v/>
      </c>
      <c r="V172" s="4" t="str">
        <f t="shared" ca="1" si="55"/>
        <v/>
      </c>
      <c r="W172" s="4" t="str">
        <f t="shared" ca="1" si="56"/>
        <v/>
      </c>
      <c r="X172" s="4" t="str">
        <f t="shared" ca="1" si="56"/>
        <v/>
      </c>
      <c r="Y172" s="4" t="str">
        <f t="shared" ca="1" si="56"/>
        <v/>
      </c>
      <c r="Z172" s="4" t="str">
        <f t="shared" ca="1" si="56"/>
        <v/>
      </c>
      <c r="AA172" s="4" t="str">
        <f t="shared" ca="1" si="56"/>
        <v/>
      </c>
      <c r="AB172" s="4" t="str">
        <f t="shared" ca="1" si="56"/>
        <v/>
      </c>
      <c r="AC172" s="4" t="str">
        <f t="shared" ca="1" si="56"/>
        <v/>
      </c>
      <c r="AD172" s="4" t="str">
        <f t="shared" ca="1" si="56"/>
        <v/>
      </c>
      <c r="AE172" s="4" t="str">
        <f t="shared" ca="1" si="56"/>
        <v/>
      </c>
      <c r="AF172" s="4" t="str">
        <f t="shared" ca="1" si="56"/>
        <v/>
      </c>
      <c r="AG172" s="4" t="str">
        <f t="shared" ca="1" si="57"/>
        <v/>
      </c>
      <c r="AH172" s="4" t="str">
        <f t="shared" ca="1" si="57"/>
        <v/>
      </c>
      <c r="AI172" s="4" t="str">
        <f t="shared" ca="1" si="57"/>
        <v/>
      </c>
      <c r="AJ172" s="4" t="str">
        <f t="shared" ca="1" si="57"/>
        <v/>
      </c>
      <c r="AK172" s="4" t="str">
        <f t="shared" ca="1" si="57"/>
        <v/>
      </c>
      <c r="AL172" s="4" t="str">
        <f t="shared" ca="1" si="57"/>
        <v/>
      </c>
      <c r="AM172" s="4" t="str">
        <f t="shared" ca="1" si="57"/>
        <v/>
      </c>
      <c r="AN172" s="4" t="str">
        <f t="shared" ca="1" si="57"/>
        <v/>
      </c>
      <c r="AO172" s="4" t="str">
        <f t="shared" ca="1" si="57"/>
        <v/>
      </c>
      <c r="AP172" s="4" t="str">
        <f t="shared" ca="1" si="57"/>
        <v/>
      </c>
      <c r="AQ172" s="4" t="str">
        <f t="shared" ca="1" si="58"/>
        <v/>
      </c>
      <c r="AR172" s="4" t="str">
        <f t="shared" ca="1" si="58"/>
        <v/>
      </c>
      <c r="AS172" s="4" t="str">
        <f t="shared" ca="1" si="58"/>
        <v/>
      </c>
      <c r="AT172" s="4" t="str">
        <f t="shared" ca="1" si="58"/>
        <v/>
      </c>
      <c r="AU172" s="4" t="str">
        <f t="shared" ca="1" si="58"/>
        <v/>
      </c>
      <c r="AV172" s="4" t="str">
        <f t="shared" ca="1" si="58"/>
        <v/>
      </c>
      <c r="AW172" s="4" t="str">
        <f t="shared" ca="1" si="58"/>
        <v/>
      </c>
      <c r="AX172" s="4" t="str">
        <f t="shared" ca="1" si="58"/>
        <v/>
      </c>
      <c r="AY172" s="4" t="str">
        <f t="shared" ca="1" si="58"/>
        <v/>
      </c>
      <c r="AZ172" s="4" t="str">
        <f t="shared" ca="1" si="58"/>
        <v/>
      </c>
      <c r="BA172" s="4" t="str">
        <f t="shared" si="53"/>
        <v/>
      </c>
    </row>
    <row r="173" spans="1:53">
      <c r="A173">
        <v>109</v>
      </c>
      <c r="C173" s="4" t="str">
        <f t="shared" ca="1" si="54"/>
        <v/>
      </c>
      <c r="D173" s="4" t="str">
        <f t="shared" ca="1" si="54"/>
        <v/>
      </c>
      <c r="E173" s="4" t="str">
        <f t="shared" ca="1" si="54"/>
        <v/>
      </c>
      <c r="F173" s="4" t="str">
        <f t="shared" ca="1" si="54"/>
        <v/>
      </c>
      <c r="G173" s="4" t="str">
        <f t="shared" ca="1" si="54"/>
        <v/>
      </c>
      <c r="H173" s="4" t="str">
        <f t="shared" ca="1" si="54"/>
        <v/>
      </c>
      <c r="I173" s="4" t="str">
        <f t="shared" ca="1" si="54"/>
        <v/>
      </c>
      <c r="J173" s="4" t="str">
        <f t="shared" ca="1" si="54"/>
        <v/>
      </c>
      <c r="K173" s="4" t="str">
        <f t="shared" ca="1" si="54"/>
        <v/>
      </c>
      <c r="L173" s="4" t="str">
        <f t="shared" ca="1" si="54"/>
        <v/>
      </c>
      <c r="M173" s="4" t="str">
        <f t="shared" ca="1" si="55"/>
        <v/>
      </c>
      <c r="N173" s="4" t="str">
        <f t="shared" ca="1" si="55"/>
        <v/>
      </c>
      <c r="O173" s="4" t="str">
        <f t="shared" ca="1" si="55"/>
        <v/>
      </c>
      <c r="P173" s="4" t="str">
        <f t="shared" ca="1" si="55"/>
        <v/>
      </c>
      <c r="Q173" s="4" t="str">
        <f t="shared" ca="1" si="55"/>
        <v/>
      </c>
      <c r="R173" s="4" t="str">
        <f t="shared" ca="1" si="55"/>
        <v/>
      </c>
      <c r="S173" s="4" t="str">
        <f t="shared" ca="1" si="55"/>
        <v/>
      </c>
      <c r="T173" s="4" t="str">
        <f t="shared" ca="1" si="55"/>
        <v/>
      </c>
      <c r="U173" s="4" t="str">
        <f t="shared" ca="1" si="55"/>
        <v/>
      </c>
      <c r="V173" s="4" t="str">
        <f t="shared" ca="1" si="55"/>
        <v/>
      </c>
      <c r="W173" s="4" t="str">
        <f t="shared" ca="1" si="56"/>
        <v/>
      </c>
      <c r="X173" s="4" t="str">
        <f t="shared" ca="1" si="56"/>
        <v/>
      </c>
      <c r="Y173" s="4" t="str">
        <f t="shared" ca="1" si="56"/>
        <v/>
      </c>
      <c r="Z173" s="4" t="str">
        <f t="shared" ca="1" si="56"/>
        <v/>
      </c>
      <c r="AA173" s="4" t="str">
        <f t="shared" ca="1" si="56"/>
        <v/>
      </c>
      <c r="AB173" s="4" t="str">
        <f t="shared" ca="1" si="56"/>
        <v/>
      </c>
      <c r="AC173" s="4" t="str">
        <f t="shared" ca="1" si="56"/>
        <v/>
      </c>
      <c r="AD173" s="4" t="str">
        <f t="shared" ca="1" si="56"/>
        <v/>
      </c>
      <c r="AE173" s="4" t="str">
        <f t="shared" ca="1" si="56"/>
        <v/>
      </c>
      <c r="AF173" s="4" t="str">
        <f t="shared" ca="1" si="56"/>
        <v/>
      </c>
      <c r="AG173" s="4" t="str">
        <f t="shared" ca="1" si="57"/>
        <v/>
      </c>
      <c r="AH173" s="4" t="str">
        <f t="shared" ca="1" si="57"/>
        <v/>
      </c>
      <c r="AI173" s="4" t="str">
        <f t="shared" ca="1" si="57"/>
        <v/>
      </c>
      <c r="AJ173" s="4" t="str">
        <f t="shared" ca="1" si="57"/>
        <v/>
      </c>
      <c r="AK173" s="4" t="str">
        <f t="shared" ca="1" si="57"/>
        <v/>
      </c>
      <c r="AL173" s="4" t="str">
        <f t="shared" ca="1" si="57"/>
        <v/>
      </c>
      <c r="AM173" s="4" t="str">
        <f t="shared" ca="1" si="57"/>
        <v/>
      </c>
      <c r="AN173" s="4" t="str">
        <f t="shared" ca="1" si="57"/>
        <v/>
      </c>
      <c r="AO173" s="4" t="str">
        <f t="shared" ca="1" si="57"/>
        <v/>
      </c>
      <c r="AP173" s="4" t="str">
        <f t="shared" ca="1" si="57"/>
        <v/>
      </c>
      <c r="AQ173" s="4" t="str">
        <f t="shared" ca="1" si="58"/>
        <v/>
      </c>
      <c r="AR173" s="4" t="str">
        <f t="shared" ca="1" si="58"/>
        <v/>
      </c>
      <c r="AS173" s="4" t="str">
        <f t="shared" ca="1" si="58"/>
        <v/>
      </c>
      <c r="AT173" s="4" t="str">
        <f t="shared" ca="1" si="58"/>
        <v/>
      </c>
      <c r="AU173" s="4" t="str">
        <f t="shared" ca="1" si="58"/>
        <v/>
      </c>
      <c r="AV173" s="4" t="str">
        <f t="shared" ca="1" si="58"/>
        <v/>
      </c>
      <c r="AW173" s="4" t="str">
        <f t="shared" ca="1" si="58"/>
        <v/>
      </c>
      <c r="AX173" s="4" t="str">
        <f t="shared" ca="1" si="58"/>
        <v/>
      </c>
      <c r="AY173" s="4" t="str">
        <f t="shared" ca="1" si="58"/>
        <v/>
      </c>
      <c r="AZ173" s="4" t="str">
        <f t="shared" ca="1" si="58"/>
        <v/>
      </c>
      <c r="BA173" s="4" t="str">
        <f t="shared" si="53"/>
        <v/>
      </c>
    </row>
    <row r="174" spans="1:53">
      <c r="A174">
        <v>110</v>
      </c>
      <c r="C174" s="4" t="str">
        <f t="shared" ca="1" si="54"/>
        <v/>
      </c>
      <c r="D174" s="4" t="str">
        <f t="shared" ca="1" si="54"/>
        <v/>
      </c>
      <c r="E174" s="4" t="str">
        <f t="shared" ca="1" si="54"/>
        <v/>
      </c>
      <c r="F174" s="4" t="str">
        <f t="shared" ca="1" si="54"/>
        <v/>
      </c>
      <c r="G174" s="4" t="str">
        <f t="shared" ca="1" si="54"/>
        <v/>
      </c>
      <c r="H174" s="4" t="str">
        <f t="shared" ca="1" si="54"/>
        <v/>
      </c>
      <c r="I174" s="4" t="str">
        <f t="shared" ca="1" si="54"/>
        <v/>
      </c>
      <c r="J174" s="4" t="str">
        <f t="shared" ca="1" si="54"/>
        <v/>
      </c>
      <c r="K174" s="4" t="str">
        <f t="shared" ca="1" si="54"/>
        <v/>
      </c>
      <c r="L174" s="4" t="str">
        <f t="shared" ca="1" si="54"/>
        <v/>
      </c>
      <c r="M174" s="4" t="str">
        <f t="shared" ca="1" si="55"/>
        <v/>
      </c>
      <c r="N174" s="4" t="str">
        <f t="shared" ca="1" si="55"/>
        <v/>
      </c>
      <c r="O174" s="4" t="str">
        <f t="shared" ca="1" si="55"/>
        <v/>
      </c>
      <c r="P174" s="4" t="str">
        <f t="shared" ca="1" si="55"/>
        <v/>
      </c>
      <c r="Q174" s="4" t="str">
        <f t="shared" ca="1" si="55"/>
        <v/>
      </c>
      <c r="R174" s="4" t="str">
        <f t="shared" ca="1" si="55"/>
        <v/>
      </c>
      <c r="S174" s="4" t="str">
        <f t="shared" ca="1" si="55"/>
        <v/>
      </c>
      <c r="T174" s="4" t="str">
        <f t="shared" ca="1" si="55"/>
        <v/>
      </c>
      <c r="U174" s="4" t="str">
        <f t="shared" ca="1" si="55"/>
        <v/>
      </c>
      <c r="V174" s="4" t="str">
        <f t="shared" ca="1" si="55"/>
        <v/>
      </c>
      <c r="W174" s="4" t="str">
        <f t="shared" ca="1" si="56"/>
        <v/>
      </c>
      <c r="X174" s="4" t="str">
        <f t="shared" ca="1" si="56"/>
        <v/>
      </c>
      <c r="Y174" s="4" t="str">
        <f t="shared" ca="1" si="56"/>
        <v/>
      </c>
      <c r="Z174" s="4" t="str">
        <f t="shared" ca="1" si="56"/>
        <v/>
      </c>
      <c r="AA174" s="4" t="str">
        <f t="shared" ca="1" si="56"/>
        <v/>
      </c>
      <c r="AB174" s="4" t="str">
        <f t="shared" ca="1" si="56"/>
        <v/>
      </c>
      <c r="AC174" s="4" t="str">
        <f t="shared" ca="1" si="56"/>
        <v/>
      </c>
      <c r="AD174" s="4" t="str">
        <f t="shared" ca="1" si="56"/>
        <v/>
      </c>
      <c r="AE174" s="4" t="str">
        <f t="shared" ca="1" si="56"/>
        <v/>
      </c>
      <c r="AF174" s="4" t="str">
        <f t="shared" ca="1" si="56"/>
        <v/>
      </c>
      <c r="AG174" s="4" t="str">
        <f t="shared" ca="1" si="57"/>
        <v/>
      </c>
      <c r="AH174" s="4" t="str">
        <f t="shared" ca="1" si="57"/>
        <v/>
      </c>
      <c r="AI174" s="4" t="str">
        <f t="shared" ca="1" si="57"/>
        <v/>
      </c>
      <c r="AJ174" s="4" t="str">
        <f t="shared" ca="1" si="57"/>
        <v/>
      </c>
      <c r="AK174" s="4" t="str">
        <f t="shared" ca="1" si="57"/>
        <v/>
      </c>
      <c r="AL174" s="4" t="str">
        <f t="shared" ca="1" si="57"/>
        <v/>
      </c>
      <c r="AM174" s="4" t="str">
        <f t="shared" ca="1" si="57"/>
        <v/>
      </c>
      <c r="AN174" s="4" t="str">
        <f t="shared" ca="1" si="57"/>
        <v/>
      </c>
      <c r="AO174" s="4" t="str">
        <f t="shared" ca="1" si="57"/>
        <v/>
      </c>
      <c r="AP174" s="4" t="str">
        <f t="shared" ca="1" si="57"/>
        <v/>
      </c>
      <c r="AQ174" s="4" t="str">
        <f t="shared" ca="1" si="58"/>
        <v/>
      </c>
      <c r="AR174" s="4" t="str">
        <f t="shared" ca="1" si="58"/>
        <v/>
      </c>
      <c r="AS174" s="4" t="str">
        <f t="shared" ca="1" si="58"/>
        <v/>
      </c>
      <c r="AT174" s="4" t="str">
        <f t="shared" ca="1" si="58"/>
        <v/>
      </c>
      <c r="AU174" s="4" t="str">
        <f t="shared" ca="1" si="58"/>
        <v/>
      </c>
      <c r="AV174" s="4" t="str">
        <f t="shared" ca="1" si="58"/>
        <v/>
      </c>
      <c r="AW174" s="4" t="str">
        <f t="shared" ca="1" si="58"/>
        <v/>
      </c>
      <c r="AX174" s="4" t="str">
        <f t="shared" ca="1" si="58"/>
        <v/>
      </c>
      <c r="AY174" s="4" t="str">
        <f t="shared" ca="1" si="58"/>
        <v/>
      </c>
      <c r="AZ174" s="4" t="str">
        <f t="shared" ca="1" si="58"/>
        <v/>
      </c>
      <c r="BA174" s="4" t="str">
        <f t="shared" si="53"/>
        <v/>
      </c>
    </row>
    <row r="175" spans="1:53">
      <c r="A175">
        <v>111</v>
      </c>
      <c r="C175" s="4" t="str">
        <f t="shared" ref="C175:L184" ca="1" si="59">IF(COLUMN()-2&lt;=$E$3,INDEX($B$10:$B$59,RANDBETWEEN(1,$E$3)),"")</f>
        <v/>
      </c>
      <c r="D175" s="4" t="str">
        <f t="shared" ca="1" si="59"/>
        <v/>
      </c>
      <c r="E175" s="4" t="str">
        <f t="shared" ca="1" si="59"/>
        <v/>
      </c>
      <c r="F175" s="4" t="str">
        <f t="shared" ca="1" si="59"/>
        <v/>
      </c>
      <c r="G175" s="4" t="str">
        <f t="shared" ca="1" si="59"/>
        <v/>
      </c>
      <c r="H175" s="4" t="str">
        <f t="shared" ca="1" si="59"/>
        <v/>
      </c>
      <c r="I175" s="4" t="str">
        <f t="shared" ca="1" si="59"/>
        <v/>
      </c>
      <c r="J175" s="4" t="str">
        <f t="shared" ca="1" si="59"/>
        <v/>
      </c>
      <c r="K175" s="4" t="str">
        <f t="shared" ca="1" si="59"/>
        <v/>
      </c>
      <c r="L175" s="4" t="str">
        <f t="shared" ca="1" si="59"/>
        <v/>
      </c>
      <c r="M175" s="4" t="str">
        <f t="shared" ref="M175:V184" ca="1" si="60">IF(COLUMN()-2&lt;=$E$3,INDEX($B$10:$B$59,RANDBETWEEN(1,$E$3)),"")</f>
        <v/>
      </c>
      <c r="N175" s="4" t="str">
        <f t="shared" ca="1" si="60"/>
        <v/>
      </c>
      <c r="O175" s="4" t="str">
        <f t="shared" ca="1" si="60"/>
        <v/>
      </c>
      <c r="P175" s="4" t="str">
        <f t="shared" ca="1" si="60"/>
        <v/>
      </c>
      <c r="Q175" s="4" t="str">
        <f t="shared" ca="1" si="60"/>
        <v/>
      </c>
      <c r="R175" s="4" t="str">
        <f t="shared" ca="1" si="60"/>
        <v/>
      </c>
      <c r="S175" s="4" t="str">
        <f t="shared" ca="1" si="60"/>
        <v/>
      </c>
      <c r="T175" s="4" t="str">
        <f t="shared" ca="1" si="60"/>
        <v/>
      </c>
      <c r="U175" s="4" t="str">
        <f t="shared" ca="1" si="60"/>
        <v/>
      </c>
      <c r="V175" s="4" t="str">
        <f t="shared" ca="1" si="60"/>
        <v/>
      </c>
      <c r="W175" s="4" t="str">
        <f t="shared" ref="W175:AF184" ca="1" si="61">IF(COLUMN()-2&lt;=$E$3,INDEX($B$10:$B$59,RANDBETWEEN(1,$E$3)),"")</f>
        <v/>
      </c>
      <c r="X175" s="4" t="str">
        <f t="shared" ca="1" si="61"/>
        <v/>
      </c>
      <c r="Y175" s="4" t="str">
        <f t="shared" ca="1" si="61"/>
        <v/>
      </c>
      <c r="Z175" s="4" t="str">
        <f t="shared" ca="1" si="61"/>
        <v/>
      </c>
      <c r="AA175" s="4" t="str">
        <f t="shared" ca="1" si="61"/>
        <v/>
      </c>
      <c r="AB175" s="4" t="str">
        <f t="shared" ca="1" si="61"/>
        <v/>
      </c>
      <c r="AC175" s="4" t="str">
        <f t="shared" ca="1" si="61"/>
        <v/>
      </c>
      <c r="AD175" s="4" t="str">
        <f t="shared" ca="1" si="61"/>
        <v/>
      </c>
      <c r="AE175" s="4" t="str">
        <f t="shared" ca="1" si="61"/>
        <v/>
      </c>
      <c r="AF175" s="4" t="str">
        <f t="shared" ca="1" si="61"/>
        <v/>
      </c>
      <c r="AG175" s="4" t="str">
        <f t="shared" ref="AG175:AP184" ca="1" si="62">IF(COLUMN()-2&lt;=$E$3,INDEX($B$10:$B$59,RANDBETWEEN(1,$E$3)),"")</f>
        <v/>
      </c>
      <c r="AH175" s="4" t="str">
        <f t="shared" ca="1" si="62"/>
        <v/>
      </c>
      <c r="AI175" s="4" t="str">
        <f t="shared" ca="1" si="62"/>
        <v/>
      </c>
      <c r="AJ175" s="4" t="str">
        <f t="shared" ca="1" si="62"/>
        <v/>
      </c>
      <c r="AK175" s="4" t="str">
        <f t="shared" ca="1" si="62"/>
        <v/>
      </c>
      <c r="AL175" s="4" t="str">
        <f t="shared" ca="1" si="62"/>
        <v/>
      </c>
      <c r="AM175" s="4" t="str">
        <f t="shared" ca="1" si="62"/>
        <v/>
      </c>
      <c r="AN175" s="4" t="str">
        <f t="shared" ca="1" si="62"/>
        <v/>
      </c>
      <c r="AO175" s="4" t="str">
        <f t="shared" ca="1" si="62"/>
        <v/>
      </c>
      <c r="AP175" s="4" t="str">
        <f t="shared" ca="1" si="62"/>
        <v/>
      </c>
      <c r="AQ175" s="4" t="str">
        <f t="shared" ref="AQ175:AZ184" ca="1" si="63">IF(COLUMN()-2&lt;=$E$3,INDEX($B$10:$B$59,RANDBETWEEN(1,$E$3)),"")</f>
        <v/>
      </c>
      <c r="AR175" s="4" t="str">
        <f t="shared" ca="1" si="63"/>
        <v/>
      </c>
      <c r="AS175" s="4" t="str">
        <f t="shared" ca="1" si="63"/>
        <v/>
      </c>
      <c r="AT175" s="4" t="str">
        <f t="shared" ca="1" si="63"/>
        <v/>
      </c>
      <c r="AU175" s="4" t="str">
        <f t="shared" ca="1" si="63"/>
        <v/>
      </c>
      <c r="AV175" s="4" t="str">
        <f t="shared" ca="1" si="63"/>
        <v/>
      </c>
      <c r="AW175" s="4" t="str">
        <f t="shared" ca="1" si="63"/>
        <v/>
      </c>
      <c r="AX175" s="4" t="str">
        <f t="shared" ca="1" si="63"/>
        <v/>
      </c>
      <c r="AY175" s="4" t="str">
        <f t="shared" ca="1" si="63"/>
        <v/>
      </c>
      <c r="AZ175" s="4" t="str">
        <f t="shared" ca="1" si="63"/>
        <v/>
      </c>
      <c r="BA175" s="4" t="str">
        <f t="shared" si="53"/>
        <v/>
      </c>
    </row>
    <row r="176" spans="1:53">
      <c r="A176">
        <v>112</v>
      </c>
      <c r="C176" s="4" t="str">
        <f t="shared" ca="1" si="59"/>
        <v/>
      </c>
      <c r="D176" s="4" t="str">
        <f t="shared" ca="1" si="59"/>
        <v/>
      </c>
      <c r="E176" s="4" t="str">
        <f t="shared" ca="1" si="59"/>
        <v/>
      </c>
      <c r="F176" s="4" t="str">
        <f t="shared" ca="1" si="59"/>
        <v/>
      </c>
      <c r="G176" s="4" t="str">
        <f t="shared" ca="1" si="59"/>
        <v/>
      </c>
      <c r="H176" s="4" t="str">
        <f t="shared" ca="1" si="59"/>
        <v/>
      </c>
      <c r="I176" s="4" t="str">
        <f t="shared" ca="1" si="59"/>
        <v/>
      </c>
      <c r="J176" s="4" t="str">
        <f t="shared" ca="1" si="59"/>
        <v/>
      </c>
      <c r="K176" s="4" t="str">
        <f t="shared" ca="1" si="59"/>
        <v/>
      </c>
      <c r="L176" s="4" t="str">
        <f t="shared" ca="1" si="59"/>
        <v/>
      </c>
      <c r="M176" s="4" t="str">
        <f t="shared" ca="1" si="60"/>
        <v/>
      </c>
      <c r="N176" s="4" t="str">
        <f t="shared" ca="1" si="60"/>
        <v/>
      </c>
      <c r="O176" s="4" t="str">
        <f t="shared" ca="1" si="60"/>
        <v/>
      </c>
      <c r="P176" s="4" t="str">
        <f t="shared" ca="1" si="60"/>
        <v/>
      </c>
      <c r="Q176" s="4" t="str">
        <f t="shared" ca="1" si="60"/>
        <v/>
      </c>
      <c r="R176" s="4" t="str">
        <f t="shared" ca="1" si="60"/>
        <v/>
      </c>
      <c r="S176" s="4" t="str">
        <f t="shared" ca="1" si="60"/>
        <v/>
      </c>
      <c r="T176" s="4" t="str">
        <f t="shared" ca="1" si="60"/>
        <v/>
      </c>
      <c r="U176" s="4" t="str">
        <f t="shared" ca="1" si="60"/>
        <v/>
      </c>
      <c r="V176" s="4" t="str">
        <f t="shared" ca="1" si="60"/>
        <v/>
      </c>
      <c r="W176" s="4" t="str">
        <f t="shared" ca="1" si="61"/>
        <v/>
      </c>
      <c r="X176" s="4" t="str">
        <f t="shared" ca="1" si="61"/>
        <v/>
      </c>
      <c r="Y176" s="4" t="str">
        <f t="shared" ca="1" si="61"/>
        <v/>
      </c>
      <c r="Z176" s="4" t="str">
        <f t="shared" ca="1" si="61"/>
        <v/>
      </c>
      <c r="AA176" s="4" t="str">
        <f t="shared" ca="1" si="61"/>
        <v/>
      </c>
      <c r="AB176" s="4" t="str">
        <f t="shared" ca="1" si="61"/>
        <v/>
      </c>
      <c r="AC176" s="4" t="str">
        <f t="shared" ca="1" si="61"/>
        <v/>
      </c>
      <c r="AD176" s="4" t="str">
        <f t="shared" ca="1" si="61"/>
        <v/>
      </c>
      <c r="AE176" s="4" t="str">
        <f t="shared" ca="1" si="61"/>
        <v/>
      </c>
      <c r="AF176" s="4" t="str">
        <f t="shared" ca="1" si="61"/>
        <v/>
      </c>
      <c r="AG176" s="4" t="str">
        <f t="shared" ca="1" si="62"/>
        <v/>
      </c>
      <c r="AH176" s="4" t="str">
        <f t="shared" ca="1" si="62"/>
        <v/>
      </c>
      <c r="AI176" s="4" t="str">
        <f t="shared" ca="1" si="62"/>
        <v/>
      </c>
      <c r="AJ176" s="4" t="str">
        <f t="shared" ca="1" si="62"/>
        <v/>
      </c>
      <c r="AK176" s="4" t="str">
        <f t="shared" ca="1" si="62"/>
        <v/>
      </c>
      <c r="AL176" s="4" t="str">
        <f t="shared" ca="1" si="62"/>
        <v/>
      </c>
      <c r="AM176" s="4" t="str">
        <f t="shared" ca="1" si="62"/>
        <v/>
      </c>
      <c r="AN176" s="4" t="str">
        <f t="shared" ca="1" si="62"/>
        <v/>
      </c>
      <c r="AO176" s="4" t="str">
        <f t="shared" ca="1" si="62"/>
        <v/>
      </c>
      <c r="AP176" s="4" t="str">
        <f t="shared" ca="1" si="62"/>
        <v/>
      </c>
      <c r="AQ176" s="4" t="str">
        <f t="shared" ca="1" si="63"/>
        <v/>
      </c>
      <c r="AR176" s="4" t="str">
        <f t="shared" ca="1" si="63"/>
        <v/>
      </c>
      <c r="AS176" s="4" t="str">
        <f t="shared" ca="1" si="63"/>
        <v/>
      </c>
      <c r="AT176" s="4" t="str">
        <f t="shared" ca="1" si="63"/>
        <v/>
      </c>
      <c r="AU176" s="4" t="str">
        <f t="shared" ca="1" si="63"/>
        <v/>
      </c>
      <c r="AV176" s="4" t="str">
        <f t="shared" ca="1" si="63"/>
        <v/>
      </c>
      <c r="AW176" s="4" t="str">
        <f t="shared" ca="1" si="63"/>
        <v/>
      </c>
      <c r="AX176" s="4" t="str">
        <f t="shared" ca="1" si="63"/>
        <v/>
      </c>
      <c r="AY176" s="4" t="str">
        <f t="shared" ca="1" si="63"/>
        <v/>
      </c>
      <c r="AZ176" s="4" t="str">
        <f t="shared" ca="1" si="63"/>
        <v/>
      </c>
      <c r="BA176" s="4" t="str">
        <f t="shared" si="53"/>
        <v/>
      </c>
    </row>
    <row r="177" spans="1:53">
      <c r="A177">
        <v>113</v>
      </c>
      <c r="C177" s="4" t="str">
        <f t="shared" ca="1" si="59"/>
        <v/>
      </c>
      <c r="D177" s="4" t="str">
        <f t="shared" ca="1" si="59"/>
        <v/>
      </c>
      <c r="E177" s="4" t="str">
        <f t="shared" ca="1" si="59"/>
        <v/>
      </c>
      <c r="F177" s="4" t="str">
        <f t="shared" ca="1" si="59"/>
        <v/>
      </c>
      <c r="G177" s="4" t="str">
        <f t="shared" ca="1" si="59"/>
        <v/>
      </c>
      <c r="H177" s="4" t="str">
        <f t="shared" ca="1" si="59"/>
        <v/>
      </c>
      <c r="I177" s="4" t="str">
        <f t="shared" ca="1" si="59"/>
        <v/>
      </c>
      <c r="J177" s="4" t="str">
        <f t="shared" ca="1" si="59"/>
        <v/>
      </c>
      <c r="K177" s="4" t="str">
        <f t="shared" ca="1" si="59"/>
        <v/>
      </c>
      <c r="L177" s="4" t="str">
        <f t="shared" ca="1" si="59"/>
        <v/>
      </c>
      <c r="M177" s="4" t="str">
        <f t="shared" ca="1" si="60"/>
        <v/>
      </c>
      <c r="N177" s="4" t="str">
        <f t="shared" ca="1" si="60"/>
        <v/>
      </c>
      <c r="O177" s="4" t="str">
        <f t="shared" ca="1" si="60"/>
        <v/>
      </c>
      <c r="P177" s="4" t="str">
        <f t="shared" ca="1" si="60"/>
        <v/>
      </c>
      <c r="Q177" s="4" t="str">
        <f t="shared" ca="1" si="60"/>
        <v/>
      </c>
      <c r="R177" s="4" t="str">
        <f t="shared" ca="1" si="60"/>
        <v/>
      </c>
      <c r="S177" s="4" t="str">
        <f t="shared" ca="1" si="60"/>
        <v/>
      </c>
      <c r="T177" s="4" t="str">
        <f t="shared" ca="1" si="60"/>
        <v/>
      </c>
      <c r="U177" s="4" t="str">
        <f t="shared" ca="1" si="60"/>
        <v/>
      </c>
      <c r="V177" s="4" t="str">
        <f t="shared" ca="1" si="60"/>
        <v/>
      </c>
      <c r="W177" s="4" t="str">
        <f t="shared" ca="1" si="61"/>
        <v/>
      </c>
      <c r="X177" s="4" t="str">
        <f t="shared" ca="1" si="61"/>
        <v/>
      </c>
      <c r="Y177" s="4" t="str">
        <f t="shared" ca="1" si="61"/>
        <v/>
      </c>
      <c r="Z177" s="4" t="str">
        <f t="shared" ca="1" si="61"/>
        <v/>
      </c>
      <c r="AA177" s="4" t="str">
        <f t="shared" ca="1" si="61"/>
        <v/>
      </c>
      <c r="AB177" s="4" t="str">
        <f t="shared" ca="1" si="61"/>
        <v/>
      </c>
      <c r="AC177" s="4" t="str">
        <f t="shared" ca="1" si="61"/>
        <v/>
      </c>
      <c r="AD177" s="4" t="str">
        <f t="shared" ca="1" si="61"/>
        <v/>
      </c>
      <c r="AE177" s="4" t="str">
        <f t="shared" ca="1" si="61"/>
        <v/>
      </c>
      <c r="AF177" s="4" t="str">
        <f t="shared" ca="1" si="61"/>
        <v/>
      </c>
      <c r="AG177" s="4" t="str">
        <f t="shared" ca="1" si="62"/>
        <v/>
      </c>
      <c r="AH177" s="4" t="str">
        <f t="shared" ca="1" si="62"/>
        <v/>
      </c>
      <c r="AI177" s="4" t="str">
        <f t="shared" ca="1" si="62"/>
        <v/>
      </c>
      <c r="AJ177" s="4" t="str">
        <f t="shared" ca="1" si="62"/>
        <v/>
      </c>
      <c r="AK177" s="4" t="str">
        <f t="shared" ca="1" si="62"/>
        <v/>
      </c>
      <c r="AL177" s="4" t="str">
        <f t="shared" ca="1" si="62"/>
        <v/>
      </c>
      <c r="AM177" s="4" t="str">
        <f t="shared" ca="1" si="62"/>
        <v/>
      </c>
      <c r="AN177" s="4" t="str">
        <f t="shared" ca="1" si="62"/>
        <v/>
      </c>
      <c r="AO177" s="4" t="str">
        <f t="shared" ca="1" si="62"/>
        <v/>
      </c>
      <c r="AP177" s="4" t="str">
        <f t="shared" ca="1" si="62"/>
        <v/>
      </c>
      <c r="AQ177" s="4" t="str">
        <f t="shared" ca="1" si="63"/>
        <v/>
      </c>
      <c r="AR177" s="4" t="str">
        <f t="shared" ca="1" si="63"/>
        <v/>
      </c>
      <c r="AS177" s="4" t="str">
        <f t="shared" ca="1" si="63"/>
        <v/>
      </c>
      <c r="AT177" s="4" t="str">
        <f t="shared" ca="1" si="63"/>
        <v/>
      </c>
      <c r="AU177" s="4" t="str">
        <f t="shared" ca="1" si="63"/>
        <v/>
      </c>
      <c r="AV177" s="4" t="str">
        <f t="shared" ca="1" si="63"/>
        <v/>
      </c>
      <c r="AW177" s="4" t="str">
        <f t="shared" ca="1" si="63"/>
        <v/>
      </c>
      <c r="AX177" s="4" t="str">
        <f t="shared" ca="1" si="63"/>
        <v/>
      </c>
      <c r="AY177" s="4" t="str">
        <f t="shared" ca="1" si="63"/>
        <v/>
      </c>
      <c r="AZ177" s="4" t="str">
        <f t="shared" ca="1" si="63"/>
        <v/>
      </c>
      <c r="BA177" s="4" t="str">
        <f t="shared" si="53"/>
        <v/>
      </c>
    </row>
    <row r="178" spans="1:53">
      <c r="A178">
        <v>114</v>
      </c>
      <c r="C178" s="4" t="str">
        <f t="shared" ca="1" si="59"/>
        <v/>
      </c>
      <c r="D178" s="4" t="str">
        <f t="shared" ca="1" si="59"/>
        <v/>
      </c>
      <c r="E178" s="4" t="str">
        <f t="shared" ca="1" si="59"/>
        <v/>
      </c>
      <c r="F178" s="4" t="str">
        <f t="shared" ca="1" si="59"/>
        <v/>
      </c>
      <c r="G178" s="4" t="str">
        <f t="shared" ca="1" si="59"/>
        <v/>
      </c>
      <c r="H178" s="4" t="str">
        <f t="shared" ca="1" si="59"/>
        <v/>
      </c>
      <c r="I178" s="4" t="str">
        <f t="shared" ca="1" si="59"/>
        <v/>
      </c>
      <c r="J178" s="4" t="str">
        <f t="shared" ca="1" si="59"/>
        <v/>
      </c>
      <c r="K178" s="4" t="str">
        <f t="shared" ca="1" si="59"/>
        <v/>
      </c>
      <c r="L178" s="4" t="str">
        <f t="shared" ca="1" si="59"/>
        <v/>
      </c>
      <c r="M178" s="4" t="str">
        <f t="shared" ca="1" si="60"/>
        <v/>
      </c>
      <c r="N178" s="4" t="str">
        <f t="shared" ca="1" si="60"/>
        <v/>
      </c>
      <c r="O178" s="4" t="str">
        <f t="shared" ca="1" si="60"/>
        <v/>
      </c>
      <c r="P178" s="4" t="str">
        <f t="shared" ca="1" si="60"/>
        <v/>
      </c>
      <c r="Q178" s="4" t="str">
        <f t="shared" ca="1" si="60"/>
        <v/>
      </c>
      <c r="R178" s="4" t="str">
        <f t="shared" ca="1" si="60"/>
        <v/>
      </c>
      <c r="S178" s="4" t="str">
        <f t="shared" ca="1" si="60"/>
        <v/>
      </c>
      <c r="T178" s="4" t="str">
        <f t="shared" ca="1" si="60"/>
        <v/>
      </c>
      <c r="U178" s="4" t="str">
        <f t="shared" ca="1" si="60"/>
        <v/>
      </c>
      <c r="V178" s="4" t="str">
        <f t="shared" ca="1" si="60"/>
        <v/>
      </c>
      <c r="W178" s="4" t="str">
        <f t="shared" ca="1" si="61"/>
        <v/>
      </c>
      <c r="X178" s="4" t="str">
        <f t="shared" ca="1" si="61"/>
        <v/>
      </c>
      <c r="Y178" s="4" t="str">
        <f t="shared" ca="1" si="61"/>
        <v/>
      </c>
      <c r="Z178" s="4" t="str">
        <f t="shared" ca="1" si="61"/>
        <v/>
      </c>
      <c r="AA178" s="4" t="str">
        <f t="shared" ca="1" si="61"/>
        <v/>
      </c>
      <c r="AB178" s="4" t="str">
        <f t="shared" ca="1" si="61"/>
        <v/>
      </c>
      <c r="AC178" s="4" t="str">
        <f t="shared" ca="1" si="61"/>
        <v/>
      </c>
      <c r="AD178" s="4" t="str">
        <f t="shared" ca="1" si="61"/>
        <v/>
      </c>
      <c r="AE178" s="4" t="str">
        <f t="shared" ca="1" si="61"/>
        <v/>
      </c>
      <c r="AF178" s="4" t="str">
        <f t="shared" ca="1" si="61"/>
        <v/>
      </c>
      <c r="AG178" s="4" t="str">
        <f t="shared" ca="1" si="62"/>
        <v/>
      </c>
      <c r="AH178" s="4" t="str">
        <f t="shared" ca="1" si="62"/>
        <v/>
      </c>
      <c r="AI178" s="4" t="str">
        <f t="shared" ca="1" si="62"/>
        <v/>
      </c>
      <c r="AJ178" s="4" t="str">
        <f t="shared" ca="1" si="62"/>
        <v/>
      </c>
      <c r="AK178" s="4" t="str">
        <f t="shared" ca="1" si="62"/>
        <v/>
      </c>
      <c r="AL178" s="4" t="str">
        <f t="shared" ca="1" si="62"/>
        <v/>
      </c>
      <c r="AM178" s="4" t="str">
        <f t="shared" ca="1" si="62"/>
        <v/>
      </c>
      <c r="AN178" s="4" t="str">
        <f t="shared" ca="1" si="62"/>
        <v/>
      </c>
      <c r="AO178" s="4" t="str">
        <f t="shared" ca="1" si="62"/>
        <v/>
      </c>
      <c r="AP178" s="4" t="str">
        <f t="shared" ca="1" si="62"/>
        <v/>
      </c>
      <c r="AQ178" s="4" t="str">
        <f t="shared" ca="1" si="63"/>
        <v/>
      </c>
      <c r="AR178" s="4" t="str">
        <f t="shared" ca="1" si="63"/>
        <v/>
      </c>
      <c r="AS178" s="4" t="str">
        <f t="shared" ca="1" si="63"/>
        <v/>
      </c>
      <c r="AT178" s="4" t="str">
        <f t="shared" ca="1" si="63"/>
        <v/>
      </c>
      <c r="AU178" s="4" t="str">
        <f t="shared" ca="1" si="63"/>
        <v/>
      </c>
      <c r="AV178" s="4" t="str">
        <f t="shared" ca="1" si="63"/>
        <v/>
      </c>
      <c r="AW178" s="4" t="str">
        <f t="shared" ca="1" si="63"/>
        <v/>
      </c>
      <c r="AX178" s="4" t="str">
        <f t="shared" ca="1" si="63"/>
        <v/>
      </c>
      <c r="AY178" s="4" t="str">
        <f t="shared" ca="1" si="63"/>
        <v/>
      </c>
      <c r="AZ178" s="4" t="str">
        <f t="shared" ca="1" si="63"/>
        <v/>
      </c>
      <c r="BA178" s="4" t="str">
        <f t="shared" si="53"/>
        <v/>
      </c>
    </row>
    <row r="179" spans="1:53">
      <c r="A179">
        <v>115</v>
      </c>
      <c r="C179" s="4" t="str">
        <f t="shared" ca="1" si="59"/>
        <v/>
      </c>
      <c r="D179" s="4" t="str">
        <f t="shared" ca="1" si="59"/>
        <v/>
      </c>
      <c r="E179" s="4" t="str">
        <f t="shared" ca="1" si="59"/>
        <v/>
      </c>
      <c r="F179" s="4" t="str">
        <f t="shared" ca="1" si="59"/>
        <v/>
      </c>
      <c r="G179" s="4" t="str">
        <f t="shared" ca="1" si="59"/>
        <v/>
      </c>
      <c r="H179" s="4" t="str">
        <f t="shared" ca="1" si="59"/>
        <v/>
      </c>
      <c r="I179" s="4" t="str">
        <f t="shared" ca="1" si="59"/>
        <v/>
      </c>
      <c r="J179" s="4" t="str">
        <f t="shared" ca="1" si="59"/>
        <v/>
      </c>
      <c r="K179" s="4" t="str">
        <f t="shared" ca="1" si="59"/>
        <v/>
      </c>
      <c r="L179" s="4" t="str">
        <f t="shared" ca="1" si="59"/>
        <v/>
      </c>
      <c r="M179" s="4" t="str">
        <f t="shared" ca="1" si="60"/>
        <v/>
      </c>
      <c r="N179" s="4" t="str">
        <f t="shared" ca="1" si="60"/>
        <v/>
      </c>
      <c r="O179" s="4" t="str">
        <f t="shared" ca="1" si="60"/>
        <v/>
      </c>
      <c r="P179" s="4" t="str">
        <f t="shared" ca="1" si="60"/>
        <v/>
      </c>
      <c r="Q179" s="4" t="str">
        <f t="shared" ca="1" si="60"/>
        <v/>
      </c>
      <c r="R179" s="4" t="str">
        <f t="shared" ca="1" si="60"/>
        <v/>
      </c>
      <c r="S179" s="4" t="str">
        <f t="shared" ca="1" si="60"/>
        <v/>
      </c>
      <c r="T179" s="4" t="str">
        <f t="shared" ca="1" si="60"/>
        <v/>
      </c>
      <c r="U179" s="4" t="str">
        <f t="shared" ca="1" si="60"/>
        <v/>
      </c>
      <c r="V179" s="4" t="str">
        <f t="shared" ca="1" si="60"/>
        <v/>
      </c>
      <c r="W179" s="4" t="str">
        <f t="shared" ca="1" si="61"/>
        <v/>
      </c>
      <c r="X179" s="4" t="str">
        <f t="shared" ca="1" si="61"/>
        <v/>
      </c>
      <c r="Y179" s="4" t="str">
        <f t="shared" ca="1" si="61"/>
        <v/>
      </c>
      <c r="Z179" s="4" t="str">
        <f t="shared" ca="1" si="61"/>
        <v/>
      </c>
      <c r="AA179" s="4" t="str">
        <f t="shared" ca="1" si="61"/>
        <v/>
      </c>
      <c r="AB179" s="4" t="str">
        <f t="shared" ca="1" si="61"/>
        <v/>
      </c>
      <c r="AC179" s="4" t="str">
        <f t="shared" ca="1" si="61"/>
        <v/>
      </c>
      <c r="AD179" s="4" t="str">
        <f t="shared" ca="1" si="61"/>
        <v/>
      </c>
      <c r="AE179" s="4" t="str">
        <f t="shared" ca="1" si="61"/>
        <v/>
      </c>
      <c r="AF179" s="4" t="str">
        <f t="shared" ca="1" si="61"/>
        <v/>
      </c>
      <c r="AG179" s="4" t="str">
        <f t="shared" ca="1" si="62"/>
        <v/>
      </c>
      <c r="AH179" s="4" t="str">
        <f t="shared" ca="1" si="62"/>
        <v/>
      </c>
      <c r="AI179" s="4" t="str">
        <f t="shared" ca="1" si="62"/>
        <v/>
      </c>
      <c r="AJ179" s="4" t="str">
        <f t="shared" ca="1" si="62"/>
        <v/>
      </c>
      <c r="AK179" s="4" t="str">
        <f t="shared" ca="1" si="62"/>
        <v/>
      </c>
      <c r="AL179" s="4" t="str">
        <f t="shared" ca="1" si="62"/>
        <v/>
      </c>
      <c r="AM179" s="4" t="str">
        <f t="shared" ca="1" si="62"/>
        <v/>
      </c>
      <c r="AN179" s="4" t="str">
        <f t="shared" ca="1" si="62"/>
        <v/>
      </c>
      <c r="AO179" s="4" t="str">
        <f t="shared" ca="1" si="62"/>
        <v/>
      </c>
      <c r="AP179" s="4" t="str">
        <f t="shared" ca="1" si="62"/>
        <v/>
      </c>
      <c r="AQ179" s="4" t="str">
        <f t="shared" ca="1" si="63"/>
        <v/>
      </c>
      <c r="AR179" s="4" t="str">
        <f t="shared" ca="1" si="63"/>
        <v/>
      </c>
      <c r="AS179" s="4" t="str">
        <f t="shared" ca="1" si="63"/>
        <v/>
      </c>
      <c r="AT179" s="4" t="str">
        <f t="shared" ca="1" si="63"/>
        <v/>
      </c>
      <c r="AU179" s="4" t="str">
        <f t="shared" ca="1" si="63"/>
        <v/>
      </c>
      <c r="AV179" s="4" t="str">
        <f t="shared" ca="1" si="63"/>
        <v/>
      </c>
      <c r="AW179" s="4" t="str">
        <f t="shared" ca="1" si="63"/>
        <v/>
      </c>
      <c r="AX179" s="4" t="str">
        <f t="shared" ca="1" si="63"/>
        <v/>
      </c>
      <c r="AY179" s="4" t="str">
        <f t="shared" ca="1" si="63"/>
        <v/>
      </c>
      <c r="AZ179" s="4" t="str">
        <f t="shared" ca="1" si="63"/>
        <v/>
      </c>
      <c r="BA179" s="4" t="str">
        <f t="shared" si="53"/>
        <v/>
      </c>
    </row>
    <row r="180" spans="1:53">
      <c r="A180">
        <v>116</v>
      </c>
      <c r="C180" s="4" t="str">
        <f t="shared" ca="1" si="59"/>
        <v/>
      </c>
      <c r="D180" s="4" t="str">
        <f t="shared" ca="1" si="59"/>
        <v/>
      </c>
      <c r="E180" s="4" t="str">
        <f t="shared" ca="1" si="59"/>
        <v/>
      </c>
      <c r="F180" s="4" t="str">
        <f t="shared" ca="1" si="59"/>
        <v/>
      </c>
      <c r="G180" s="4" t="str">
        <f t="shared" ca="1" si="59"/>
        <v/>
      </c>
      <c r="H180" s="4" t="str">
        <f t="shared" ca="1" si="59"/>
        <v/>
      </c>
      <c r="I180" s="4" t="str">
        <f t="shared" ca="1" si="59"/>
        <v/>
      </c>
      <c r="J180" s="4" t="str">
        <f t="shared" ca="1" si="59"/>
        <v/>
      </c>
      <c r="K180" s="4" t="str">
        <f t="shared" ca="1" si="59"/>
        <v/>
      </c>
      <c r="L180" s="4" t="str">
        <f t="shared" ca="1" si="59"/>
        <v/>
      </c>
      <c r="M180" s="4" t="str">
        <f t="shared" ca="1" si="60"/>
        <v/>
      </c>
      <c r="N180" s="4" t="str">
        <f t="shared" ca="1" si="60"/>
        <v/>
      </c>
      <c r="O180" s="4" t="str">
        <f t="shared" ca="1" si="60"/>
        <v/>
      </c>
      <c r="P180" s="4" t="str">
        <f t="shared" ca="1" si="60"/>
        <v/>
      </c>
      <c r="Q180" s="4" t="str">
        <f t="shared" ca="1" si="60"/>
        <v/>
      </c>
      <c r="R180" s="4" t="str">
        <f t="shared" ca="1" si="60"/>
        <v/>
      </c>
      <c r="S180" s="4" t="str">
        <f t="shared" ca="1" si="60"/>
        <v/>
      </c>
      <c r="T180" s="4" t="str">
        <f t="shared" ca="1" si="60"/>
        <v/>
      </c>
      <c r="U180" s="4" t="str">
        <f t="shared" ca="1" si="60"/>
        <v/>
      </c>
      <c r="V180" s="4" t="str">
        <f t="shared" ca="1" si="60"/>
        <v/>
      </c>
      <c r="W180" s="4" t="str">
        <f t="shared" ca="1" si="61"/>
        <v/>
      </c>
      <c r="X180" s="4" t="str">
        <f t="shared" ca="1" si="61"/>
        <v/>
      </c>
      <c r="Y180" s="4" t="str">
        <f t="shared" ca="1" si="61"/>
        <v/>
      </c>
      <c r="Z180" s="4" t="str">
        <f t="shared" ca="1" si="61"/>
        <v/>
      </c>
      <c r="AA180" s="4" t="str">
        <f t="shared" ca="1" si="61"/>
        <v/>
      </c>
      <c r="AB180" s="4" t="str">
        <f t="shared" ca="1" si="61"/>
        <v/>
      </c>
      <c r="AC180" s="4" t="str">
        <f t="shared" ca="1" si="61"/>
        <v/>
      </c>
      <c r="AD180" s="4" t="str">
        <f t="shared" ca="1" si="61"/>
        <v/>
      </c>
      <c r="AE180" s="4" t="str">
        <f t="shared" ca="1" si="61"/>
        <v/>
      </c>
      <c r="AF180" s="4" t="str">
        <f t="shared" ca="1" si="61"/>
        <v/>
      </c>
      <c r="AG180" s="4" t="str">
        <f t="shared" ca="1" si="62"/>
        <v/>
      </c>
      <c r="AH180" s="4" t="str">
        <f t="shared" ca="1" si="62"/>
        <v/>
      </c>
      <c r="AI180" s="4" t="str">
        <f t="shared" ca="1" si="62"/>
        <v/>
      </c>
      <c r="AJ180" s="4" t="str">
        <f t="shared" ca="1" si="62"/>
        <v/>
      </c>
      <c r="AK180" s="4" t="str">
        <f t="shared" ca="1" si="62"/>
        <v/>
      </c>
      <c r="AL180" s="4" t="str">
        <f t="shared" ca="1" si="62"/>
        <v/>
      </c>
      <c r="AM180" s="4" t="str">
        <f t="shared" ca="1" si="62"/>
        <v/>
      </c>
      <c r="AN180" s="4" t="str">
        <f t="shared" ca="1" si="62"/>
        <v/>
      </c>
      <c r="AO180" s="4" t="str">
        <f t="shared" ca="1" si="62"/>
        <v/>
      </c>
      <c r="AP180" s="4" t="str">
        <f t="shared" ca="1" si="62"/>
        <v/>
      </c>
      <c r="AQ180" s="4" t="str">
        <f t="shared" ca="1" si="63"/>
        <v/>
      </c>
      <c r="AR180" s="4" t="str">
        <f t="shared" ca="1" si="63"/>
        <v/>
      </c>
      <c r="AS180" s="4" t="str">
        <f t="shared" ca="1" si="63"/>
        <v/>
      </c>
      <c r="AT180" s="4" t="str">
        <f t="shared" ca="1" si="63"/>
        <v/>
      </c>
      <c r="AU180" s="4" t="str">
        <f t="shared" ca="1" si="63"/>
        <v/>
      </c>
      <c r="AV180" s="4" t="str">
        <f t="shared" ca="1" si="63"/>
        <v/>
      </c>
      <c r="AW180" s="4" t="str">
        <f t="shared" ca="1" si="63"/>
        <v/>
      </c>
      <c r="AX180" s="4" t="str">
        <f t="shared" ca="1" si="63"/>
        <v/>
      </c>
      <c r="AY180" s="4" t="str">
        <f t="shared" ca="1" si="63"/>
        <v/>
      </c>
      <c r="AZ180" s="4" t="str">
        <f t="shared" ca="1" si="63"/>
        <v/>
      </c>
      <c r="BA180" s="4" t="str">
        <f t="shared" si="53"/>
        <v/>
      </c>
    </row>
    <row r="181" spans="1:53">
      <c r="A181">
        <v>117</v>
      </c>
      <c r="C181" s="4" t="str">
        <f t="shared" ca="1" si="59"/>
        <v/>
      </c>
      <c r="D181" s="4" t="str">
        <f t="shared" ca="1" si="59"/>
        <v/>
      </c>
      <c r="E181" s="4" t="str">
        <f t="shared" ca="1" si="59"/>
        <v/>
      </c>
      <c r="F181" s="4" t="str">
        <f t="shared" ca="1" si="59"/>
        <v/>
      </c>
      <c r="G181" s="4" t="str">
        <f t="shared" ca="1" si="59"/>
        <v/>
      </c>
      <c r="H181" s="4" t="str">
        <f t="shared" ca="1" si="59"/>
        <v/>
      </c>
      <c r="I181" s="4" t="str">
        <f t="shared" ca="1" si="59"/>
        <v/>
      </c>
      <c r="J181" s="4" t="str">
        <f t="shared" ca="1" si="59"/>
        <v/>
      </c>
      <c r="K181" s="4" t="str">
        <f t="shared" ca="1" si="59"/>
        <v/>
      </c>
      <c r="L181" s="4" t="str">
        <f t="shared" ca="1" si="59"/>
        <v/>
      </c>
      <c r="M181" s="4" t="str">
        <f t="shared" ca="1" si="60"/>
        <v/>
      </c>
      <c r="N181" s="4" t="str">
        <f t="shared" ca="1" si="60"/>
        <v/>
      </c>
      <c r="O181" s="4" t="str">
        <f t="shared" ca="1" si="60"/>
        <v/>
      </c>
      <c r="P181" s="4" t="str">
        <f t="shared" ca="1" si="60"/>
        <v/>
      </c>
      <c r="Q181" s="4" t="str">
        <f t="shared" ca="1" si="60"/>
        <v/>
      </c>
      <c r="R181" s="4" t="str">
        <f t="shared" ca="1" si="60"/>
        <v/>
      </c>
      <c r="S181" s="4" t="str">
        <f t="shared" ca="1" si="60"/>
        <v/>
      </c>
      <c r="T181" s="4" t="str">
        <f t="shared" ca="1" si="60"/>
        <v/>
      </c>
      <c r="U181" s="4" t="str">
        <f t="shared" ca="1" si="60"/>
        <v/>
      </c>
      <c r="V181" s="4" t="str">
        <f t="shared" ca="1" si="60"/>
        <v/>
      </c>
      <c r="W181" s="4" t="str">
        <f t="shared" ca="1" si="61"/>
        <v/>
      </c>
      <c r="X181" s="4" t="str">
        <f t="shared" ca="1" si="61"/>
        <v/>
      </c>
      <c r="Y181" s="4" t="str">
        <f t="shared" ca="1" si="61"/>
        <v/>
      </c>
      <c r="Z181" s="4" t="str">
        <f t="shared" ca="1" si="61"/>
        <v/>
      </c>
      <c r="AA181" s="4" t="str">
        <f t="shared" ca="1" si="61"/>
        <v/>
      </c>
      <c r="AB181" s="4" t="str">
        <f t="shared" ca="1" si="61"/>
        <v/>
      </c>
      <c r="AC181" s="4" t="str">
        <f t="shared" ca="1" si="61"/>
        <v/>
      </c>
      <c r="AD181" s="4" t="str">
        <f t="shared" ca="1" si="61"/>
        <v/>
      </c>
      <c r="AE181" s="4" t="str">
        <f t="shared" ca="1" si="61"/>
        <v/>
      </c>
      <c r="AF181" s="4" t="str">
        <f t="shared" ca="1" si="61"/>
        <v/>
      </c>
      <c r="AG181" s="4" t="str">
        <f t="shared" ca="1" si="62"/>
        <v/>
      </c>
      <c r="AH181" s="4" t="str">
        <f t="shared" ca="1" si="62"/>
        <v/>
      </c>
      <c r="AI181" s="4" t="str">
        <f t="shared" ca="1" si="62"/>
        <v/>
      </c>
      <c r="AJ181" s="4" t="str">
        <f t="shared" ca="1" si="62"/>
        <v/>
      </c>
      <c r="AK181" s="4" t="str">
        <f t="shared" ca="1" si="62"/>
        <v/>
      </c>
      <c r="AL181" s="4" t="str">
        <f t="shared" ca="1" si="62"/>
        <v/>
      </c>
      <c r="AM181" s="4" t="str">
        <f t="shared" ca="1" si="62"/>
        <v/>
      </c>
      <c r="AN181" s="4" t="str">
        <f t="shared" ca="1" si="62"/>
        <v/>
      </c>
      <c r="AO181" s="4" t="str">
        <f t="shared" ca="1" si="62"/>
        <v/>
      </c>
      <c r="AP181" s="4" t="str">
        <f t="shared" ca="1" si="62"/>
        <v/>
      </c>
      <c r="AQ181" s="4" t="str">
        <f t="shared" ca="1" si="63"/>
        <v/>
      </c>
      <c r="AR181" s="4" t="str">
        <f t="shared" ca="1" si="63"/>
        <v/>
      </c>
      <c r="AS181" s="4" t="str">
        <f t="shared" ca="1" si="63"/>
        <v/>
      </c>
      <c r="AT181" s="4" t="str">
        <f t="shared" ca="1" si="63"/>
        <v/>
      </c>
      <c r="AU181" s="4" t="str">
        <f t="shared" ca="1" si="63"/>
        <v/>
      </c>
      <c r="AV181" s="4" t="str">
        <f t="shared" ca="1" si="63"/>
        <v/>
      </c>
      <c r="AW181" s="4" t="str">
        <f t="shared" ca="1" si="63"/>
        <v/>
      </c>
      <c r="AX181" s="4" t="str">
        <f t="shared" ca="1" si="63"/>
        <v/>
      </c>
      <c r="AY181" s="4" t="str">
        <f t="shared" ca="1" si="63"/>
        <v/>
      </c>
      <c r="AZ181" s="4" t="str">
        <f t="shared" ca="1" si="63"/>
        <v/>
      </c>
      <c r="BA181" s="4" t="str">
        <f t="shared" si="53"/>
        <v/>
      </c>
    </row>
    <row r="182" spans="1:53">
      <c r="A182">
        <v>118</v>
      </c>
      <c r="C182" s="4" t="str">
        <f t="shared" ca="1" si="59"/>
        <v/>
      </c>
      <c r="D182" s="4" t="str">
        <f t="shared" ca="1" si="59"/>
        <v/>
      </c>
      <c r="E182" s="4" t="str">
        <f t="shared" ca="1" si="59"/>
        <v/>
      </c>
      <c r="F182" s="4" t="str">
        <f t="shared" ca="1" si="59"/>
        <v/>
      </c>
      <c r="G182" s="4" t="str">
        <f t="shared" ca="1" si="59"/>
        <v/>
      </c>
      <c r="H182" s="4" t="str">
        <f t="shared" ca="1" si="59"/>
        <v/>
      </c>
      <c r="I182" s="4" t="str">
        <f t="shared" ca="1" si="59"/>
        <v/>
      </c>
      <c r="J182" s="4" t="str">
        <f t="shared" ca="1" si="59"/>
        <v/>
      </c>
      <c r="K182" s="4" t="str">
        <f t="shared" ca="1" si="59"/>
        <v/>
      </c>
      <c r="L182" s="4" t="str">
        <f t="shared" ca="1" si="59"/>
        <v/>
      </c>
      <c r="M182" s="4" t="str">
        <f t="shared" ca="1" si="60"/>
        <v/>
      </c>
      <c r="N182" s="4" t="str">
        <f t="shared" ca="1" si="60"/>
        <v/>
      </c>
      <c r="O182" s="4" t="str">
        <f t="shared" ca="1" si="60"/>
        <v/>
      </c>
      <c r="P182" s="4" t="str">
        <f t="shared" ca="1" si="60"/>
        <v/>
      </c>
      <c r="Q182" s="4" t="str">
        <f t="shared" ca="1" si="60"/>
        <v/>
      </c>
      <c r="R182" s="4" t="str">
        <f t="shared" ca="1" si="60"/>
        <v/>
      </c>
      <c r="S182" s="4" t="str">
        <f t="shared" ca="1" si="60"/>
        <v/>
      </c>
      <c r="T182" s="4" t="str">
        <f t="shared" ca="1" si="60"/>
        <v/>
      </c>
      <c r="U182" s="4" t="str">
        <f t="shared" ca="1" si="60"/>
        <v/>
      </c>
      <c r="V182" s="4" t="str">
        <f t="shared" ca="1" si="60"/>
        <v/>
      </c>
      <c r="W182" s="4" t="str">
        <f t="shared" ca="1" si="61"/>
        <v/>
      </c>
      <c r="X182" s="4" t="str">
        <f t="shared" ca="1" si="61"/>
        <v/>
      </c>
      <c r="Y182" s="4" t="str">
        <f t="shared" ca="1" si="61"/>
        <v/>
      </c>
      <c r="Z182" s="4" t="str">
        <f t="shared" ca="1" si="61"/>
        <v/>
      </c>
      <c r="AA182" s="4" t="str">
        <f t="shared" ca="1" si="61"/>
        <v/>
      </c>
      <c r="AB182" s="4" t="str">
        <f t="shared" ca="1" si="61"/>
        <v/>
      </c>
      <c r="AC182" s="4" t="str">
        <f t="shared" ca="1" si="61"/>
        <v/>
      </c>
      <c r="AD182" s="4" t="str">
        <f t="shared" ca="1" si="61"/>
        <v/>
      </c>
      <c r="AE182" s="4" t="str">
        <f t="shared" ca="1" si="61"/>
        <v/>
      </c>
      <c r="AF182" s="4" t="str">
        <f t="shared" ca="1" si="61"/>
        <v/>
      </c>
      <c r="AG182" s="4" t="str">
        <f t="shared" ca="1" si="62"/>
        <v/>
      </c>
      <c r="AH182" s="4" t="str">
        <f t="shared" ca="1" si="62"/>
        <v/>
      </c>
      <c r="AI182" s="4" t="str">
        <f t="shared" ca="1" si="62"/>
        <v/>
      </c>
      <c r="AJ182" s="4" t="str">
        <f t="shared" ca="1" si="62"/>
        <v/>
      </c>
      <c r="AK182" s="4" t="str">
        <f t="shared" ca="1" si="62"/>
        <v/>
      </c>
      <c r="AL182" s="4" t="str">
        <f t="shared" ca="1" si="62"/>
        <v/>
      </c>
      <c r="AM182" s="4" t="str">
        <f t="shared" ca="1" si="62"/>
        <v/>
      </c>
      <c r="AN182" s="4" t="str">
        <f t="shared" ca="1" si="62"/>
        <v/>
      </c>
      <c r="AO182" s="4" t="str">
        <f t="shared" ca="1" si="62"/>
        <v/>
      </c>
      <c r="AP182" s="4" t="str">
        <f t="shared" ca="1" si="62"/>
        <v/>
      </c>
      <c r="AQ182" s="4" t="str">
        <f t="shared" ca="1" si="63"/>
        <v/>
      </c>
      <c r="AR182" s="4" t="str">
        <f t="shared" ca="1" si="63"/>
        <v/>
      </c>
      <c r="AS182" s="4" t="str">
        <f t="shared" ca="1" si="63"/>
        <v/>
      </c>
      <c r="AT182" s="4" t="str">
        <f t="shared" ca="1" si="63"/>
        <v/>
      </c>
      <c r="AU182" s="4" t="str">
        <f t="shared" ca="1" si="63"/>
        <v/>
      </c>
      <c r="AV182" s="4" t="str">
        <f t="shared" ca="1" si="63"/>
        <v/>
      </c>
      <c r="AW182" s="4" t="str">
        <f t="shared" ca="1" si="63"/>
        <v/>
      </c>
      <c r="AX182" s="4" t="str">
        <f t="shared" ca="1" si="63"/>
        <v/>
      </c>
      <c r="AY182" s="4" t="str">
        <f t="shared" ca="1" si="63"/>
        <v/>
      </c>
      <c r="AZ182" s="4" t="str">
        <f t="shared" ca="1" si="63"/>
        <v/>
      </c>
      <c r="BA182" s="4" t="str">
        <f t="shared" si="53"/>
        <v/>
      </c>
    </row>
    <row r="183" spans="1:53">
      <c r="A183">
        <v>119</v>
      </c>
      <c r="C183" s="4" t="str">
        <f t="shared" ca="1" si="59"/>
        <v/>
      </c>
      <c r="D183" s="4" t="str">
        <f t="shared" ca="1" si="59"/>
        <v/>
      </c>
      <c r="E183" s="4" t="str">
        <f t="shared" ca="1" si="59"/>
        <v/>
      </c>
      <c r="F183" s="4" t="str">
        <f t="shared" ca="1" si="59"/>
        <v/>
      </c>
      <c r="G183" s="4" t="str">
        <f t="shared" ca="1" si="59"/>
        <v/>
      </c>
      <c r="H183" s="4" t="str">
        <f t="shared" ca="1" si="59"/>
        <v/>
      </c>
      <c r="I183" s="4" t="str">
        <f t="shared" ca="1" si="59"/>
        <v/>
      </c>
      <c r="J183" s="4" t="str">
        <f t="shared" ca="1" si="59"/>
        <v/>
      </c>
      <c r="K183" s="4" t="str">
        <f t="shared" ca="1" si="59"/>
        <v/>
      </c>
      <c r="L183" s="4" t="str">
        <f t="shared" ca="1" si="59"/>
        <v/>
      </c>
      <c r="M183" s="4" t="str">
        <f t="shared" ca="1" si="60"/>
        <v/>
      </c>
      <c r="N183" s="4" t="str">
        <f t="shared" ca="1" si="60"/>
        <v/>
      </c>
      <c r="O183" s="4" t="str">
        <f t="shared" ca="1" si="60"/>
        <v/>
      </c>
      <c r="P183" s="4" t="str">
        <f t="shared" ca="1" si="60"/>
        <v/>
      </c>
      <c r="Q183" s="4" t="str">
        <f t="shared" ca="1" si="60"/>
        <v/>
      </c>
      <c r="R183" s="4" t="str">
        <f t="shared" ca="1" si="60"/>
        <v/>
      </c>
      <c r="S183" s="4" t="str">
        <f t="shared" ca="1" si="60"/>
        <v/>
      </c>
      <c r="T183" s="4" t="str">
        <f t="shared" ca="1" si="60"/>
        <v/>
      </c>
      <c r="U183" s="4" t="str">
        <f t="shared" ca="1" si="60"/>
        <v/>
      </c>
      <c r="V183" s="4" t="str">
        <f t="shared" ca="1" si="60"/>
        <v/>
      </c>
      <c r="W183" s="4" t="str">
        <f t="shared" ca="1" si="61"/>
        <v/>
      </c>
      <c r="X183" s="4" t="str">
        <f t="shared" ca="1" si="61"/>
        <v/>
      </c>
      <c r="Y183" s="4" t="str">
        <f t="shared" ca="1" si="61"/>
        <v/>
      </c>
      <c r="Z183" s="4" t="str">
        <f t="shared" ca="1" si="61"/>
        <v/>
      </c>
      <c r="AA183" s="4" t="str">
        <f t="shared" ca="1" si="61"/>
        <v/>
      </c>
      <c r="AB183" s="4" t="str">
        <f t="shared" ca="1" si="61"/>
        <v/>
      </c>
      <c r="AC183" s="4" t="str">
        <f t="shared" ca="1" si="61"/>
        <v/>
      </c>
      <c r="AD183" s="4" t="str">
        <f t="shared" ca="1" si="61"/>
        <v/>
      </c>
      <c r="AE183" s="4" t="str">
        <f t="shared" ca="1" si="61"/>
        <v/>
      </c>
      <c r="AF183" s="4" t="str">
        <f t="shared" ca="1" si="61"/>
        <v/>
      </c>
      <c r="AG183" s="4" t="str">
        <f t="shared" ca="1" si="62"/>
        <v/>
      </c>
      <c r="AH183" s="4" t="str">
        <f t="shared" ca="1" si="62"/>
        <v/>
      </c>
      <c r="AI183" s="4" t="str">
        <f t="shared" ca="1" si="62"/>
        <v/>
      </c>
      <c r="AJ183" s="4" t="str">
        <f t="shared" ca="1" si="62"/>
        <v/>
      </c>
      <c r="AK183" s="4" t="str">
        <f t="shared" ca="1" si="62"/>
        <v/>
      </c>
      <c r="AL183" s="4" t="str">
        <f t="shared" ca="1" si="62"/>
        <v/>
      </c>
      <c r="AM183" s="4" t="str">
        <f t="shared" ca="1" si="62"/>
        <v/>
      </c>
      <c r="AN183" s="4" t="str">
        <f t="shared" ca="1" si="62"/>
        <v/>
      </c>
      <c r="AO183" s="4" t="str">
        <f t="shared" ca="1" si="62"/>
        <v/>
      </c>
      <c r="AP183" s="4" t="str">
        <f t="shared" ca="1" si="62"/>
        <v/>
      </c>
      <c r="AQ183" s="4" t="str">
        <f t="shared" ca="1" si="63"/>
        <v/>
      </c>
      <c r="AR183" s="4" t="str">
        <f t="shared" ca="1" si="63"/>
        <v/>
      </c>
      <c r="AS183" s="4" t="str">
        <f t="shared" ca="1" si="63"/>
        <v/>
      </c>
      <c r="AT183" s="4" t="str">
        <f t="shared" ca="1" si="63"/>
        <v/>
      </c>
      <c r="AU183" s="4" t="str">
        <f t="shared" ca="1" si="63"/>
        <v/>
      </c>
      <c r="AV183" s="4" t="str">
        <f t="shared" ca="1" si="63"/>
        <v/>
      </c>
      <c r="AW183" s="4" t="str">
        <f t="shared" ca="1" si="63"/>
        <v/>
      </c>
      <c r="AX183" s="4" t="str">
        <f t="shared" ca="1" si="63"/>
        <v/>
      </c>
      <c r="AY183" s="4" t="str">
        <f t="shared" ca="1" si="63"/>
        <v/>
      </c>
      <c r="AZ183" s="4" t="str">
        <f t="shared" ca="1" si="63"/>
        <v/>
      </c>
      <c r="BA183" s="4" t="str">
        <f t="shared" si="53"/>
        <v/>
      </c>
    </row>
    <row r="184" spans="1:53">
      <c r="A184">
        <v>120</v>
      </c>
      <c r="C184" s="4" t="str">
        <f t="shared" ca="1" si="59"/>
        <v/>
      </c>
      <c r="D184" s="4" t="str">
        <f t="shared" ca="1" si="59"/>
        <v/>
      </c>
      <c r="E184" s="4" t="str">
        <f t="shared" ca="1" si="59"/>
        <v/>
      </c>
      <c r="F184" s="4" t="str">
        <f t="shared" ca="1" si="59"/>
        <v/>
      </c>
      <c r="G184" s="4" t="str">
        <f t="shared" ca="1" si="59"/>
        <v/>
      </c>
      <c r="H184" s="4" t="str">
        <f t="shared" ca="1" si="59"/>
        <v/>
      </c>
      <c r="I184" s="4" t="str">
        <f t="shared" ca="1" si="59"/>
        <v/>
      </c>
      <c r="J184" s="4" t="str">
        <f t="shared" ca="1" si="59"/>
        <v/>
      </c>
      <c r="K184" s="4" t="str">
        <f t="shared" ca="1" si="59"/>
        <v/>
      </c>
      <c r="L184" s="4" t="str">
        <f t="shared" ca="1" si="59"/>
        <v/>
      </c>
      <c r="M184" s="4" t="str">
        <f t="shared" ca="1" si="60"/>
        <v/>
      </c>
      <c r="N184" s="4" t="str">
        <f t="shared" ca="1" si="60"/>
        <v/>
      </c>
      <c r="O184" s="4" t="str">
        <f t="shared" ca="1" si="60"/>
        <v/>
      </c>
      <c r="P184" s="4" t="str">
        <f t="shared" ca="1" si="60"/>
        <v/>
      </c>
      <c r="Q184" s="4" t="str">
        <f t="shared" ca="1" si="60"/>
        <v/>
      </c>
      <c r="R184" s="4" t="str">
        <f t="shared" ca="1" si="60"/>
        <v/>
      </c>
      <c r="S184" s="4" t="str">
        <f t="shared" ca="1" si="60"/>
        <v/>
      </c>
      <c r="T184" s="4" t="str">
        <f t="shared" ca="1" si="60"/>
        <v/>
      </c>
      <c r="U184" s="4" t="str">
        <f t="shared" ca="1" si="60"/>
        <v/>
      </c>
      <c r="V184" s="4" t="str">
        <f t="shared" ca="1" si="60"/>
        <v/>
      </c>
      <c r="W184" s="4" t="str">
        <f t="shared" ca="1" si="61"/>
        <v/>
      </c>
      <c r="X184" s="4" t="str">
        <f t="shared" ca="1" si="61"/>
        <v/>
      </c>
      <c r="Y184" s="4" t="str">
        <f t="shared" ca="1" si="61"/>
        <v/>
      </c>
      <c r="Z184" s="4" t="str">
        <f t="shared" ca="1" si="61"/>
        <v/>
      </c>
      <c r="AA184" s="4" t="str">
        <f t="shared" ca="1" si="61"/>
        <v/>
      </c>
      <c r="AB184" s="4" t="str">
        <f t="shared" ca="1" si="61"/>
        <v/>
      </c>
      <c r="AC184" s="4" t="str">
        <f t="shared" ca="1" si="61"/>
        <v/>
      </c>
      <c r="AD184" s="4" t="str">
        <f t="shared" ca="1" si="61"/>
        <v/>
      </c>
      <c r="AE184" s="4" t="str">
        <f t="shared" ca="1" si="61"/>
        <v/>
      </c>
      <c r="AF184" s="4" t="str">
        <f t="shared" ca="1" si="61"/>
        <v/>
      </c>
      <c r="AG184" s="4" t="str">
        <f t="shared" ca="1" si="62"/>
        <v/>
      </c>
      <c r="AH184" s="4" t="str">
        <f t="shared" ca="1" si="62"/>
        <v/>
      </c>
      <c r="AI184" s="4" t="str">
        <f t="shared" ca="1" si="62"/>
        <v/>
      </c>
      <c r="AJ184" s="4" t="str">
        <f t="shared" ca="1" si="62"/>
        <v/>
      </c>
      <c r="AK184" s="4" t="str">
        <f t="shared" ca="1" si="62"/>
        <v/>
      </c>
      <c r="AL184" s="4" t="str">
        <f t="shared" ca="1" si="62"/>
        <v/>
      </c>
      <c r="AM184" s="4" t="str">
        <f t="shared" ca="1" si="62"/>
        <v/>
      </c>
      <c r="AN184" s="4" t="str">
        <f t="shared" ca="1" si="62"/>
        <v/>
      </c>
      <c r="AO184" s="4" t="str">
        <f t="shared" ca="1" si="62"/>
        <v/>
      </c>
      <c r="AP184" s="4" t="str">
        <f t="shared" ca="1" si="62"/>
        <v/>
      </c>
      <c r="AQ184" s="4" t="str">
        <f t="shared" ca="1" si="63"/>
        <v/>
      </c>
      <c r="AR184" s="4" t="str">
        <f t="shared" ca="1" si="63"/>
        <v/>
      </c>
      <c r="AS184" s="4" t="str">
        <f t="shared" ca="1" si="63"/>
        <v/>
      </c>
      <c r="AT184" s="4" t="str">
        <f t="shared" ca="1" si="63"/>
        <v/>
      </c>
      <c r="AU184" s="4" t="str">
        <f t="shared" ca="1" si="63"/>
        <v/>
      </c>
      <c r="AV184" s="4" t="str">
        <f t="shared" ca="1" si="63"/>
        <v/>
      </c>
      <c r="AW184" s="4" t="str">
        <f t="shared" ca="1" si="63"/>
        <v/>
      </c>
      <c r="AX184" s="4" t="str">
        <f t="shared" ca="1" si="63"/>
        <v/>
      </c>
      <c r="AY184" s="4" t="str">
        <f t="shared" ca="1" si="63"/>
        <v/>
      </c>
      <c r="AZ184" s="4" t="str">
        <f t="shared" ca="1" si="63"/>
        <v/>
      </c>
      <c r="BA184" s="4" t="str">
        <f t="shared" si="53"/>
        <v/>
      </c>
    </row>
    <row r="185" spans="1:53">
      <c r="A185">
        <v>121</v>
      </c>
      <c r="C185" s="4" t="str">
        <f t="shared" ref="C185:L194" ca="1" si="64">IF(COLUMN()-2&lt;=$E$3,INDEX($B$10:$B$59,RANDBETWEEN(1,$E$3)),"")</f>
        <v/>
      </c>
      <c r="D185" s="4" t="str">
        <f t="shared" ca="1" si="64"/>
        <v/>
      </c>
      <c r="E185" s="4" t="str">
        <f t="shared" ca="1" si="64"/>
        <v/>
      </c>
      <c r="F185" s="4" t="str">
        <f t="shared" ca="1" si="64"/>
        <v/>
      </c>
      <c r="G185" s="4" t="str">
        <f t="shared" ca="1" si="64"/>
        <v/>
      </c>
      <c r="H185" s="4" t="str">
        <f t="shared" ca="1" si="64"/>
        <v/>
      </c>
      <c r="I185" s="4" t="str">
        <f t="shared" ca="1" si="64"/>
        <v/>
      </c>
      <c r="J185" s="4" t="str">
        <f t="shared" ca="1" si="64"/>
        <v/>
      </c>
      <c r="K185" s="4" t="str">
        <f t="shared" ca="1" si="64"/>
        <v/>
      </c>
      <c r="L185" s="4" t="str">
        <f t="shared" ca="1" si="64"/>
        <v/>
      </c>
      <c r="M185" s="4" t="str">
        <f t="shared" ref="M185:V194" ca="1" si="65">IF(COLUMN()-2&lt;=$E$3,INDEX($B$10:$B$59,RANDBETWEEN(1,$E$3)),"")</f>
        <v/>
      </c>
      <c r="N185" s="4" t="str">
        <f t="shared" ca="1" si="65"/>
        <v/>
      </c>
      <c r="O185" s="4" t="str">
        <f t="shared" ca="1" si="65"/>
        <v/>
      </c>
      <c r="P185" s="4" t="str">
        <f t="shared" ca="1" si="65"/>
        <v/>
      </c>
      <c r="Q185" s="4" t="str">
        <f t="shared" ca="1" si="65"/>
        <v/>
      </c>
      <c r="R185" s="4" t="str">
        <f t="shared" ca="1" si="65"/>
        <v/>
      </c>
      <c r="S185" s="4" t="str">
        <f t="shared" ca="1" si="65"/>
        <v/>
      </c>
      <c r="T185" s="4" t="str">
        <f t="shared" ca="1" si="65"/>
        <v/>
      </c>
      <c r="U185" s="4" t="str">
        <f t="shared" ca="1" si="65"/>
        <v/>
      </c>
      <c r="V185" s="4" t="str">
        <f t="shared" ca="1" si="65"/>
        <v/>
      </c>
      <c r="W185" s="4" t="str">
        <f t="shared" ref="W185:AF194" ca="1" si="66">IF(COLUMN()-2&lt;=$E$3,INDEX($B$10:$B$59,RANDBETWEEN(1,$E$3)),"")</f>
        <v/>
      </c>
      <c r="X185" s="4" t="str">
        <f t="shared" ca="1" si="66"/>
        <v/>
      </c>
      <c r="Y185" s="4" t="str">
        <f t="shared" ca="1" si="66"/>
        <v/>
      </c>
      <c r="Z185" s="4" t="str">
        <f t="shared" ca="1" si="66"/>
        <v/>
      </c>
      <c r="AA185" s="4" t="str">
        <f t="shared" ca="1" si="66"/>
        <v/>
      </c>
      <c r="AB185" s="4" t="str">
        <f t="shared" ca="1" si="66"/>
        <v/>
      </c>
      <c r="AC185" s="4" t="str">
        <f t="shared" ca="1" si="66"/>
        <v/>
      </c>
      <c r="AD185" s="4" t="str">
        <f t="shared" ca="1" si="66"/>
        <v/>
      </c>
      <c r="AE185" s="4" t="str">
        <f t="shared" ca="1" si="66"/>
        <v/>
      </c>
      <c r="AF185" s="4" t="str">
        <f t="shared" ca="1" si="66"/>
        <v/>
      </c>
      <c r="AG185" s="4" t="str">
        <f t="shared" ref="AG185:AP194" ca="1" si="67">IF(COLUMN()-2&lt;=$E$3,INDEX($B$10:$B$59,RANDBETWEEN(1,$E$3)),"")</f>
        <v/>
      </c>
      <c r="AH185" s="4" t="str">
        <f t="shared" ca="1" si="67"/>
        <v/>
      </c>
      <c r="AI185" s="4" t="str">
        <f t="shared" ca="1" si="67"/>
        <v/>
      </c>
      <c r="AJ185" s="4" t="str">
        <f t="shared" ca="1" si="67"/>
        <v/>
      </c>
      <c r="AK185" s="4" t="str">
        <f t="shared" ca="1" si="67"/>
        <v/>
      </c>
      <c r="AL185" s="4" t="str">
        <f t="shared" ca="1" si="67"/>
        <v/>
      </c>
      <c r="AM185" s="4" t="str">
        <f t="shared" ca="1" si="67"/>
        <v/>
      </c>
      <c r="AN185" s="4" t="str">
        <f t="shared" ca="1" si="67"/>
        <v/>
      </c>
      <c r="AO185" s="4" t="str">
        <f t="shared" ca="1" si="67"/>
        <v/>
      </c>
      <c r="AP185" s="4" t="str">
        <f t="shared" ca="1" si="67"/>
        <v/>
      </c>
      <c r="AQ185" s="4" t="str">
        <f t="shared" ref="AQ185:AZ194" ca="1" si="68">IF(COLUMN()-2&lt;=$E$3,INDEX($B$10:$B$59,RANDBETWEEN(1,$E$3)),"")</f>
        <v/>
      </c>
      <c r="AR185" s="4" t="str">
        <f t="shared" ca="1" si="68"/>
        <v/>
      </c>
      <c r="AS185" s="4" t="str">
        <f t="shared" ca="1" si="68"/>
        <v/>
      </c>
      <c r="AT185" s="4" t="str">
        <f t="shared" ca="1" si="68"/>
        <v/>
      </c>
      <c r="AU185" s="4" t="str">
        <f t="shared" ca="1" si="68"/>
        <v/>
      </c>
      <c r="AV185" s="4" t="str">
        <f t="shared" ca="1" si="68"/>
        <v/>
      </c>
      <c r="AW185" s="4" t="str">
        <f t="shared" ca="1" si="68"/>
        <v/>
      </c>
      <c r="AX185" s="4" t="str">
        <f t="shared" ca="1" si="68"/>
        <v/>
      </c>
      <c r="AY185" s="4" t="str">
        <f t="shared" ca="1" si="68"/>
        <v/>
      </c>
      <c r="AZ185" s="4" t="str">
        <f t="shared" ca="1" si="68"/>
        <v/>
      </c>
      <c r="BA185" s="4" t="str">
        <f t="shared" si="53"/>
        <v/>
      </c>
    </row>
    <row r="186" spans="1:53">
      <c r="A186">
        <v>122</v>
      </c>
      <c r="C186" s="4" t="str">
        <f t="shared" ca="1" si="64"/>
        <v/>
      </c>
      <c r="D186" s="4" t="str">
        <f t="shared" ca="1" si="64"/>
        <v/>
      </c>
      <c r="E186" s="4" t="str">
        <f t="shared" ca="1" si="64"/>
        <v/>
      </c>
      <c r="F186" s="4" t="str">
        <f t="shared" ca="1" si="64"/>
        <v/>
      </c>
      <c r="G186" s="4" t="str">
        <f t="shared" ca="1" si="64"/>
        <v/>
      </c>
      <c r="H186" s="4" t="str">
        <f t="shared" ca="1" si="64"/>
        <v/>
      </c>
      <c r="I186" s="4" t="str">
        <f t="shared" ca="1" si="64"/>
        <v/>
      </c>
      <c r="J186" s="4" t="str">
        <f t="shared" ca="1" si="64"/>
        <v/>
      </c>
      <c r="K186" s="4" t="str">
        <f t="shared" ca="1" si="64"/>
        <v/>
      </c>
      <c r="L186" s="4" t="str">
        <f t="shared" ca="1" si="64"/>
        <v/>
      </c>
      <c r="M186" s="4" t="str">
        <f t="shared" ca="1" si="65"/>
        <v/>
      </c>
      <c r="N186" s="4" t="str">
        <f t="shared" ca="1" si="65"/>
        <v/>
      </c>
      <c r="O186" s="4" t="str">
        <f t="shared" ca="1" si="65"/>
        <v/>
      </c>
      <c r="P186" s="4" t="str">
        <f t="shared" ca="1" si="65"/>
        <v/>
      </c>
      <c r="Q186" s="4" t="str">
        <f t="shared" ca="1" si="65"/>
        <v/>
      </c>
      <c r="R186" s="4" t="str">
        <f t="shared" ca="1" si="65"/>
        <v/>
      </c>
      <c r="S186" s="4" t="str">
        <f t="shared" ca="1" si="65"/>
        <v/>
      </c>
      <c r="T186" s="4" t="str">
        <f t="shared" ca="1" si="65"/>
        <v/>
      </c>
      <c r="U186" s="4" t="str">
        <f t="shared" ca="1" si="65"/>
        <v/>
      </c>
      <c r="V186" s="4" t="str">
        <f t="shared" ca="1" si="65"/>
        <v/>
      </c>
      <c r="W186" s="4" t="str">
        <f t="shared" ca="1" si="66"/>
        <v/>
      </c>
      <c r="X186" s="4" t="str">
        <f t="shared" ca="1" si="66"/>
        <v/>
      </c>
      <c r="Y186" s="4" t="str">
        <f t="shared" ca="1" si="66"/>
        <v/>
      </c>
      <c r="Z186" s="4" t="str">
        <f t="shared" ca="1" si="66"/>
        <v/>
      </c>
      <c r="AA186" s="4" t="str">
        <f t="shared" ca="1" si="66"/>
        <v/>
      </c>
      <c r="AB186" s="4" t="str">
        <f t="shared" ca="1" si="66"/>
        <v/>
      </c>
      <c r="AC186" s="4" t="str">
        <f t="shared" ca="1" si="66"/>
        <v/>
      </c>
      <c r="AD186" s="4" t="str">
        <f t="shared" ca="1" si="66"/>
        <v/>
      </c>
      <c r="AE186" s="4" t="str">
        <f t="shared" ca="1" si="66"/>
        <v/>
      </c>
      <c r="AF186" s="4" t="str">
        <f t="shared" ca="1" si="66"/>
        <v/>
      </c>
      <c r="AG186" s="4" t="str">
        <f t="shared" ca="1" si="67"/>
        <v/>
      </c>
      <c r="AH186" s="4" t="str">
        <f t="shared" ca="1" si="67"/>
        <v/>
      </c>
      <c r="AI186" s="4" t="str">
        <f t="shared" ca="1" si="67"/>
        <v/>
      </c>
      <c r="AJ186" s="4" t="str">
        <f t="shared" ca="1" si="67"/>
        <v/>
      </c>
      <c r="AK186" s="4" t="str">
        <f t="shared" ca="1" si="67"/>
        <v/>
      </c>
      <c r="AL186" s="4" t="str">
        <f t="shared" ca="1" si="67"/>
        <v/>
      </c>
      <c r="AM186" s="4" t="str">
        <f t="shared" ca="1" si="67"/>
        <v/>
      </c>
      <c r="AN186" s="4" t="str">
        <f t="shared" ca="1" si="67"/>
        <v/>
      </c>
      <c r="AO186" s="4" t="str">
        <f t="shared" ca="1" si="67"/>
        <v/>
      </c>
      <c r="AP186" s="4" t="str">
        <f t="shared" ca="1" si="67"/>
        <v/>
      </c>
      <c r="AQ186" s="4" t="str">
        <f t="shared" ca="1" si="68"/>
        <v/>
      </c>
      <c r="AR186" s="4" t="str">
        <f t="shared" ca="1" si="68"/>
        <v/>
      </c>
      <c r="AS186" s="4" t="str">
        <f t="shared" ca="1" si="68"/>
        <v/>
      </c>
      <c r="AT186" s="4" t="str">
        <f t="shared" ca="1" si="68"/>
        <v/>
      </c>
      <c r="AU186" s="4" t="str">
        <f t="shared" ca="1" si="68"/>
        <v/>
      </c>
      <c r="AV186" s="4" t="str">
        <f t="shared" ca="1" si="68"/>
        <v/>
      </c>
      <c r="AW186" s="4" t="str">
        <f t="shared" ca="1" si="68"/>
        <v/>
      </c>
      <c r="AX186" s="4" t="str">
        <f t="shared" ca="1" si="68"/>
        <v/>
      </c>
      <c r="AY186" s="4" t="str">
        <f t="shared" ca="1" si="68"/>
        <v/>
      </c>
      <c r="AZ186" s="4" t="str">
        <f t="shared" ca="1" si="68"/>
        <v/>
      </c>
      <c r="BA186" s="4" t="str">
        <f t="shared" si="53"/>
        <v/>
      </c>
    </row>
    <row r="187" spans="1:53">
      <c r="A187">
        <v>123</v>
      </c>
      <c r="C187" s="4" t="str">
        <f t="shared" ca="1" si="64"/>
        <v/>
      </c>
      <c r="D187" s="4" t="str">
        <f t="shared" ca="1" si="64"/>
        <v/>
      </c>
      <c r="E187" s="4" t="str">
        <f t="shared" ca="1" si="64"/>
        <v/>
      </c>
      <c r="F187" s="4" t="str">
        <f t="shared" ca="1" si="64"/>
        <v/>
      </c>
      <c r="G187" s="4" t="str">
        <f t="shared" ca="1" si="64"/>
        <v/>
      </c>
      <c r="H187" s="4" t="str">
        <f t="shared" ca="1" si="64"/>
        <v/>
      </c>
      <c r="I187" s="4" t="str">
        <f t="shared" ca="1" si="64"/>
        <v/>
      </c>
      <c r="J187" s="4" t="str">
        <f t="shared" ca="1" si="64"/>
        <v/>
      </c>
      <c r="K187" s="4" t="str">
        <f t="shared" ca="1" si="64"/>
        <v/>
      </c>
      <c r="L187" s="4" t="str">
        <f t="shared" ca="1" si="64"/>
        <v/>
      </c>
      <c r="M187" s="4" t="str">
        <f t="shared" ca="1" si="65"/>
        <v/>
      </c>
      <c r="N187" s="4" t="str">
        <f t="shared" ca="1" si="65"/>
        <v/>
      </c>
      <c r="O187" s="4" t="str">
        <f t="shared" ca="1" si="65"/>
        <v/>
      </c>
      <c r="P187" s="4" t="str">
        <f t="shared" ca="1" si="65"/>
        <v/>
      </c>
      <c r="Q187" s="4" t="str">
        <f t="shared" ca="1" si="65"/>
        <v/>
      </c>
      <c r="R187" s="4" t="str">
        <f t="shared" ca="1" si="65"/>
        <v/>
      </c>
      <c r="S187" s="4" t="str">
        <f t="shared" ca="1" si="65"/>
        <v/>
      </c>
      <c r="T187" s="4" t="str">
        <f t="shared" ca="1" si="65"/>
        <v/>
      </c>
      <c r="U187" s="4" t="str">
        <f t="shared" ca="1" si="65"/>
        <v/>
      </c>
      <c r="V187" s="4" t="str">
        <f t="shared" ca="1" si="65"/>
        <v/>
      </c>
      <c r="W187" s="4" t="str">
        <f t="shared" ca="1" si="66"/>
        <v/>
      </c>
      <c r="X187" s="4" t="str">
        <f t="shared" ca="1" si="66"/>
        <v/>
      </c>
      <c r="Y187" s="4" t="str">
        <f t="shared" ca="1" si="66"/>
        <v/>
      </c>
      <c r="Z187" s="4" t="str">
        <f t="shared" ca="1" si="66"/>
        <v/>
      </c>
      <c r="AA187" s="4" t="str">
        <f t="shared" ca="1" si="66"/>
        <v/>
      </c>
      <c r="AB187" s="4" t="str">
        <f t="shared" ca="1" si="66"/>
        <v/>
      </c>
      <c r="AC187" s="4" t="str">
        <f t="shared" ca="1" si="66"/>
        <v/>
      </c>
      <c r="AD187" s="4" t="str">
        <f t="shared" ca="1" si="66"/>
        <v/>
      </c>
      <c r="AE187" s="4" t="str">
        <f t="shared" ca="1" si="66"/>
        <v/>
      </c>
      <c r="AF187" s="4" t="str">
        <f t="shared" ca="1" si="66"/>
        <v/>
      </c>
      <c r="AG187" s="4" t="str">
        <f t="shared" ca="1" si="67"/>
        <v/>
      </c>
      <c r="AH187" s="4" t="str">
        <f t="shared" ca="1" si="67"/>
        <v/>
      </c>
      <c r="AI187" s="4" t="str">
        <f t="shared" ca="1" si="67"/>
        <v/>
      </c>
      <c r="AJ187" s="4" t="str">
        <f t="shared" ca="1" si="67"/>
        <v/>
      </c>
      <c r="AK187" s="4" t="str">
        <f t="shared" ca="1" si="67"/>
        <v/>
      </c>
      <c r="AL187" s="4" t="str">
        <f t="shared" ca="1" si="67"/>
        <v/>
      </c>
      <c r="AM187" s="4" t="str">
        <f t="shared" ca="1" si="67"/>
        <v/>
      </c>
      <c r="AN187" s="4" t="str">
        <f t="shared" ca="1" si="67"/>
        <v/>
      </c>
      <c r="AO187" s="4" t="str">
        <f t="shared" ca="1" si="67"/>
        <v/>
      </c>
      <c r="AP187" s="4" t="str">
        <f t="shared" ca="1" si="67"/>
        <v/>
      </c>
      <c r="AQ187" s="4" t="str">
        <f t="shared" ca="1" si="68"/>
        <v/>
      </c>
      <c r="AR187" s="4" t="str">
        <f t="shared" ca="1" si="68"/>
        <v/>
      </c>
      <c r="AS187" s="4" t="str">
        <f t="shared" ca="1" si="68"/>
        <v/>
      </c>
      <c r="AT187" s="4" t="str">
        <f t="shared" ca="1" si="68"/>
        <v/>
      </c>
      <c r="AU187" s="4" t="str">
        <f t="shared" ca="1" si="68"/>
        <v/>
      </c>
      <c r="AV187" s="4" t="str">
        <f t="shared" ca="1" si="68"/>
        <v/>
      </c>
      <c r="AW187" s="4" t="str">
        <f t="shared" ca="1" si="68"/>
        <v/>
      </c>
      <c r="AX187" s="4" t="str">
        <f t="shared" ca="1" si="68"/>
        <v/>
      </c>
      <c r="AY187" s="4" t="str">
        <f t="shared" ca="1" si="68"/>
        <v/>
      </c>
      <c r="AZ187" s="4" t="str">
        <f t="shared" ca="1" si="68"/>
        <v/>
      </c>
      <c r="BA187" s="4" t="str">
        <f t="shared" si="53"/>
        <v/>
      </c>
    </row>
    <row r="188" spans="1:53">
      <c r="A188">
        <v>124</v>
      </c>
      <c r="C188" s="4" t="str">
        <f t="shared" ca="1" si="64"/>
        <v/>
      </c>
      <c r="D188" s="4" t="str">
        <f t="shared" ca="1" si="64"/>
        <v/>
      </c>
      <c r="E188" s="4" t="str">
        <f t="shared" ca="1" si="64"/>
        <v/>
      </c>
      <c r="F188" s="4" t="str">
        <f t="shared" ca="1" si="64"/>
        <v/>
      </c>
      <c r="G188" s="4" t="str">
        <f t="shared" ca="1" si="64"/>
        <v/>
      </c>
      <c r="H188" s="4" t="str">
        <f t="shared" ca="1" si="64"/>
        <v/>
      </c>
      <c r="I188" s="4" t="str">
        <f t="shared" ca="1" si="64"/>
        <v/>
      </c>
      <c r="J188" s="4" t="str">
        <f t="shared" ca="1" si="64"/>
        <v/>
      </c>
      <c r="K188" s="4" t="str">
        <f t="shared" ca="1" si="64"/>
        <v/>
      </c>
      <c r="L188" s="4" t="str">
        <f t="shared" ca="1" si="64"/>
        <v/>
      </c>
      <c r="M188" s="4" t="str">
        <f t="shared" ca="1" si="65"/>
        <v/>
      </c>
      <c r="N188" s="4" t="str">
        <f t="shared" ca="1" si="65"/>
        <v/>
      </c>
      <c r="O188" s="4" t="str">
        <f t="shared" ca="1" si="65"/>
        <v/>
      </c>
      <c r="P188" s="4" t="str">
        <f t="shared" ca="1" si="65"/>
        <v/>
      </c>
      <c r="Q188" s="4" t="str">
        <f t="shared" ca="1" si="65"/>
        <v/>
      </c>
      <c r="R188" s="4" t="str">
        <f t="shared" ca="1" si="65"/>
        <v/>
      </c>
      <c r="S188" s="4" t="str">
        <f t="shared" ca="1" si="65"/>
        <v/>
      </c>
      <c r="T188" s="4" t="str">
        <f t="shared" ca="1" si="65"/>
        <v/>
      </c>
      <c r="U188" s="4" t="str">
        <f t="shared" ca="1" si="65"/>
        <v/>
      </c>
      <c r="V188" s="4" t="str">
        <f t="shared" ca="1" si="65"/>
        <v/>
      </c>
      <c r="W188" s="4" t="str">
        <f t="shared" ca="1" si="66"/>
        <v/>
      </c>
      <c r="X188" s="4" t="str">
        <f t="shared" ca="1" si="66"/>
        <v/>
      </c>
      <c r="Y188" s="4" t="str">
        <f t="shared" ca="1" si="66"/>
        <v/>
      </c>
      <c r="Z188" s="4" t="str">
        <f t="shared" ca="1" si="66"/>
        <v/>
      </c>
      <c r="AA188" s="4" t="str">
        <f t="shared" ca="1" si="66"/>
        <v/>
      </c>
      <c r="AB188" s="4" t="str">
        <f t="shared" ca="1" si="66"/>
        <v/>
      </c>
      <c r="AC188" s="4" t="str">
        <f t="shared" ca="1" si="66"/>
        <v/>
      </c>
      <c r="AD188" s="4" t="str">
        <f t="shared" ca="1" si="66"/>
        <v/>
      </c>
      <c r="AE188" s="4" t="str">
        <f t="shared" ca="1" si="66"/>
        <v/>
      </c>
      <c r="AF188" s="4" t="str">
        <f t="shared" ca="1" si="66"/>
        <v/>
      </c>
      <c r="AG188" s="4" t="str">
        <f t="shared" ca="1" si="67"/>
        <v/>
      </c>
      <c r="AH188" s="4" t="str">
        <f t="shared" ca="1" si="67"/>
        <v/>
      </c>
      <c r="AI188" s="4" t="str">
        <f t="shared" ca="1" si="67"/>
        <v/>
      </c>
      <c r="AJ188" s="4" t="str">
        <f t="shared" ca="1" si="67"/>
        <v/>
      </c>
      <c r="AK188" s="4" t="str">
        <f t="shared" ca="1" si="67"/>
        <v/>
      </c>
      <c r="AL188" s="4" t="str">
        <f t="shared" ca="1" si="67"/>
        <v/>
      </c>
      <c r="AM188" s="4" t="str">
        <f t="shared" ca="1" si="67"/>
        <v/>
      </c>
      <c r="AN188" s="4" t="str">
        <f t="shared" ca="1" si="67"/>
        <v/>
      </c>
      <c r="AO188" s="4" t="str">
        <f t="shared" ca="1" si="67"/>
        <v/>
      </c>
      <c r="AP188" s="4" t="str">
        <f t="shared" ca="1" si="67"/>
        <v/>
      </c>
      <c r="AQ188" s="4" t="str">
        <f t="shared" ca="1" si="68"/>
        <v/>
      </c>
      <c r="AR188" s="4" t="str">
        <f t="shared" ca="1" si="68"/>
        <v/>
      </c>
      <c r="AS188" s="4" t="str">
        <f t="shared" ca="1" si="68"/>
        <v/>
      </c>
      <c r="AT188" s="4" t="str">
        <f t="shared" ca="1" si="68"/>
        <v/>
      </c>
      <c r="AU188" s="4" t="str">
        <f t="shared" ca="1" si="68"/>
        <v/>
      </c>
      <c r="AV188" s="4" t="str">
        <f t="shared" ca="1" si="68"/>
        <v/>
      </c>
      <c r="AW188" s="4" t="str">
        <f t="shared" ca="1" si="68"/>
        <v/>
      </c>
      <c r="AX188" s="4" t="str">
        <f t="shared" ca="1" si="68"/>
        <v/>
      </c>
      <c r="AY188" s="4" t="str">
        <f t="shared" ca="1" si="68"/>
        <v/>
      </c>
      <c r="AZ188" s="4" t="str">
        <f t="shared" ca="1" si="68"/>
        <v/>
      </c>
      <c r="BA188" s="4" t="str">
        <f t="shared" si="53"/>
        <v/>
      </c>
    </row>
    <row r="189" spans="1:53">
      <c r="A189">
        <v>125</v>
      </c>
      <c r="C189" s="4" t="str">
        <f t="shared" ca="1" si="64"/>
        <v/>
      </c>
      <c r="D189" s="4" t="str">
        <f t="shared" ca="1" si="64"/>
        <v/>
      </c>
      <c r="E189" s="4" t="str">
        <f t="shared" ca="1" si="64"/>
        <v/>
      </c>
      <c r="F189" s="4" t="str">
        <f t="shared" ca="1" si="64"/>
        <v/>
      </c>
      <c r="G189" s="4" t="str">
        <f t="shared" ca="1" si="64"/>
        <v/>
      </c>
      <c r="H189" s="4" t="str">
        <f t="shared" ca="1" si="64"/>
        <v/>
      </c>
      <c r="I189" s="4" t="str">
        <f t="shared" ca="1" si="64"/>
        <v/>
      </c>
      <c r="J189" s="4" t="str">
        <f t="shared" ca="1" si="64"/>
        <v/>
      </c>
      <c r="K189" s="4" t="str">
        <f t="shared" ca="1" si="64"/>
        <v/>
      </c>
      <c r="L189" s="4" t="str">
        <f t="shared" ca="1" si="64"/>
        <v/>
      </c>
      <c r="M189" s="4" t="str">
        <f t="shared" ca="1" si="65"/>
        <v/>
      </c>
      <c r="N189" s="4" t="str">
        <f t="shared" ca="1" si="65"/>
        <v/>
      </c>
      <c r="O189" s="4" t="str">
        <f t="shared" ca="1" si="65"/>
        <v/>
      </c>
      <c r="P189" s="4" t="str">
        <f t="shared" ca="1" si="65"/>
        <v/>
      </c>
      <c r="Q189" s="4" t="str">
        <f t="shared" ca="1" si="65"/>
        <v/>
      </c>
      <c r="R189" s="4" t="str">
        <f t="shared" ca="1" si="65"/>
        <v/>
      </c>
      <c r="S189" s="4" t="str">
        <f t="shared" ca="1" si="65"/>
        <v/>
      </c>
      <c r="T189" s="4" t="str">
        <f t="shared" ca="1" si="65"/>
        <v/>
      </c>
      <c r="U189" s="4" t="str">
        <f t="shared" ca="1" si="65"/>
        <v/>
      </c>
      <c r="V189" s="4" t="str">
        <f t="shared" ca="1" si="65"/>
        <v/>
      </c>
      <c r="W189" s="4" t="str">
        <f t="shared" ca="1" si="66"/>
        <v/>
      </c>
      <c r="X189" s="4" t="str">
        <f t="shared" ca="1" si="66"/>
        <v/>
      </c>
      <c r="Y189" s="4" t="str">
        <f t="shared" ca="1" si="66"/>
        <v/>
      </c>
      <c r="Z189" s="4" t="str">
        <f t="shared" ca="1" si="66"/>
        <v/>
      </c>
      <c r="AA189" s="4" t="str">
        <f t="shared" ca="1" si="66"/>
        <v/>
      </c>
      <c r="AB189" s="4" t="str">
        <f t="shared" ca="1" si="66"/>
        <v/>
      </c>
      <c r="AC189" s="4" t="str">
        <f t="shared" ca="1" si="66"/>
        <v/>
      </c>
      <c r="AD189" s="4" t="str">
        <f t="shared" ca="1" si="66"/>
        <v/>
      </c>
      <c r="AE189" s="4" t="str">
        <f t="shared" ca="1" si="66"/>
        <v/>
      </c>
      <c r="AF189" s="4" t="str">
        <f t="shared" ca="1" si="66"/>
        <v/>
      </c>
      <c r="AG189" s="4" t="str">
        <f t="shared" ca="1" si="67"/>
        <v/>
      </c>
      <c r="AH189" s="4" t="str">
        <f t="shared" ca="1" si="67"/>
        <v/>
      </c>
      <c r="AI189" s="4" t="str">
        <f t="shared" ca="1" si="67"/>
        <v/>
      </c>
      <c r="AJ189" s="4" t="str">
        <f t="shared" ca="1" si="67"/>
        <v/>
      </c>
      <c r="AK189" s="4" t="str">
        <f t="shared" ca="1" si="67"/>
        <v/>
      </c>
      <c r="AL189" s="4" t="str">
        <f t="shared" ca="1" si="67"/>
        <v/>
      </c>
      <c r="AM189" s="4" t="str">
        <f t="shared" ca="1" si="67"/>
        <v/>
      </c>
      <c r="AN189" s="4" t="str">
        <f t="shared" ca="1" si="67"/>
        <v/>
      </c>
      <c r="AO189" s="4" t="str">
        <f t="shared" ca="1" si="67"/>
        <v/>
      </c>
      <c r="AP189" s="4" t="str">
        <f t="shared" ca="1" si="67"/>
        <v/>
      </c>
      <c r="AQ189" s="4" t="str">
        <f t="shared" ca="1" si="68"/>
        <v/>
      </c>
      <c r="AR189" s="4" t="str">
        <f t="shared" ca="1" si="68"/>
        <v/>
      </c>
      <c r="AS189" s="4" t="str">
        <f t="shared" ca="1" si="68"/>
        <v/>
      </c>
      <c r="AT189" s="4" t="str">
        <f t="shared" ca="1" si="68"/>
        <v/>
      </c>
      <c r="AU189" s="4" t="str">
        <f t="shared" ca="1" si="68"/>
        <v/>
      </c>
      <c r="AV189" s="4" t="str">
        <f t="shared" ca="1" si="68"/>
        <v/>
      </c>
      <c r="AW189" s="4" t="str">
        <f t="shared" ca="1" si="68"/>
        <v/>
      </c>
      <c r="AX189" s="4" t="str">
        <f t="shared" ca="1" si="68"/>
        <v/>
      </c>
      <c r="AY189" s="4" t="str">
        <f t="shared" ca="1" si="68"/>
        <v/>
      </c>
      <c r="AZ189" s="4" t="str">
        <f t="shared" ca="1" si="68"/>
        <v/>
      </c>
      <c r="BA189" s="4" t="str">
        <f t="shared" si="53"/>
        <v/>
      </c>
    </row>
    <row r="190" spans="1:53">
      <c r="A190">
        <v>126</v>
      </c>
      <c r="C190" s="4" t="str">
        <f t="shared" ca="1" si="64"/>
        <v/>
      </c>
      <c r="D190" s="4" t="str">
        <f t="shared" ca="1" si="64"/>
        <v/>
      </c>
      <c r="E190" s="4" t="str">
        <f t="shared" ca="1" si="64"/>
        <v/>
      </c>
      <c r="F190" s="4" t="str">
        <f t="shared" ca="1" si="64"/>
        <v/>
      </c>
      <c r="G190" s="4" t="str">
        <f t="shared" ca="1" si="64"/>
        <v/>
      </c>
      <c r="H190" s="4" t="str">
        <f t="shared" ca="1" si="64"/>
        <v/>
      </c>
      <c r="I190" s="4" t="str">
        <f t="shared" ca="1" si="64"/>
        <v/>
      </c>
      <c r="J190" s="4" t="str">
        <f t="shared" ca="1" si="64"/>
        <v/>
      </c>
      <c r="K190" s="4" t="str">
        <f t="shared" ca="1" si="64"/>
        <v/>
      </c>
      <c r="L190" s="4" t="str">
        <f t="shared" ca="1" si="64"/>
        <v/>
      </c>
      <c r="M190" s="4" t="str">
        <f t="shared" ca="1" si="65"/>
        <v/>
      </c>
      <c r="N190" s="4" t="str">
        <f t="shared" ca="1" si="65"/>
        <v/>
      </c>
      <c r="O190" s="4" t="str">
        <f t="shared" ca="1" si="65"/>
        <v/>
      </c>
      <c r="P190" s="4" t="str">
        <f t="shared" ca="1" si="65"/>
        <v/>
      </c>
      <c r="Q190" s="4" t="str">
        <f t="shared" ca="1" si="65"/>
        <v/>
      </c>
      <c r="R190" s="4" t="str">
        <f t="shared" ca="1" si="65"/>
        <v/>
      </c>
      <c r="S190" s="4" t="str">
        <f t="shared" ca="1" si="65"/>
        <v/>
      </c>
      <c r="T190" s="4" t="str">
        <f t="shared" ca="1" si="65"/>
        <v/>
      </c>
      <c r="U190" s="4" t="str">
        <f t="shared" ca="1" si="65"/>
        <v/>
      </c>
      <c r="V190" s="4" t="str">
        <f t="shared" ca="1" si="65"/>
        <v/>
      </c>
      <c r="W190" s="4" t="str">
        <f t="shared" ca="1" si="66"/>
        <v/>
      </c>
      <c r="X190" s="4" t="str">
        <f t="shared" ca="1" si="66"/>
        <v/>
      </c>
      <c r="Y190" s="4" t="str">
        <f t="shared" ca="1" si="66"/>
        <v/>
      </c>
      <c r="Z190" s="4" t="str">
        <f t="shared" ca="1" si="66"/>
        <v/>
      </c>
      <c r="AA190" s="4" t="str">
        <f t="shared" ca="1" si="66"/>
        <v/>
      </c>
      <c r="AB190" s="4" t="str">
        <f t="shared" ca="1" si="66"/>
        <v/>
      </c>
      <c r="AC190" s="4" t="str">
        <f t="shared" ca="1" si="66"/>
        <v/>
      </c>
      <c r="AD190" s="4" t="str">
        <f t="shared" ca="1" si="66"/>
        <v/>
      </c>
      <c r="AE190" s="4" t="str">
        <f t="shared" ca="1" si="66"/>
        <v/>
      </c>
      <c r="AF190" s="4" t="str">
        <f t="shared" ca="1" si="66"/>
        <v/>
      </c>
      <c r="AG190" s="4" t="str">
        <f t="shared" ca="1" si="67"/>
        <v/>
      </c>
      <c r="AH190" s="4" t="str">
        <f t="shared" ca="1" si="67"/>
        <v/>
      </c>
      <c r="AI190" s="4" t="str">
        <f t="shared" ca="1" si="67"/>
        <v/>
      </c>
      <c r="AJ190" s="4" t="str">
        <f t="shared" ca="1" si="67"/>
        <v/>
      </c>
      <c r="AK190" s="4" t="str">
        <f t="shared" ca="1" si="67"/>
        <v/>
      </c>
      <c r="AL190" s="4" t="str">
        <f t="shared" ca="1" si="67"/>
        <v/>
      </c>
      <c r="AM190" s="4" t="str">
        <f t="shared" ca="1" si="67"/>
        <v/>
      </c>
      <c r="AN190" s="4" t="str">
        <f t="shared" ca="1" si="67"/>
        <v/>
      </c>
      <c r="AO190" s="4" t="str">
        <f t="shared" ca="1" si="67"/>
        <v/>
      </c>
      <c r="AP190" s="4" t="str">
        <f t="shared" ca="1" si="67"/>
        <v/>
      </c>
      <c r="AQ190" s="4" t="str">
        <f t="shared" ca="1" si="68"/>
        <v/>
      </c>
      <c r="AR190" s="4" t="str">
        <f t="shared" ca="1" si="68"/>
        <v/>
      </c>
      <c r="AS190" s="4" t="str">
        <f t="shared" ca="1" si="68"/>
        <v/>
      </c>
      <c r="AT190" s="4" t="str">
        <f t="shared" ca="1" si="68"/>
        <v/>
      </c>
      <c r="AU190" s="4" t="str">
        <f t="shared" ca="1" si="68"/>
        <v/>
      </c>
      <c r="AV190" s="4" t="str">
        <f t="shared" ca="1" si="68"/>
        <v/>
      </c>
      <c r="AW190" s="4" t="str">
        <f t="shared" ca="1" si="68"/>
        <v/>
      </c>
      <c r="AX190" s="4" t="str">
        <f t="shared" ca="1" si="68"/>
        <v/>
      </c>
      <c r="AY190" s="4" t="str">
        <f t="shared" ca="1" si="68"/>
        <v/>
      </c>
      <c r="AZ190" s="4" t="str">
        <f t="shared" ca="1" si="68"/>
        <v/>
      </c>
      <c r="BA190" s="4" t="str">
        <f t="shared" si="53"/>
        <v/>
      </c>
    </row>
    <row r="191" spans="1:53">
      <c r="A191">
        <v>127</v>
      </c>
      <c r="C191" s="4" t="str">
        <f t="shared" ca="1" si="64"/>
        <v/>
      </c>
      <c r="D191" s="4" t="str">
        <f t="shared" ca="1" si="64"/>
        <v/>
      </c>
      <c r="E191" s="4" t="str">
        <f t="shared" ca="1" si="64"/>
        <v/>
      </c>
      <c r="F191" s="4" t="str">
        <f t="shared" ca="1" si="64"/>
        <v/>
      </c>
      <c r="G191" s="4" t="str">
        <f t="shared" ca="1" si="64"/>
        <v/>
      </c>
      <c r="H191" s="4" t="str">
        <f t="shared" ca="1" si="64"/>
        <v/>
      </c>
      <c r="I191" s="4" t="str">
        <f t="shared" ca="1" si="64"/>
        <v/>
      </c>
      <c r="J191" s="4" t="str">
        <f t="shared" ca="1" si="64"/>
        <v/>
      </c>
      <c r="K191" s="4" t="str">
        <f t="shared" ca="1" si="64"/>
        <v/>
      </c>
      <c r="L191" s="4" t="str">
        <f t="shared" ca="1" si="64"/>
        <v/>
      </c>
      <c r="M191" s="4" t="str">
        <f t="shared" ca="1" si="65"/>
        <v/>
      </c>
      <c r="N191" s="4" t="str">
        <f t="shared" ca="1" si="65"/>
        <v/>
      </c>
      <c r="O191" s="4" t="str">
        <f t="shared" ca="1" si="65"/>
        <v/>
      </c>
      <c r="P191" s="4" t="str">
        <f t="shared" ca="1" si="65"/>
        <v/>
      </c>
      <c r="Q191" s="4" t="str">
        <f t="shared" ca="1" si="65"/>
        <v/>
      </c>
      <c r="R191" s="4" t="str">
        <f t="shared" ca="1" si="65"/>
        <v/>
      </c>
      <c r="S191" s="4" t="str">
        <f t="shared" ca="1" si="65"/>
        <v/>
      </c>
      <c r="T191" s="4" t="str">
        <f t="shared" ca="1" si="65"/>
        <v/>
      </c>
      <c r="U191" s="4" t="str">
        <f t="shared" ca="1" si="65"/>
        <v/>
      </c>
      <c r="V191" s="4" t="str">
        <f t="shared" ca="1" si="65"/>
        <v/>
      </c>
      <c r="W191" s="4" t="str">
        <f t="shared" ca="1" si="66"/>
        <v/>
      </c>
      <c r="X191" s="4" t="str">
        <f t="shared" ca="1" si="66"/>
        <v/>
      </c>
      <c r="Y191" s="4" t="str">
        <f t="shared" ca="1" si="66"/>
        <v/>
      </c>
      <c r="Z191" s="4" t="str">
        <f t="shared" ca="1" si="66"/>
        <v/>
      </c>
      <c r="AA191" s="4" t="str">
        <f t="shared" ca="1" si="66"/>
        <v/>
      </c>
      <c r="AB191" s="4" t="str">
        <f t="shared" ca="1" si="66"/>
        <v/>
      </c>
      <c r="AC191" s="4" t="str">
        <f t="shared" ca="1" si="66"/>
        <v/>
      </c>
      <c r="AD191" s="4" t="str">
        <f t="shared" ca="1" si="66"/>
        <v/>
      </c>
      <c r="AE191" s="4" t="str">
        <f t="shared" ca="1" si="66"/>
        <v/>
      </c>
      <c r="AF191" s="4" t="str">
        <f t="shared" ca="1" si="66"/>
        <v/>
      </c>
      <c r="AG191" s="4" t="str">
        <f t="shared" ca="1" si="67"/>
        <v/>
      </c>
      <c r="AH191" s="4" t="str">
        <f t="shared" ca="1" si="67"/>
        <v/>
      </c>
      <c r="AI191" s="4" t="str">
        <f t="shared" ca="1" si="67"/>
        <v/>
      </c>
      <c r="AJ191" s="4" t="str">
        <f t="shared" ca="1" si="67"/>
        <v/>
      </c>
      <c r="AK191" s="4" t="str">
        <f t="shared" ca="1" si="67"/>
        <v/>
      </c>
      <c r="AL191" s="4" t="str">
        <f t="shared" ca="1" si="67"/>
        <v/>
      </c>
      <c r="AM191" s="4" t="str">
        <f t="shared" ca="1" si="67"/>
        <v/>
      </c>
      <c r="AN191" s="4" t="str">
        <f t="shared" ca="1" si="67"/>
        <v/>
      </c>
      <c r="AO191" s="4" t="str">
        <f t="shared" ca="1" si="67"/>
        <v/>
      </c>
      <c r="AP191" s="4" t="str">
        <f t="shared" ca="1" si="67"/>
        <v/>
      </c>
      <c r="AQ191" s="4" t="str">
        <f t="shared" ca="1" si="68"/>
        <v/>
      </c>
      <c r="AR191" s="4" t="str">
        <f t="shared" ca="1" si="68"/>
        <v/>
      </c>
      <c r="AS191" s="4" t="str">
        <f t="shared" ca="1" si="68"/>
        <v/>
      </c>
      <c r="AT191" s="4" t="str">
        <f t="shared" ca="1" si="68"/>
        <v/>
      </c>
      <c r="AU191" s="4" t="str">
        <f t="shared" ca="1" si="68"/>
        <v/>
      </c>
      <c r="AV191" s="4" t="str">
        <f t="shared" ca="1" si="68"/>
        <v/>
      </c>
      <c r="AW191" s="4" t="str">
        <f t="shared" ca="1" si="68"/>
        <v/>
      </c>
      <c r="AX191" s="4" t="str">
        <f t="shared" ca="1" si="68"/>
        <v/>
      </c>
      <c r="AY191" s="4" t="str">
        <f t="shared" ca="1" si="68"/>
        <v/>
      </c>
      <c r="AZ191" s="4" t="str">
        <f t="shared" ca="1" si="68"/>
        <v/>
      </c>
      <c r="BA191" s="4" t="str">
        <f t="shared" si="53"/>
        <v/>
      </c>
    </row>
    <row r="192" spans="1:53">
      <c r="A192">
        <v>128</v>
      </c>
      <c r="C192" s="4" t="str">
        <f t="shared" ca="1" si="64"/>
        <v/>
      </c>
      <c r="D192" s="4" t="str">
        <f t="shared" ca="1" si="64"/>
        <v/>
      </c>
      <c r="E192" s="4" t="str">
        <f t="shared" ca="1" si="64"/>
        <v/>
      </c>
      <c r="F192" s="4" t="str">
        <f t="shared" ca="1" si="64"/>
        <v/>
      </c>
      <c r="G192" s="4" t="str">
        <f t="shared" ca="1" si="64"/>
        <v/>
      </c>
      <c r="H192" s="4" t="str">
        <f t="shared" ca="1" si="64"/>
        <v/>
      </c>
      <c r="I192" s="4" t="str">
        <f t="shared" ca="1" si="64"/>
        <v/>
      </c>
      <c r="J192" s="4" t="str">
        <f t="shared" ca="1" si="64"/>
        <v/>
      </c>
      <c r="K192" s="4" t="str">
        <f t="shared" ca="1" si="64"/>
        <v/>
      </c>
      <c r="L192" s="4" t="str">
        <f t="shared" ca="1" si="64"/>
        <v/>
      </c>
      <c r="M192" s="4" t="str">
        <f t="shared" ca="1" si="65"/>
        <v/>
      </c>
      <c r="N192" s="4" t="str">
        <f t="shared" ca="1" si="65"/>
        <v/>
      </c>
      <c r="O192" s="4" t="str">
        <f t="shared" ca="1" si="65"/>
        <v/>
      </c>
      <c r="P192" s="4" t="str">
        <f t="shared" ca="1" si="65"/>
        <v/>
      </c>
      <c r="Q192" s="4" t="str">
        <f t="shared" ca="1" si="65"/>
        <v/>
      </c>
      <c r="R192" s="4" t="str">
        <f t="shared" ca="1" si="65"/>
        <v/>
      </c>
      <c r="S192" s="4" t="str">
        <f t="shared" ca="1" si="65"/>
        <v/>
      </c>
      <c r="T192" s="4" t="str">
        <f t="shared" ca="1" si="65"/>
        <v/>
      </c>
      <c r="U192" s="4" t="str">
        <f t="shared" ca="1" si="65"/>
        <v/>
      </c>
      <c r="V192" s="4" t="str">
        <f t="shared" ca="1" si="65"/>
        <v/>
      </c>
      <c r="W192" s="4" t="str">
        <f t="shared" ca="1" si="66"/>
        <v/>
      </c>
      <c r="X192" s="4" t="str">
        <f t="shared" ca="1" si="66"/>
        <v/>
      </c>
      <c r="Y192" s="4" t="str">
        <f t="shared" ca="1" si="66"/>
        <v/>
      </c>
      <c r="Z192" s="4" t="str">
        <f t="shared" ca="1" si="66"/>
        <v/>
      </c>
      <c r="AA192" s="4" t="str">
        <f t="shared" ca="1" si="66"/>
        <v/>
      </c>
      <c r="AB192" s="4" t="str">
        <f t="shared" ca="1" si="66"/>
        <v/>
      </c>
      <c r="AC192" s="4" t="str">
        <f t="shared" ca="1" si="66"/>
        <v/>
      </c>
      <c r="AD192" s="4" t="str">
        <f t="shared" ca="1" si="66"/>
        <v/>
      </c>
      <c r="AE192" s="4" t="str">
        <f t="shared" ca="1" si="66"/>
        <v/>
      </c>
      <c r="AF192" s="4" t="str">
        <f t="shared" ca="1" si="66"/>
        <v/>
      </c>
      <c r="AG192" s="4" t="str">
        <f t="shared" ca="1" si="67"/>
        <v/>
      </c>
      <c r="AH192" s="4" t="str">
        <f t="shared" ca="1" si="67"/>
        <v/>
      </c>
      <c r="AI192" s="4" t="str">
        <f t="shared" ca="1" si="67"/>
        <v/>
      </c>
      <c r="AJ192" s="4" t="str">
        <f t="shared" ca="1" si="67"/>
        <v/>
      </c>
      <c r="AK192" s="4" t="str">
        <f t="shared" ca="1" si="67"/>
        <v/>
      </c>
      <c r="AL192" s="4" t="str">
        <f t="shared" ca="1" si="67"/>
        <v/>
      </c>
      <c r="AM192" s="4" t="str">
        <f t="shared" ca="1" si="67"/>
        <v/>
      </c>
      <c r="AN192" s="4" t="str">
        <f t="shared" ca="1" si="67"/>
        <v/>
      </c>
      <c r="AO192" s="4" t="str">
        <f t="shared" ca="1" si="67"/>
        <v/>
      </c>
      <c r="AP192" s="4" t="str">
        <f t="shared" ca="1" si="67"/>
        <v/>
      </c>
      <c r="AQ192" s="4" t="str">
        <f t="shared" ca="1" si="68"/>
        <v/>
      </c>
      <c r="AR192" s="4" t="str">
        <f t="shared" ca="1" si="68"/>
        <v/>
      </c>
      <c r="AS192" s="4" t="str">
        <f t="shared" ca="1" si="68"/>
        <v/>
      </c>
      <c r="AT192" s="4" t="str">
        <f t="shared" ca="1" si="68"/>
        <v/>
      </c>
      <c r="AU192" s="4" t="str">
        <f t="shared" ca="1" si="68"/>
        <v/>
      </c>
      <c r="AV192" s="4" t="str">
        <f t="shared" ca="1" si="68"/>
        <v/>
      </c>
      <c r="AW192" s="4" t="str">
        <f t="shared" ca="1" si="68"/>
        <v/>
      </c>
      <c r="AX192" s="4" t="str">
        <f t="shared" ca="1" si="68"/>
        <v/>
      </c>
      <c r="AY192" s="4" t="str">
        <f t="shared" ca="1" si="68"/>
        <v/>
      </c>
      <c r="AZ192" s="4" t="str">
        <f t="shared" ca="1" si="68"/>
        <v/>
      </c>
      <c r="BA192" s="4" t="str">
        <f t="shared" si="53"/>
        <v/>
      </c>
    </row>
    <row r="193" spans="1:53">
      <c r="A193">
        <v>129</v>
      </c>
      <c r="C193" s="4" t="str">
        <f t="shared" ca="1" si="64"/>
        <v/>
      </c>
      <c r="D193" s="4" t="str">
        <f t="shared" ca="1" si="64"/>
        <v/>
      </c>
      <c r="E193" s="4" t="str">
        <f t="shared" ca="1" si="64"/>
        <v/>
      </c>
      <c r="F193" s="4" t="str">
        <f t="shared" ca="1" si="64"/>
        <v/>
      </c>
      <c r="G193" s="4" t="str">
        <f t="shared" ca="1" si="64"/>
        <v/>
      </c>
      <c r="H193" s="4" t="str">
        <f t="shared" ca="1" si="64"/>
        <v/>
      </c>
      <c r="I193" s="4" t="str">
        <f t="shared" ca="1" si="64"/>
        <v/>
      </c>
      <c r="J193" s="4" t="str">
        <f t="shared" ca="1" si="64"/>
        <v/>
      </c>
      <c r="K193" s="4" t="str">
        <f t="shared" ca="1" si="64"/>
        <v/>
      </c>
      <c r="L193" s="4" t="str">
        <f t="shared" ca="1" si="64"/>
        <v/>
      </c>
      <c r="M193" s="4" t="str">
        <f t="shared" ca="1" si="65"/>
        <v/>
      </c>
      <c r="N193" s="4" t="str">
        <f t="shared" ca="1" si="65"/>
        <v/>
      </c>
      <c r="O193" s="4" t="str">
        <f t="shared" ca="1" si="65"/>
        <v/>
      </c>
      <c r="P193" s="4" t="str">
        <f t="shared" ca="1" si="65"/>
        <v/>
      </c>
      <c r="Q193" s="4" t="str">
        <f t="shared" ca="1" si="65"/>
        <v/>
      </c>
      <c r="R193" s="4" t="str">
        <f t="shared" ca="1" si="65"/>
        <v/>
      </c>
      <c r="S193" s="4" t="str">
        <f t="shared" ca="1" si="65"/>
        <v/>
      </c>
      <c r="T193" s="4" t="str">
        <f t="shared" ca="1" si="65"/>
        <v/>
      </c>
      <c r="U193" s="4" t="str">
        <f t="shared" ca="1" si="65"/>
        <v/>
      </c>
      <c r="V193" s="4" t="str">
        <f t="shared" ca="1" si="65"/>
        <v/>
      </c>
      <c r="W193" s="4" t="str">
        <f t="shared" ca="1" si="66"/>
        <v/>
      </c>
      <c r="X193" s="4" t="str">
        <f t="shared" ca="1" si="66"/>
        <v/>
      </c>
      <c r="Y193" s="4" t="str">
        <f t="shared" ca="1" si="66"/>
        <v/>
      </c>
      <c r="Z193" s="4" t="str">
        <f t="shared" ca="1" si="66"/>
        <v/>
      </c>
      <c r="AA193" s="4" t="str">
        <f t="shared" ca="1" si="66"/>
        <v/>
      </c>
      <c r="AB193" s="4" t="str">
        <f t="shared" ca="1" si="66"/>
        <v/>
      </c>
      <c r="AC193" s="4" t="str">
        <f t="shared" ca="1" si="66"/>
        <v/>
      </c>
      <c r="AD193" s="4" t="str">
        <f t="shared" ca="1" si="66"/>
        <v/>
      </c>
      <c r="AE193" s="4" t="str">
        <f t="shared" ca="1" si="66"/>
        <v/>
      </c>
      <c r="AF193" s="4" t="str">
        <f t="shared" ca="1" si="66"/>
        <v/>
      </c>
      <c r="AG193" s="4" t="str">
        <f t="shared" ca="1" si="67"/>
        <v/>
      </c>
      <c r="AH193" s="4" t="str">
        <f t="shared" ca="1" si="67"/>
        <v/>
      </c>
      <c r="AI193" s="4" t="str">
        <f t="shared" ca="1" si="67"/>
        <v/>
      </c>
      <c r="AJ193" s="4" t="str">
        <f t="shared" ca="1" si="67"/>
        <v/>
      </c>
      <c r="AK193" s="4" t="str">
        <f t="shared" ca="1" si="67"/>
        <v/>
      </c>
      <c r="AL193" s="4" t="str">
        <f t="shared" ca="1" si="67"/>
        <v/>
      </c>
      <c r="AM193" s="4" t="str">
        <f t="shared" ca="1" si="67"/>
        <v/>
      </c>
      <c r="AN193" s="4" t="str">
        <f t="shared" ca="1" si="67"/>
        <v/>
      </c>
      <c r="AO193" s="4" t="str">
        <f t="shared" ca="1" si="67"/>
        <v/>
      </c>
      <c r="AP193" s="4" t="str">
        <f t="shared" ca="1" si="67"/>
        <v/>
      </c>
      <c r="AQ193" s="4" t="str">
        <f t="shared" ca="1" si="68"/>
        <v/>
      </c>
      <c r="AR193" s="4" t="str">
        <f t="shared" ca="1" si="68"/>
        <v/>
      </c>
      <c r="AS193" s="4" t="str">
        <f t="shared" ca="1" si="68"/>
        <v/>
      </c>
      <c r="AT193" s="4" t="str">
        <f t="shared" ca="1" si="68"/>
        <v/>
      </c>
      <c r="AU193" s="4" t="str">
        <f t="shared" ca="1" si="68"/>
        <v/>
      </c>
      <c r="AV193" s="4" t="str">
        <f t="shared" ca="1" si="68"/>
        <v/>
      </c>
      <c r="AW193" s="4" t="str">
        <f t="shared" ca="1" si="68"/>
        <v/>
      </c>
      <c r="AX193" s="4" t="str">
        <f t="shared" ca="1" si="68"/>
        <v/>
      </c>
      <c r="AY193" s="4" t="str">
        <f t="shared" ca="1" si="68"/>
        <v/>
      </c>
      <c r="AZ193" s="4" t="str">
        <f t="shared" ca="1" si="68"/>
        <v/>
      </c>
      <c r="BA193" s="4" t="str">
        <f t="shared" ref="BA193:BA224" si="69">IF($E$3=0,"",AVERAGE(C193:AZ193))</f>
        <v/>
      </c>
    </row>
    <row r="194" spans="1:53">
      <c r="A194">
        <v>130</v>
      </c>
      <c r="C194" s="4" t="str">
        <f t="shared" ca="1" si="64"/>
        <v/>
      </c>
      <c r="D194" s="4" t="str">
        <f t="shared" ca="1" si="64"/>
        <v/>
      </c>
      <c r="E194" s="4" t="str">
        <f t="shared" ca="1" si="64"/>
        <v/>
      </c>
      <c r="F194" s="4" t="str">
        <f t="shared" ca="1" si="64"/>
        <v/>
      </c>
      <c r="G194" s="4" t="str">
        <f t="shared" ca="1" si="64"/>
        <v/>
      </c>
      <c r="H194" s="4" t="str">
        <f t="shared" ca="1" si="64"/>
        <v/>
      </c>
      <c r="I194" s="4" t="str">
        <f t="shared" ca="1" si="64"/>
        <v/>
      </c>
      <c r="J194" s="4" t="str">
        <f t="shared" ca="1" si="64"/>
        <v/>
      </c>
      <c r="K194" s="4" t="str">
        <f t="shared" ca="1" si="64"/>
        <v/>
      </c>
      <c r="L194" s="4" t="str">
        <f t="shared" ca="1" si="64"/>
        <v/>
      </c>
      <c r="M194" s="4" t="str">
        <f t="shared" ca="1" si="65"/>
        <v/>
      </c>
      <c r="N194" s="4" t="str">
        <f t="shared" ca="1" si="65"/>
        <v/>
      </c>
      <c r="O194" s="4" t="str">
        <f t="shared" ca="1" si="65"/>
        <v/>
      </c>
      <c r="P194" s="4" t="str">
        <f t="shared" ca="1" si="65"/>
        <v/>
      </c>
      <c r="Q194" s="4" t="str">
        <f t="shared" ca="1" si="65"/>
        <v/>
      </c>
      <c r="R194" s="4" t="str">
        <f t="shared" ca="1" si="65"/>
        <v/>
      </c>
      <c r="S194" s="4" t="str">
        <f t="shared" ca="1" si="65"/>
        <v/>
      </c>
      <c r="T194" s="4" t="str">
        <f t="shared" ca="1" si="65"/>
        <v/>
      </c>
      <c r="U194" s="4" t="str">
        <f t="shared" ca="1" si="65"/>
        <v/>
      </c>
      <c r="V194" s="4" t="str">
        <f t="shared" ca="1" si="65"/>
        <v/>
      </c>
      <c r="W194" s="4" t="str">
        <f t="shared" ca="1" si="66"/>
        <v/>
      </c>
      <c r="X194" s="4" t="str">
        <f t="shared" ca="1" si="66"/>
        <v/>
      </c>
      <c r="Y194" s="4" t="str">
        <f t="shared" ca="1" si="66"/>
        <v/>
      </c>
      <c r="Z194" s="4" t="str">
        <f t="shared" ca="1" si="66"/>
        <v/>
      </c>
      <c r="AA194" s="4" t="str">
        <f t="shared" ca="1" si="66"/>
        <v/>
      </c>
      <c r="AB194" s="4" t="str">
        <f t="shared" ca="1" si="66"/>
        <v/>
      </c>
      <c r="AC194" s="4" t="str">
        <f t="shared" ca="1" si="66"/>
        <v/>
      </c>
      <c r="AD194" s="4" t="str">
        <f t="shared" ca="1" si="66"/>
        <v/>
      </c>
      <c r="AE194" s="4" t="str">
        <f t="shared" ca="1" si="66"/>
        <v/>
      </c>
      <c r="AF194" s="4" t="str">
        <f t="shared" ca="1" si="66"/>
        <v/>
      </c>
      <c r="AG194" s="4" t="str">
        <f t="shared" ca="1" si="67"/>
        <v/>
      </c>
      <c r="AH194" s="4" t="str">
        <f t="shared" ca="1" si="67"/>
        <v/>
      </c>
      <c r="AI194" s="4" t="str">
        <f t="shared" ca="1" si="67"/>
        <v/>
      </c>
      <c r="AJ194" s="4" t="str">
        <f t="shared" ca="1" si="67"/>
        <v/>
      </c>
      <c r="AK194" s="4" t="str">
        <f t="shared" ca="1" si="67"/>
        <v/>
      </c>
      <c r="AL194" s="4" t="str">
        <f t="shared" ca="1" si="67"/>
        <v/>
      </c>
      <c r="AM194" s="4" t="str">
        <f t="shared" ca="1" si="67"/>
        <v/>
      </c>
      <c r="AN194" s="4" t="str">
        <f t="shared" ca="1" si="67"/>
        <v/>
      </c>
      <c r="AO194" s="4" t="str">
        <f t="shared" ca="1" si="67"/>
        <v/>
      </c>
      <c r="AP194" s="4" t="str">
        <f t="shared" ca="1" si="67"/>
        <v/>
      </c>
      <c r="AQ194" s="4" t="str">
        <f t="shared" ca="1" si="68"/>
        <v/>
      </c>
      <c r="AR194" s="4" t="str">
        <f t="shared" ca="1" si="68"/>
        <v/>
      </c>
      <c r="AS194" s="4" t="str">
        <f t="shared" ca="1" si="68"/>
        <v/>
      </c>
      <c r="AT194" s="4" t="str">
        <f t="shared" ca="1" si="68"/>
        <v/>
      </c>
      <c r="AU194" s="4" t="str">
        <f t="shared" ca="1" si="68"/>
        <v/>
      </c>
      <c r="AV194" s="4" t="str">
        <f t="shared" ca="1" si="68"/>
        <v/>
      </c>
      <c r="AW194" s="4" t="str">
        <f t="shared" ca="1" si="68"/>
        <v/>
      </c>
      <c r="AX194" s="4" t="str">
        <f t="shared" ca="1" si="68"/>
        <v/>
      </c>
      <c r="AY194" s="4" t="str">
        <f t="shared" ca="1" si="68"/>
        <v/>
      </c>
      <c r="AZ194" s="4" t="str">
        <f t="shared" ca="1" si="68"/>
        <v/>
      </c>
      <c r="BA194" s="4" t="str">
        <f t="shared" si="69"/>
        <v/>
      </c>
    </row>
    <row r="195" spans="1:53">
      <c r="A195">
        <v>131</v>
      </c>
      <c r="C195" s="4" t="str">
        <f t="shared" ref="C195:L204" ca="1" si="70">IF(COLUMN()-2&lt;=$E$3,INDEX($B$10:$B$59,RANDBETWEEN(1,$E$3)),"")</f>
        <v/>
      </c>
      <c r="D195" s="4" t="str">
        <f t="shared" ca="1" si="70"/>
        <v/>
      </c>
      <c r="E195" s="4" t="str">
        <f t="shared" ca="1" si="70"/>
        <v/>
      </c>
      <c r="F195" s="4" t="str">
        <f t="shared" ca="1" si="70"/>
        <v/>
      </c>
      <c r="G195" s="4" t="str">
        <f t="shared" ca="1" si="70"/>
        <v/>
      </c>
      <c r="H195" s="4" t="str">
        <f t="shared" ca="1" si="70"/>
        <v/>
      </c>
      <c r="I195" s="4" t="str">
        <f t="shared" ca="1" si="70"/>
        <v/>
      </c>
      <c r="J195" s="4" t="str">
        <f t="shared" ca="1" si="70"/>
        <v/>
      </c>
      <c r="K195" s="4" t="str">
        <f t="shared" ca="1" si="70"/>
        <v/>
      </c>
      <c r="L195" s="4" t="str">
        <f t="shared" ca="1" si="70"/>
        <v/>
      </c>
      <c r="M195" s="4" t="str">
        <f t="shared" ref="M195:V204" ca="1" si="71">IF(COLUMN()-2&lt;=$E$3,INDEX($B$10:$B$59,RANDBETWEEN(1,$E$3)),"")</f>
        <v/>
      </c>
      <c r="N195" s="4" t="str">
        <f t="shared" ca="1" si="71"/>
        <v/>
      </c>
      <c r="O195" s="4" t="str">
        <f t="shared" ca="1" si="71"/>
        <v/>
      </c>
      <c r="P195" s="4" t="str">
        <f t="shared" ca="1" si="71"/>
        <v/>
      </c>
      <c r="Q195" s="4" t="str">
        <f t="shared" ca="1" si="71"/>
        <v/>
      </c>
      <c r="R195" s="4" t="str">
        <f t="shared" ca="1" si="71"/>
        <v/>
      </c>
      <c r="S195" s="4" t="str">
        <f t="shared" ca="1" si="71"/>
        <v/>
      </c>
      <c r="T195" s="4" t="str">
        <f t="shared" ca="1" si="71"/>
        <v/>
      </c>
      <c r="U195" s="4" t="str">
        <f t="shared" ca="1" si="71"/>
        <v/>
      </c>
      <c r="V195" s="4" t="str">
        <f t="shared" ca="1" si="71"/>
        <v/>
      </c>
      <c r="W195" s="4" t="str">
        <f t="shared" ref="W195:AF204" ca="1" si="72">IF(COLUMN()-2&lt;=$E$3,INDEX($B$10:$B$59,RANDBETWEEN(1,$E$3)),"")</f>
        <v/>
      </c>
      <c r="X195" s="4" t="str">
        <f t="shared" ca="1" si="72"/>
        <v/>
      </c>
      <c r="Y195" s="4" t="str">
        <f t="shared" ca="1" si="72"/>
        <v/>
      </c>
      <c r="Z195" s="4" t="str">
        <f t="shared" ca="1" si="72"/>
        <v/>
      </c>
      <c r="AA195" s="4" t="str">
        <f t="shared" ca="1" si="72"/>
        <v/>
      </c>
      <c r="AB195" s="4" t="str">
        <f t="shared" ca="1" si="72"/>
        <v/>
      </c>
      <c r="AC195" s="4" t="str">
        <f t="shared" ca="1" si="72"/>
        <v/>
      </c>
      <c r="AD195" s="4" t="str">
        <f t="shared" ca="1" si="72"/>
        <v/>
      </c>
      <c r="AE195" s="4" t="str">
        <f t="shared" ca="1" si="72"/>
        <v/>
      </c>
      <c r="AF195" s="4" t="str">
        <f t="shared" ca="1" si="72"/>
        <v/>
      </c>
      <c r="AG195" s="4" t="str">
        <f t="shared" ref="AG195:AP204" ca="1" si="73">IF(COLUMN()-2&lt;=$E$3,INDEX($B$10:$B$59,RANDBETWEEN(1,$E$3)),"")</f>
        <v/>
      </c>
      <c r="AH195" s="4" t="str">
        <f t="shared" ca="1" si="73"/>
        <v/>
      </c>
      <c r="AI195" s="4" t="str">
        <f t="shared" ca="1" si="73"/>
        <v/>
      </c>
      <c r="AJ195" s="4" t="str">
        <f t="shared" ca="1" si="73"/>
        <v/>
      </c>
      <c r="AK195" s="4" t="str">
        <f t="shared" ca="1" si="73"/>
        <v/>
      </c>
      <c r="AL195" s="4" t="str">
        <f t="shared" ca="1" si="73"/>
        <v/>
      </c>
      <c r="AM195" s="4" t="str">
        <f t="shared" ca="1" si="73"/>
        <v/>
      </c>
      <c r="AN195" s="4" t="str">
        <f t="shared" ca="1" si="73"/>
        <v/>
      </c>
      <c r="AO195" s="4" t="str">
        <f t="shared" ca="1" si="73"/>
        <v/>
      </c>
      <c r="AP195" s="4" t="str">
        <f t="shared" ca="1" si="73"/>
        <v/>
      </c>
      <c r="AQ195" s="4" t="str">
        <f t="shared" ref="AQ195:AZ204" ca="1" si="74">IF(COLUMN()-2&lt;=$E$3,INDEX($B$10:$B$59,RANDBETWEEN(1,$E$3)),"")</f>
        <v/>
      </c>
      <c r="AR195" s="4" t="str">
        <f t="shared" ca="1" si="74"/>
        <v/>
      </c>
      <c r="AS195" s="4" t="str">
        <f t="shared" ca="1" si="74"/>
        <v/>
      </c>
      <c r="AT195" s="4" t="str">
        <f t="shared" ca="1" si="74"/>
        <v/>
      </c>
      <c r="AU195" s="4" t="str">
        <f t="shared" ca="1" si="74"/>
        <v/>
      </c>
      <c r="AV195" s="4" t="str">
        <f t="shared" ca="1" si="74"/>
        <v/>
      </c>
      <c r="AW195" s="4" t="str">
        <f t="shared" ca="1" si="74"/>
        <v/>
      </c>
      <c r="AX195" s="4" t="str">
        <f t="shared" ca="1" si="74"/>
        <v/>
      </c>
      <c r="AY195" s="4" t="str">
        <f t="shared" ca="1" si="74"/>
        <v/>
      </c>
      <c r="AZ195" s="4" t="str">
        <f t="shared" ca="1" si="74"/>
        <v/>
      </c>
      <c r="BA195" s="4" t="str">
        <f t="shared" si="69"/>
        <v/>
      </c>
    </row>
    <row r="196" spans="1:53">
      <c r="A196">
        <v>132</v>
      </c>
      <c r="C196" s="4" t="str">
        <f t="shared" ca="1" si="70"/>
        <v/>
      </c>
      <c r="D196" s="4" t="str">
        <f t="shared" ca="1" si="70"/>
        <v/>
      </c>
      <c r="E196" s="4" t="str">
        <f t="shared" ca="1" si="70"/>
        <v/>
      </c>
      <c r="F196" s="4" t="str">
        <f t="shared" ca="1" si="70"/>
        <v/>
      </c>
      <c r="G196" s="4" t="str">
        <f t="shared" ca="1" si="70"/>
        <v/>
      </c>
      <c r="H196" s="4" t="str">
        <f t="shared" ca="1" si="70"/>
        <v/>
      </c>
      <c r="I196" s="4" t="str">
        <f t="shared" ca="1" si="70"/>
        <v/>
      </c>
      <c r="J196" s="4" t="str">
        <f t="shared" ca="1" si="70"/>
        <v/>
      </c>
      <c r="K196" s="4" t="str">
        <f t="shared" ca="1" si="70"/>
        <v/>
      </c>
      <c r="L196" s="4" t="str">
        <f t="shared" ca="1" si="70"/>
        <v/>
      </c>
      <c r="M196" s="4" t="str">
        <f t="shared" ca="1" si="71"/>
        <v/>
      </c>
      <c r="N196" s="4" t="str">
        <f t="shared" ca="1" si="71"/>
        <v/>
      </c>
      <c r="O196" s="4" t="str">
        <f t="shared" ca="1" si="71"/>
        <v/>
      </c>
      <c r="P196" s="4" t="str">
        <f t="shared" ca="1" si="71"/>
        <v/>
      </c>
      <c r="Q196" s="4" t="str">
        <f t="shared" ca="1" si="71"/>
        <v/>
      </c>
      <c r="R196" s="4" t="str">
        <f t="shared" ca="1" si="71"/>
        <v/>
      </c>
      <c r="S196" s="4" t="str">
        <f t="shared" ca="1" si="71"/>
        <v/>
      </c>
      <c r="T196" s="4" t="str">
        <f t="shared" ca="1" si="71"/>
        <v/>
      </c>
      <c r="U196" s="4" t="str">
        <f t="shared" ca="1" si="71"/>
        <v/>
      </c>
      <c r="V196" s="4" t="str">
        <f t="shared" ca="1" si="71"/>
        <v/>
      </c>
      <c r="W196" s="4" t="str">
        <f t="shared" ca="1" si="72"/>
        <v/>
      </c>
      <c r="X196" s="4" t="str">
        <f t="shared" ca="1" si="72"/>
        <v/>
      </c>
      <c r="Y196" s="4" t="str">
        <f t="shared" ca="1" si="72"/>
        <v/>
      </c>
      <c r="Z196" s="4" t="str">
        <f t="shared" ca="1" si="72"/>
        <v/>
      </c>
      <c r="AA196" s="4" t="str">
        <f t="shared" ca="1" si="72"/>
        <v/>
      </c>
      <c r="AB196" s="4" t="str">
        <f t="shared" ca="1" si="72"/>
        <v/>
      </c>
      <c r="AC196" s="4" t="str">
        <f t="shared" ca="1" si="72"/>
        <v/>
      </c>
      <c r="AD196" s="4" t="str">
        <f t="shared" ca="1" si="72"/>
        <v/>
      </c>
      <c r="AE196" s="4" t="str">
        <f t="shared" ca="1" si="72"/>
        <v/>
      </c>
      <c r="AF196" s="4" t="str">
        <f t="shared" ca="1" si="72"/>
        <v/>
      </c>
      <c r="AG196" s="4" t="str">
        <f t="shared" ca="1" si="73"/>
        <v/>
      </c>
      <c r="AH196" s="4" t="str">
        <f t="shared" ca="1" si="73"/>
        <v/>
      </c>
      <c r="AI196" s="4" t="str">
        <f t="shared" ca="1" si="73"/>
        <v/>
      </c>
      <c r="AJ196" s="4" t="str">
        <f t="shared" ca="1" si="73"/>
        <v/>
      </c>
      <c r="AK196" s="4" t="str">
        <f t="shared" ca="1" si="73"/>
        <v/>
      </c>
      <c r="AL196" s="4" t="str">
        <f t="shared" ca="1" si="73"/>
        <v/>
      </c>
      <c r="AM196" s="4" t="str">
        <f t="shared" ca="1" si="73"/>
        <v/>
      </c>
      <c r="AN196" s="4" t="str">
        <f t="shared" ca="1" si="73"/>
        <v/>
      </c>
      <c r="AO196" s="4" t="str">
        <f t="shared" ca="1" si="73"/>
        <v/>
      </c>
      <c r="AP196" s="4" t="str">
        <f t="shared" ca="1" si="73"/>
        <v/>
      </c>
      <c r="AQ196" s="4" t="str">
        <f t="shared" ca="1" si="74"/>
        <v/>
      </c>
      <c r="AR196" s="4" t="str">
        <f t="shared" ca="1" si="74"/>
        <v/>
      </c>
      <c r="AS196" s="4" t="str">
        <f t="shared" ca="1" si="74"/>
        <v/>
      </c>
      <c r="AT196" s="4" t="str">
        <f t="shared" ca="1" si="74"/>
        <v/>
      </c>
      <c r="AU196" s="4" t="str">
        <f t="shared" ca="1" si="74"/>
        <v/>
      </c>
      <c r="AV196" s="4" t="str">
        <f t="shared" ca="1" si="74"/>
        <v/>
      </c>
      <c r="AW196" s="4" t="str">
        <f t="shared" ca="1" si="74"/>
        <v/>
      </c>
      <c r="AX196" s="4" t="str">
        <f t="shared" ca="1" si="74"/>
        <v/>
      </c>
      <c r="AY196" s="4" t="str">
        <f t="shared" ca="1" si="74"/>
        <v/>
      </c>
      <c r="AZ196" s="4" t="str">
        <f t="shared" ca="1" si="74"/>
        <v/>
      </c>
      <c r="BA196" s="4" t="str">
        <f t="shared" si="69"/>
        <v/>
      </c>
    </row>
    <row r="197" spans="1:53">
      <c r="A197">
        <v>133</v>
      </c>
      <c r="C197" s="4" t="str">
        <f t="shared" ca="1" si="70"/>
        <v/>
      </c>
      <c r="D197" s="4" t="str">
        <f t="shared" ca="1" si="70"/>
        <v/>
      </c>
      <c r="E197" s="4" t="str">
        <f t="shared" ca="1" si="70"/>
        <v/>
      </c>
      <c r="F197" s="4" t="str">
        <f t="shared" ca="1" si="70"/>
        <v/>
      </c>
      <c r="G197" s="4" t="str">
        <f t="shared" ca="1" si="70"/>
        <v/>
      </c>
      <c r="H197" s="4" t="str">
        <f t="shared" ca="1" si="70"/>
        <v/>
      </c>
      <c r="I197" s="4" t="str">
        <f t="shared" ca="1" si="70"/>
        <v/>
      </c>
      <c r="J197" s="4" t="str">
        <f t="shared" ca="1" si="70"/>
        <v/>
      </c>
      <c r="K197" s="4" t="str">
        <f t="shared" ca="1" si="70"/>
        <v/>
      </c>
      <c r="L197" s="4" t="str">
        <f t="shared" ca="1" si="70"/>
        <v/>
      </c>
      <c r="M197" s="4" t="str">
        <f t="shared" ca="1" si="71"/>
        <v/>
      </c>
      <c r="N197" s="4" t="str">
        <f t="shared" ca="1" si="71"/>
        <v/>
      </c>
      <c r="O197" s="4" t="str">
        <f t="shared" ca="1" si="71"/>
        <v/>
      </c>
      <c r="P197" s="4" t="str">
        <f t="shared" ca="1" si="71"/>
        <v/>
      </c>
      <c r="Q197" s="4" t="str">
        <f t="shared" ca="1" si="71"/>
        <v/>
      </c>
      <c r="R197" s="4" t="str">
        <f t="shared" ca="1" si="71"/>
        <v/>
      </c>
      <c r="S197" s="4" t="str">
        <f t="shared" ca="1" si="71"/>
        <v/>
      </c>
      <c r="T197" s="4" t="str">
        <f t="shared" ca="1" si="71"/>
        <v/>
      </c>
      <c r="U197" s="4" t="str">
        <f t="shared" ca="1" si="71"/>
        <v/>
      </c>
      <c r="V197" s="4" t="str">
        <f t="shared" ca="1" si="71"/>
        <v/>
      </c>
      <c r="W197" s="4" t="str">
        <f t="shared" ca="1" si="72"/>
        <v/>
      </c>
      <c r="X197" s="4" t="str">
        <f t="shared" ca="1" si="72"/>
        <v/>
      </c>
      <c r="Y197" s="4" t="str">
        <f t="shared" ca="1" si="72"/>
        <v/>
      </c>
      <c r="Z197" s="4" t="str">
        <f t="shared" ca="1" si="72"/>
        <v/>
      </c>
      <c r="AA197" s="4" t="str">
        <f t="shared" ca="1" si="72"/>
        <v/>
      </c>
      <c r="AB197" s="4" t="str">
        <f t="shared" ca="1" si="72"/>
        <v/>
      </c>
      <c r="AC197" s="4" t="str">
        <f t="shared" ca="1" si="72"/>
        <v/>
      </c>
      <c r="AD197" s="4" t="str">
        <f t="shared" ca="1" si="72"/>
        <v/>
      </c>
      <c r="AE197" s="4" t="str">
        <f t="shared" ca="1" si="72"/>
        <v/>
      </c>
      <c r="AF197" s="4" t="str">
        <f t="shared" ca="1" si="72"/>
        <v/>
      </c>
      <c r="AG197" s="4" t="str">
        <f t="shared" ca="1" si="73"/>
        <v/>
      </c>
      <c r="AH197" s="4" t="str">
        <f t="shared" ca="1" si="73"/>
        <v/>
      </c>
      <c r="AI197" s="4" t="str">
        <f t="shared" ca="1" si="73"/>
        <v/>
      </c>
      <c r="AJ197" s="4" t="str">
        <f t="shared" ca="1" si="73"/>
        <v/>
      </c>
      <c r="AK197" s="4" t="str">
        <f t="shared" ca="1" si="73"/>
        <v/>
      </c>
      <c r="AL197" s="4" t="str">
        <f t="shared" ca="1" si="73"/>
        <v/>
      </c>
      <c r="AM197" s="4" t="str">
        <f t="shared" ca="1" si="73"/>
        <v/>
      </c>
      <c r="AN197" s="4" t="str">
        <f t="shared" ca="1" si="73"/>
        <v/>
      </c>
      <c r="AO197" s="4" t="str">
        <f t="shared" ca="1" si="73"/>
        <v/>
      </c>
      <c r="AP197" s="4" t="str">
        <f t="shared" ca="1" si="73"/>
        <v/>
      </c>
      <c r="AQ197" s="4" t="str">
        <f t="shared" ca="1" si="74"/>
        <v/>
      </c>
      <c r="AR197" s="4" t="str">
        <f t="shared" ca="1" si="74"/>
        <v/>
      </c>
      <c r="AS197" s="4" t="str">
        <f t="shared" ca="1" si="74"/>
        <v/>
      </c>
      <c r="AT197" s="4" t="str">
        <f t="shared" ca="1" si="74"/>
        <v/>
      </c>
      <c r="AU197" s="4" t="str">
        <f t="shared" ca="1" si="74"/>
        <v/>
      </c>
      <c r="AV197" s="4" t="str">
        <f t="shared" ca="1" si="74"/>
        <v/>
      </c>
      <c r="AW197" s="4" t="str">
        <f t="shared" ca="1" si="74"/>
        <v/>
      </c>
      <c r="AX197" s="4" t="str">
        <f t="shared" ca="1" si="74"/>
        <v/>
      </c>
      <c r="AY197" s="4" t="str">
        <f t="shared" ca="1" si="74"/>
        <v/>
      </c>
      <c r="AZ197" s="4" t="str">
        <f t="shared" ca="1" si="74"/>
        <v/>
      </c>
      <c r="BA197" s="4" t="str">
        <f t="shared" si="69"/>
        <v/>
      </c>
    </row>
    <row r="198" spans="1:53">
      <c r="A198">
        <v>134</v>
      </c>
      <c r="C198" s="4" t="str">
        <f t="shared" ca="1" si="70"/>
        <v/>
      </c>
      <c r="D198" s="4" t="str">
        <f t="shared" ca="1" si="70"/>
        <v/>
      </c>
      <c r="E198" s="4" t="str">
        <f t="shared" ca="1" si="70"/>
        <v/>
      </c>
      <c r="F198" s="4" t="str">
        <f t="shared" ca="1" si="70"/>
        <v/>
      </c>
      <c r="G198" s="4" t="str">
        <f t="shared" ca="1" si="70"/>
        <v/>
      </c>
      <c r="H198" s="4" t="str">
        <f t="shared" ca="1" si="70"/>
        <v/>
      </c>
      <c r="I198" s="4" t="str">
        <f t="shared" ca="1" si="70"/>
        <v/>
      </c>
      <c r="J198" s="4" t="str">
        <f t="shared" ca="1" si="70"/>
        <v/>
      </c>
      <c r="K198" s="4" t="str">
        <f t="shared" ca="1" si="70"/>
        <v/>
      </c>
      <c r="L198" s="4" t="str">
        <f t="shared" ca="1" si="70"/>
        <v/>
      </c>
      <c r="M198" s="4" t="str">
        <f t="shared" ca="1" si="71"/>
        <v/>
      </c>
      <c r="N198" s="4" t="str">
        <f t="shared" ca="1" si="71"/>
        <v/>
      </c>
      <c r="O198" s="4" t="str">
        <f t="shared" ca="1" si="71"/>
        <v/>
      </c>
      <c r="P198" s="4" t="str">
        <f t="shared" ca="1" si="71"/>
        <v/>
      </c>
      <c r="Q198" s="4" t="str">
        <f t="shared" ca="1" si="71"/>
        <v/>
      </c>
      <c r="R198" s="4" t="str">
        <f t="shared" ca="1" si="71"/>
        <v/>
      </c>
      <c r="S198" s="4" t="str">
        <f t="shared" ca="1" si="71"/>
        <v/>
      </c>
      <c r="T198" s="4" t="str">
        <f t="shared" ca="1" si="71"/>
        <v/>
      </c>
      <c r="U198" s="4" t="str">
        <f t="shared" ca="1" si="71"/>
        <v/>
      </c>
      <c r="V198" s="4" t="str">
        <f t="shared" ca="1" si="71"/>
        <v/>
      </c>
      <c r="W198" s="4" t="str">
        <f t="shared" ca="1" si="72"/>
        <v/>
      </c>
      <c r="X198" s="4" t="str">
        <f t="shared" ca="1" si="72"/>
        <v/>
      </c>
      <c r="Y198" s="4" t="str">
        <f t="shared" ca="1" si="72"/>
        <v/>
      </c>
      <c r="Z198" s="4" t="str">
        <f t="shared" ca="1" si="72"/>
        <v/>
      </c>
      <c r="AA198" s="4" t="str">
        <f t="shared" ca="1" si="72"/>
        <v/>
      </c>
      <c r="AB198" s="4" t="str">
        <f t="shared" ca="1" si="72"/>
        <v/>
      </c>
      <c r="AC198" s="4" t="str">
        <f t="shared" ca="1" si="72"/>
        <v/>
      </c>
      <c r="AD198" s="4" t="str">
        <f t="shared" ca="1" si="72"/>
        <v/>
      </c>
      <c r="AE198" s="4" t="str">
        <f t="shared" ca="1" si="72"/>
        <v/>
      </c>
      <c r="AF198" s="4" t="str">
        <f t="shared" ca="1" si="72"/>
        <v/>
      </c>
      <c r="AG198" s="4" t="str">
        <f t="shared" ca="1" si="73"/>
        <v/>
      </c>
      <c r="AH198" s="4" t="str">
        <f t="shared" ca="1" si="73"/>
        <v/>
      </c>
      <c r="AI198" s="4" t="str">
        <f t="shared" ca="1" si="73"/>
        <v/>
      </c>
      <c r="AJ198" s="4" t="str">
        <f t="shared" ca="1" si="73"/>
        <v/>
      </c>
      <c r="AK198" s="4" t="str">
        <f t="shared" ca="1" si="73"/>
        <v/>
      </c>
      <c r="AL198" s="4" t="str">
        <f t="shared" ca="1" si="73"/>
        <v/>
      </c>
      <c r="AM198" s="4" t="str">
        <f t="shared" ca="1" si="73"/>
        <v/>
      </c>
      <c r="AN198" s="4" t="str">
        <f t="shared" ca="1" si="73"/>
        <v/>
      </c>
      <c r="AO198" s="4" t="str">
        <f t="shared" ca="1" si="73"/>
        <v/>
      </c>
      <c r="AP198" s="4" t="str">
        <f t="shared" ca="1" si="73"/>
        <v/>
      </c>
      <c r="AQ198" s="4" t="str">
        <f t="shared" ca="1" si="74"/>
        <v/>
      </c>
      <c r="AR198" s="4" t="str">
        <f t="shared" ca="1" si="74"/>
        <v/>
      </c>
      <c r="AS198" s="4" t="str">
        <f t="shared" ca="1" si="74"/>
        <v/>
      </c>
      <c r="AT198" s="4" t="str">
        <f t="shared" ca="1" si="74"/>
        <v/>
      </c>
      <c r="AU198" s="4" t="str">
        <f t="shared" ca="1" si="74"/>
        <v/>
      </c>
      <c r="AV198" s="4" t="str">
        <f t="shared" ca="1" si="74"/>
        <v/>
      </c>
      <c r="AW198" s="4" t="str">
        <f t="shared" ca="1" si="74"/>
        <v/>
      </c>
      <c r="AX198" s="4" t="str">
        <f t="shared" ca="1" si="74"/>
        <v/>
      </c>
      <c r="AY198" s="4" t="str">
        <f t="shared" ca="1" si="74"/>
        <v/>
      </c>
      <c r="AZ198" s="4" t="str">
        <f t="shared" ca="1" si="74"/>
        <v/>
      </c>
      <c r="BA198" s="4" t="str">
        <f t="shared" si="69"/>
        <v/>
      </c>
    </row>
    <row r="199" spans="1:53">
      <c r="A199">
        <v>135</v>
      </c>
      <c r="C199" s="4" t="str">
        <f t="shared" ca="1" si="70"/>
        <v/>
      </c>
      <c r="D199" s="4" t="str">
        <f t="shared" ca="1" si="70"/>
        <v/>
      </c>
      <c r="E199" s="4" t="str">
        <f t="shared" ca="1" si="70"/>
        <v/>
      </c>
      <c r="F199" s="4" t="str">
        <f t="shared" ca="1" si="70"/>
        <v/>
      </c>
      <c r="G199" s="4" t="str">
        <f t="shared" ca="1" si="70"/>
        <v/>
      </c>
      <c r="H199" s="4" t="str">
        <f t="shared" ca="1" si="70"/>
        <v/>
      </c>
      <c r="I199" s="4" t="str">
        <f t="shared" ca="1" si="70"/>
        <v/>
      </c>
      <c r="J199" s="4" t="str">
        <f t="shared" ca="1" si="70"/>
        <v/>
      </c>
      <c r="K199" s="4" t="str">
        <f t="shared" ca="1" si="70"/>
        <v/>
      </c>
      <c r="L199" s="4" t="str">
        <f t="shared" ca="1" si="70"/>
        <v/>
      </c>
      <c r="M199" s="4" t="str">
        <f t="shared" ca="1" si="71"/>
        <v/>
      </c>
      <c r="N199" s="4" t="str">
        <f t="shared" ca="1" si="71"/>
        <v/>
      </c>
      <c r="O199" s="4" t="str">
        <f t="shared" ca="1" si="71"/>
        <v/>
      </c>
      <c r="P199" s="4" t="str">
        <f t="shared" ca="1" si="71"/>
        <v/>
      </c>
      <c r="Q199" s="4" t="str">
        <f t="shared" ca="1" si="71"/>
        <v/>
      </c>
      <c r="R199" s="4" t="str">
        <f t="shared" ca="1" si="71"/>
        <v/>
      </c>
      <c r="S199" s="4" t="str">
        <f t="shared" ca="1" si="71"/>
        <v/>
      </c>
      <c r="T199" s="4" t="str">
        <f t="shared" ca="1" si="71"/>
        <v/>
      </c>
      <c r="U199" s="4" t="str">
        <f t="shared" ca="1" si="71"/>
        <v/>
      </c>
      <c r="V199" s="4" t="str">
        <f t="shared" ca="1" si="71"/>
        <v/>
      </c>
      <c r="W199" s="4" t="str">
        <f t="shared" ca="1" si="72"/>
        <v/>
      </c>
      <c r="X199" s="4" t="str">
        <f t="shared" ca="1" si="72"/>
        <v/>
      </c>
      <c r="Y199" s="4" t="str">
        <f t="shared" ca="1" si="72"/>
        <v/>
      </c>
      <c r="Z199" s="4" t="str">
        <f t="shared" ca="1" si="72"/>
        <v/>
      </c>
      <c r="AA199" s="4" t="str">
        <f t="shared" ca="1" si="72"/>
        <v/>
      </c>
      <c r="AB199" s="4" t="str">
        <f t="shared" ca="1" si="72"/>
        <v/>
      </c>
      <c r="AC199" s="4" t="str">
        <f t="shared" ca="1" si="72"/>
        <v/>
      </c>
      <c r="AD199" s="4" t="str">
        <f t="shared" ca="1" si="72"/>
        <v/>
      </c>
      <c r="AE199" s="4" t="str">
        <f t="shared" ca="1" si="72"/>
        <v/>
      </c>
      <c r="AF199" s="4" t="str">
        <f t="shared" ca="1" si="72"/>
        <v/>
      </c>
      <c r="AG199" s="4" t="str">
        <f t="shared" ca="1" si="73"/>
        <v/>
      </c>
      <c r="AH199" s="4" t="str">
        <f t="shared" ca="1" si="73"/>
        <v/>
      </c>
      <c r="AI199" s="4" t="str">
        <f t="shared" ca="1" si="73"/>
        <v/>
      </c>
      <c r="AJ199" s="4" t="str">
        <f t="shared" ca="1" si="73"/>
        <v/>
      </c>
      <c r="AK199" s="4" t="str">
        <f t="shared" ca="1" si="73"/>
        <v/>
      </c>
      <c r="AL199" s="4" t="str">
        <f t="shared" ca="1" si="73"/>
        <v/>
      </c>
      <c r="AM199" s="4" t="str">
        <f t="shared" ca="1" si="73"/>
        <v/>
      </c>
      <c r="AN199" s="4" t="str">
        <f t="shared" ca="1" si="73"/>
        <v/>
      </c>
      <c r="AO199" s="4" t="str">
        <f t="shared" ca="1" si="73"/>
        <v/>
      </c>
      <c r="AP199" s="4" t="str">
        <f t="shared" ca="1" si="73"/>
        <v/>
      </c>
      <c r="AQ199" s="4" t="str">
        <f t="shared" ca="1" si="74"/>
        <v/>
      </c>
      <c r="AR199" s="4" t="str">
        <f t="shared" ca="1" si="74"/>
        <v/>
      </c>
      <c r="AS199" s="4" t="str">
        <f t="shared" ca="1" si="74"/>
        <v/>
      </c>
      <c r="AT199" s="4" t="str">
        <f t="shared" ca="1" si="74"/>
        <v/>
      </c>
      <c r="AU199" s="4" t="str">
        <f t="shared" ca="1" si="74"/>
        <v/>
      </c>
      <c r="AV199" s="4" t="str">
        <f t="shared" ca="1" si="74"/>
        <v/>
      </c>
      <c r="AW199" s="4" t="str">
        <f t="shared" ca="1" si="74"/>
        <v/>
      </c>
      <c r="AX199" s="4" t="str">
        <f t="shared" ca="1" si="74"/>
        <v/>
      </c>
      <c r="AY199" s="4" t="str">
        <f t="shared" ca="1" si="74"/>
        <v/>
      </c>
      <c r="AZ199" s="4" t="str">
        <f t="shared" ca="1" si="74"/>
        <v/>
      </c>
      <c r="BA199" s="4" t="str">
        <f t="shared" si="69"/>
        <v/>
      </c>
    </row>
    <row r="200" spans="1:53">
      <c r="A200">
        <v>136</v>
      </c>
      <c r="C200" s="4" t="str">
        <f t="shared" ca="1" si="70"/>
        <v/>
      </c>
      <c r="D200" s="4" t="str">
        <f t="shared" ca="1" si="70"/>
        <v/>
      </c>
      <c r="E200" s="4" t="str">
        <f t="shared" ca="1" si="70"/>
        <v/>
      </c>
      <c r="F200" s="4" t="str">
        <f t="shared" ca="1" si="70"/>
        <v/>
      </c>
      <c r="G200" s="4" t="str">
        <f t="shared" ca="1" si="70"/>
        <v/>
      </c>
      <c r="H200" s="4" t="str">
        <f t="shared" ca="1" si="70"/>
        <v/>
      </c>
      <c r="I200" s="4" t="str">
        <f t="shared" ca="1" si="70"/>
        <v/>
      </c>
      <c r="J200" s="4" t="str">
        <f t="shared" ca="1" si="70"/>
        <v/>
      </c>
      <c r="K200" s="4" t="str">
        <f t="shared" ca="1" si="70"/>
        <v/>
      </c>
      <c r="L200" s="4" t="str">
        <f t="shared" ca="1" si="70"/>
        <v/>
      </c>
      <c r="M200" s="4" t="str">
        <f t="shared" ca="1" si="71"/>
        <v/>
      </c>
      <c r="N200" s="4" t="str">
        <f t="shared" ca="1" si="71"/>
        <v/>
      </c>
      <c r="O200" s="4" t="str">
        <f t="shared" ca="1" si="71"/>
        <v/>
      </c>
      <c r="P200" s="4" t="str">
        <f t="shared" ca="1" si="71"/>
        <v/>
      </c>
      <c r="Q200" s="4" t="str">
        <f t="shared" ca="1" si="71"/>
        <v/>
      </c>
      <c r="R200" s="4" t="str">
        <f t="shared" ca="1" si="71"/>
        <v/>
      </c>
      <c r="S200" s="4" t="str">
        <f t="shared" ca="1" si="71"/>
        <v/>
      </c>
      <c r="T200" s="4" t="str">
        <f t="shared" ca="1" si="71"/>
        <v/>
      </c>
      <c r="U200" s="4" t="str">
        <f t="shared" ca="1" si="71"/>
        <v/>
      </c>
      <c r="V200" s="4" t="str">
        <f t="shared" ca="1" si="71"/>
        <v/>
      </c>
      <c r="W200" s="4" t="str">
        <f t="shared" ca="1" si="72"/>
        <v/>
      </c>
      <c r="X200" s="4" t="str">
        <f t="shared" ca="1" si="72"/>
        <v/>
      </c>
      <c r="Y200" s="4" t="str">
        <f t="shared" ca="1" si="72"/>
        <v/>
      </c>
      <c r="Z200" s="4" t="str">
        <f t="shared" ca="1" si="72"/>
        <v/>
      </c>
      <c r="AA200" s="4" t="str">
        <f t="shared" ca="1" si="72"/>
        <v/>
      </c>
      <c r="AB200" s="4" t="str">
        <f t="shared" ca="1" si="72"/>
        <v/>
      </c>
      <c r="AC200" s="4" t="str">
        <f t="shared" ca="1" si="72"/>
        <v/>
      </c>
      <c r="AD200" s="4" t="str">
        <f t="shared" ca="1" si="72"/>
        <v/>
      </c>
      <c r="AE200" s="4" t="str">
        <f t="shared" ca="1" si="72"/>
        <v/>
      </c>
      <c r="AF200" s="4" t="str">
        <f t="shared" ca="1" si="72"/>
        <v/>
      </c>
      <c r="AG200" s="4" t="str">
        <f t="shared" ca="1" si="73"/>
        <v/>
      </c>
      <c r="AH200" s="4" t="str">
        <f t="shared" ca="1" si="73"/>
        <v/>
      </c>
      <c r="AI200" s="4" t="str">
        <f t="shared" ca="1" si="73"/>
        <v/>
      </c>
      <c r="AJ200" s="4" t="str">
        <f t="shared" ca="1" si="73"/>
        <v/>
      </c>
      <c r="AK200" s="4" t="str">
        <f t="shared" ca="1" si="73"/>
        <v/>
      </c>
      <c r="AL200" s="4" t="str">
        <f t="shared" ca="1" si="73"/>
        <v/>
      </c>
      <c r="AM200" s="4" t="str">
        <f t="shared" ca="1" si="73"/>
        <v/>
      </c>
      <c r="AN200" s="4" t="str">
        <f t="shared" ca="1" si="73"/>
        <v/>
      </c>
      <c r="AO200" s="4" t="str">
        <f t="shared" ca="1" si="73"/>
        <v/>
      </c>
      <c r="AP200" s="4" t="str">
        <f t="shared" ca="1" si="73"/>
        <v/>
      </c>
      <c r="AQ200" s="4" t="str">
        <f t="shared" ca="1" si="74"/>
        <v/>
      </c>
      <c r="AR200" s="4" t="str">
        <f t="shared" ca="1" si="74"/>
        <v/>
      </c>
      <c r="AS200" s="4" t="str">
        <f t="shared" ca="1" si="74"/>
        <v/>
      </c>
      <c r="AT200" s="4" t="str">
        <f t="shared" ca="1" si="74"/>
        <v/>
      </c>
      <c r="AU200" s="4" t="str">
        <f t="shared" ca="1" si="74"/>
        <v/>
      </c>
      <c r="AV200" s="4" t="str">
        <f t="shared" ca="1" si="74"/>
        <v/>
      </c>
      <c r="AW200" s="4" t="str">
        <f t="shared" ca="1" si="74"/>
        <v/>
      </c>
      <c r="AX200" s="4" t="str">
        <f t="shared" ca="1" si="74"/>
        <v/>
      </c>
      <c r="AY200" s="4" t="str">
        <f t="shared" ca="1" si="74"/>
        <v/>
      </c>
      <c r="AZ200" s="4" t="str">
        <f t="shared" ca="1" si="74"/>
        <v/>
      </c>
      <c r="BA200" s="4" t="str">
        <f t="shared" si="69"/>
        <v/>
      </c>
    </row>
    <row r="201" spans="1:53">
      <c r="A201">
        <v>137</v>
      </c>
      <c r="C201" s="4" t="str">
        <f t="shared" ca="1" si="70"/>
        <v/>
      </c>
      <c r="D201" s="4" t="str">
        <f t="shared" ca="1" si="70"/>
        <v/>
      </c>
      <c r="E201" s="4" t="str">
        <f t="shared" ca="1" si="70"/>
        <v/>
      </c>
      <c r="F201" s="4" t="str">
        <f t="shared" ca="1" si="70"/>
        <v/>
      </c>
      <c r="G201" s="4" t="str">
        <f t="shared" ca="1" si="70"/>
        <v/>
      </c>
      <c r="H201" s="4" t="str">
        <f t="shared" ca="1" si="70"/>
        <v/>
      </c>
      <c r="I201" s="4" t="str">
        <f t="shared" ca="1" si="70"/>
        <v/>
      </c>
      <c r="J201" s="4" t="str">
        <f t="shared" ca="1" si="70"/>
        <v/>
      </c>
      <c r="K201" s="4" t="str">
        <f t="shared" ca="1" si="70"/>
        <v/>
      </c>
      <c r="L201" s="4" t="str">
        <f t="shared" ca="1" si="70"/>
        <v/>
      </c>
      <c r="M201" s="4" t="str">
        <f t="shared" ca="1" si="71"/>
        <v/>
      </c>
      <c r="N201" s="4" t="str">
        <f t="shared" ca="1" si="71"/>
        <v/>
      </c>
      <c r="O201" s="4" t="str">
        <f t="shared" ca="1" si="71"/>
        <v/>
      </c>
      <c r="P201" s="4" t="str">
        <f t="shared" ca="1" si="71"/>
        <v/>
      </c>
      <c r="Q201" s="4" t="str">
        <f t="shared" ca="1" si="71"/>
        <v/>
      </c>
      <c r="R201" s="4" t="str">
        <f t="shared" ca="1" si="71"/>
        <v/>
      </c>
      <c r="S201" s="4" t="str">
        <f t="shared" ca="1" si="71"/>
        <v/>
      </c>
      <c r="T201" s="4" t="str">
        <f t="shared" ca="1" si="71"/>
        <v/>
      </c>
      <c r="U201" s="4" t="str">
        <f t="shared" ca="1" si="71"/>
        <v/>
      </c>
      <c r="V201" s="4" t="str">
        <f t="shared" ca="1" si="71"/>
        <v/>
      </c>
      <c r="W201" s="4" t="str">
        <f t="shared" ca="1" si="72"/>
        <v/>
      </c>
      <c r="X201" s="4" t="str">
        <f t="shared" ca="1" si="72"/>
        <v/>
      </c>
      <c r="Y201" s="4" t="str">
        <f t="shared" ca="1" si="72"/>
        <v/>
      </c>
      <c r="Z201" s="4" t="str">
        <f t="shared" ca="1" si="72"/>
        <v/>
      </c>
      <c r="AA201" s="4" t="str">
        <f t="shared" ca="1" si="72"/>
        <v/>
      </c>
      <c r="AB201" s="4" t="str">
        <f t="shared" ca="1" si="72"/>
        <v/>
      </c>
      <c r="AC201" s="4" t="str">
        <f t="shared" ca="1" si="72"/>
        <v/>
      </c>
      <c r="AD201" s="4" t="str">
        <f t="shared" ca="1" si="72"/>
        <v/>
      </c>
      <c r="AE201" s="4" t="str">
        <f t="shared" ca="1" si="72"/>
        <v/>
      </c>
      <c r="AF201" s="4" t="str">
        <f t="shared" ca="1" si="72"/>
        <v/>
      </c>
      <c r="AG201" s="4" t="str">
        <f t="shared" ca="1" si="73"/>
        <v/>
      </c>
      <c r="AH201" s="4" t="str">
        <f t="shared" ca="1" si="73"/>
        <v/>
      </c>
      <c r="AI201" s="4" t="str">
        <f t="shared" ca="1" si="73"/>
        <v/>
      </c>
      <c r="AJ201" s="4" t="str">
        <f t="shared" ca="1" si="73"/>
        <v/>
      </c>
      <c r="AK201" s="4" t="str">
        <f t="shared" ca="1" si="73"/>
        <v/>
      </c>
      <c r="AL201" s="4" t="str">
        <f t="shared" ca="1" si="73"/>
        <v/>
      </c>
      <c r="AM201" s="4" t="str">
        <f t="shared" ca="1" si="73"/>
        <v/>
      </c>
      <c r="AN201" s="4" t="str">
        <f t="shared" ca="1" si="73"/>
        <v/>
      </c>
      <c r="AO201" s="4" t="str">
        <f t="shared" ca="1" si="73"/>
        <v/>
      </c>
      <c r="AP201" s="4" t="str">
        <f t="shared" ca="1" si="73"/>
        <v/>
      </c>
      <c r="AQ201" s="4" t="str">
        <f t="shared" ca="1" si="74"/>
        <v/>
      </c>
      <c r="AR201" s="4" t="str">
        <f t="shared" ca="1" si="74"/>
        <v/>
      </c>
      <c r="AS201" s="4" t="str">
        <f t="shared" ca="1" si="74"/>
        <v/>
      </c>
      <c r="AT201" s="4" t="str">
        <f t="shared" ca="1" si="74"/>
        <v/>
      </c>
      <c r="AU201" s="4" t="str">
        <f t="shared" ca="1" si="74"/>
        <v/>
      </c>
      <c r="AV201" s="4" t="str">
        <f t="shared" ca="1" si="74"/>
        <v/>
      </c>
      <c r="AW201" s="4" t="str">
        <f t="shared" ca="1" si="74"/>
        <v/>
      </c>
      <c r="AX201" s="4" t="str">
        <f t="shared" ca="1" si="74"/>
        <v/>
      </c>
      <c r="AY201" s="4" t="str">
        <f t="shared" ca="1" si="74"/>
        <v/>
      </c>
      <c r="AZ201" s="4" t="str">
        <f t="shared" ca="1" si="74"/>
        <v/>
      </c>
      <c r="BA201" s="4" t="str">
        <f t="shared" si="69"/>
        <v/>
      </c>
    </row>
    <row r="202" spans="1:53">
      <c r="A202">
        <v>138</v>
      </c>
      <c r="C202" s="4" t="str">
        <f t="shared" ca="1" si="70"/>
        <v/>
      </c>
      <c r="D202" s="4" t="str">
        <f t="shared" ca="1" si="70"/>
        <v/>
      </c>
      <c r="E202" s="4" t="str">
        <f t="shared" ca="1" si="70"/>
        <v/>
      </c>
      <c r="F202" s="4" t="str">
        <f t="shared" ca="1" si="70"/>
        <v/>
      </c>
      <c r="G202" s="4" t="str">
        <f t="shared" ca="1" si="70"/>
        <v/>
      </c>
      <c r="H202" s="4" t="str">
        <f t="shared" ca="1" si="70"/>
        <v/>
      </c>
      <c r="I202" s="4" t="str">
        <f t="shared" ca="1" si="70"/>
        <v/>
      </c>
      <c r="J202" s="4" t="str">
        <f t="shared" ca="1" si="70"/>
        <v/>
      </c>
      <c r="K202" s="4" t="str">
        <f t="shared" ca="1" si="70"/>
        <v/>
      </c>
      <c r="L202" s="4" t="str">
        <f t="shared" ca="1" si="70"/>
        <v/>
      </c>
      <c r="M202" s="4" t="str">
        <f t="shared" ca="1" si="71"/>
        <v/>
      </c>
      <c r="N202" s="4" t="str">
        <f t="shared" ca="1" si="71"/>
        <v/>
      </c>
      <c r="O202" s="4" t="str">
        <f t="shared" ca="1" si="71"/>
        <v/>
      </c>
      <c r="P202" s="4" t="str">
        <f t="shared" ca="1" si="71"/>
        <v/>
      </c>
      <c r="Q202" s="4" t="str">
        <f t="shared" ca="1" si="71"/>
        <v/>
      </c>
      <c r="R202" s="4" t="str">
        <f t="shared" ca="1" si="71"/>
        <v/>
      </c>
      <c r="S202" s="4" t="str">
        <f t="shared" ca="1" si="71"/>
        <v/>
      </c>
      <c r="T202" s="4" t="str">
        <f t="shared" ca="1" si="71"/>
        <v/>
      </c>
      <c r="U202" s="4" t="str">
        <f t="shared" ca="1" si="71"/>
        <v/>
      </c>
      <c r="V202" s="4" t="str">
        <f t="shared" ca="1" si="71"/>
        <v/>
      </c>
      <c r="W202" s="4" t="str">
        <f t="shared" ca="1" si="72"/>
        <v/>
      </c>
      <c r="X202" s="4" t="str">
        <f t="shared" ca="1" si="72"/>
        <v/>
      </c>
      <c r="Y202" s="4" t="str">
        <f t="shared" ca="1" si="72"/>
        <v/>
      </c>
      <c r="Z202" s="4" t="str">
        <f t="shared" ca="1" si="72"/>
        <v/>
      </c>
      <c r="AA202" s="4" t="str">
        <f t="shared" ca="1" si="72"/>
        <v/>
      </c>
      <c r="AB202" s="4" t="str">
        <f t="shared" ca="1" si="72"/>
        <v/>
      </c>
      <c r="AC202" s="4" t="str">
        <f t="shared" ca="1" si="72"/>
        <v/>
      </c>
      <c r="AD202" s="4" t="str">
        <f t="shared" ca="1" si="72"/>
        <v/>
      </c>
      <c r="AE202" s="4" t="str">
        <f t="shared" ca="1" si="72"/>
        <v/>
      </c>
      <c r="AF202" s="4" t="str">
        <f t="shared" ca="1" si="72"/>
        <v/>
      </c>
      <c r="AG202" s="4" t="str">
        <f t="shared" ca="1" si="73"/>
        <v/>
      </c>
      <c r="AH202" s="4" t="str">
        <f t="shared" ca="1" si="73"/>
        <v/>
      </c>
      <c r="AI202" s="4" t="str">
        <f t="shared" ca="1" si="73"/>
        <v/>
      </c>
      <c r="AJ202" s="4" t="str">
        <f t="shared" ca="1" si="73"/>
        <v/>
      </c>
      <c r="AK202" s="4" t="str">
        <f t="shared" ca="1" si="73"/>
        <v/>
      </c>
      <c r="AL202" s="4" t="str">
        <f t="shared" ca="1" si="73"/>
        <v/>
      </c>
      <c r="AM202" s="4" t="str">
        <f t="shared" ca="1" si="73"/>
        <v/>
      </c>
      <c r="AN202" s="4" t="str">
        <f t="shared" ca="1" si="73"/>
        <v/>
      </c>
      <c r="AO202" s="4" t="str">
        <f t="shared" ca="1" si="73"/>
        <v/>
      </c>
      <c r="AP202" s="4" t="str">
        <f t="shared" ca="1" si="73"/>
        <v/>
      </c>
      <c r="AQ202" s="4" t="str">
        <f t="shared" ca="1" si="74"/>
        <v/>
      </c>
      <c r="AR202" s="4" t="str">
        <f t="shared" ca="1" si="74"/>
        <v/>
      </c>
      <c r="AS202" s="4" t="str">
        <f t="shared" ca="1" si="74"/>
        <v/>
      </c>
      <c r="AT202" s="4" t="str">
        <f t="shared" ca="1" si="74"/>
        <v/>
      </c>
      <c r="AU202" s="4" t="str">
        <f t="shared" ca="1" si="74"/>
        <v/>
      </c>
      <c r="AV202" s="4" t="str">
        <f t="shared" ca="1" si="74"/>
        <v/>
      </c>
      <c r="AW202" s="4" t="str">
        <f t="shared" ca="1" si="74"/>
        <v/>
      </c>
      <c r="AX202" s="4" t="str">
        <f t="shared" ca="1" si="74"/>
        <v/>
      </c>
      <c r="AY202" s="4" t="str">
        <f t="shared" ca="1" si="74"/>
        <v/>
      </c>
      <c r="AZ202" s="4" t="str">
        <f t="shared" ca="1" si="74"/>
        <v/>
      </c>
      <c r="BA202" s="4" t="str">
        <f t="shared" si="69"/>
        <v/>
      </c>
    </row>
    <row r="203" spans="1:53">
      <c r="A203">
        <v>139</v>
      </c>
      <c r="C203" s="4" t="str">
        <f t="shared" ca="1" si="70"/>
        <v/>
      </c>
      <c r="D203" s="4" t="str">
        <f t="shared" ca="1" si="70"/>
        <v/>
      </c>
      <c r="E203" s="4" t="str">
        <f t="shared" ca="1" si="70"/>
        <v/>
      </c>
      <c r="F203" s="4" t="str">
        <f t="shared" ca="1" si="70"/>
        <v/>
      </c>
      <c r="G203" s="4" t="str">
        <f t="shared" ca="1" si="70"/>
        <v/>
      </c>
      <c r="H203" s="4" t="str">
        <f t="shared" ca="1" si="70"/>
        <v/>
      </c>
      <c r="I203" s="4" t="str">
        <f t="shared" ca="1" si="70"/>
        <v/>
      </c>
      <c r="J203" s="4" t="str">
        <f t="shared" ca="1" si="70"/>
        <v/>
      </c>
      <c r="K203" s="4" t="str">
        <f t="shared" ca="1" si="70"/>
        <v/>
      </c>
      <c r="L203" s="4" t="str">
        <f t="shared" ca="1" si="70"/>
        <v/>
      </c>
      <c r="M203" s="4" t="str">
        <f t="shared" ca="1" si="71"/>
        <v/>
      </c>
      <c r="N203" s="4" t="str">
        <f t="shared" ca="1" si="71"/>
        <v/>
      </c>
      <c r="O203" s="4" t="str">
        <f t="shared" ca="1" si="71"/>
        <v/>
      </c>
      <c r="P203" s="4" t="str">
        <f t="shared" ca="1" si="71"/>
        <v/>
      </c>
      <c r="Q203" s="4" t="str">
        <f t="shared" ca="1" si="71"/>
        <v/>
      </c>
      <c r="R203" s="4" t="str">
        <f t="shared" ca="1" si="71"/>
        <v/>
      </c>
      <c r="S203" s="4" t="str">
        <f t="shared" ca="1" si="71"/>
        <v/>
      </c>
      <c r="T203" s="4" t="str">
        <f t="shared" ca="1" si="71"/>
        <v/>
      </c>
      <c r="U203" s="4" t="str">
        <f t="shared" ca="1" si="71"/>
        <v/>
      </c>
      <c r="V203" s="4" t="str">
        <f t="shared" ca="1" si="71"/>
        <v/>
      </c>
      <c r="W203" s="4" t="str">
        <f t="shared" ca="1" si="72"/>
        <v/>
      </c>
      <c r="X203" s="4" t="str">
        <f t="shared" ca="1" si="72"/>
        <v/>
      </c>
      <c r="Y203" s="4" t="str">
        <f t="shared" ca="1" si="72"/>
        <v/>
      </c>
      <c r="Z203" s="4" t="str">
        <f t="shared" ca="1" si="72"/>
        <v/>
      </c>
      <c r="AA203" s="4" t="str">
        <f t="shared" ca="1" si="72"/>
        <v/>
      </c>
      <c r="AB203" s="4" t="str">
        <f t="shared" ca="1" si="72"/>
        <v/>
      </c>
      <c r="AC203" s="4" t="str">
        <f t="shared" ca="1" si="72"/>
        <v/>
      </c>
      <c r="AD203" s="4" t="str">
        <f t="shared" ca="1" si="72"/>
        <v/>
      </c>
      <c r="AE203" s="4" t="str">
        <f t="shared" ca="1" si="72"/>
        <v/>
      </c>
      <c r="AF203" s="4" t="str">
        <f t="shared" ca="1" si="72"/>
        <v/>
      </c>
      <c r="AG203" s="4" t="str">
        <f t="shared" ca="1" si="73"/>
        <v/>
      </c>
      <c r="AH203" s="4" t="str">
        <f t="shared" ca="1" si="73"/>
        <v/>
      </c>
      <c r="AI203" s="4" t="str">
        <f t="shared" ca="1" si="73"/>
        <v/>
      </c>
      <c r="AJ203" s="4" t="str">
        <f t="shared" ca="1" si="73"/>
        <v/>
      </c>
      <c r="AK203" s="4" t="str">
        <f t="shared" ca="1" si="73"/>
        <v/>
      </c>
      <c r="AL203" s="4" t="str">
        <f t="shared" ca="1" si="73"/>
        <v/>
      </c>
      <c r="AM203" s="4" t="str">
        <f t="shared" ca="1" si="73"/>
        <v/>
      </c>
      <c r="AN203" s="4" t="str">
        <f t="shared" ca="1" si="73"/>
        <v/>
      </c>
      <c r="AO203" s="4" t="str">
        <f t="shared" ca="1" si="73"/>
        <v/>
      </c>
      <c r="AP203" s="4" t="str">
        <f t="shared" ca="1" si="73"/>
        <v/>
      </c>
      <c r="AQ203" s="4" t="str">
        <f t="shared" ca="1" si="74"/>
        <v/>
      </c>
      <c r="AR203" s="4" t="str">
        <f t="shared" ca="1" si="74"/>
        <v/>
      </c>
      <c r="AS203" s="4" t="str">
        <f t="shared" ca="1" si="74"/>
        <v/>
      </c>
      <c r="AT203" s="4" t="str">
        <f t="shared" ca="1" si="74"/>
        <v/>
      </c>
      <c r="AU203" s="4" t="str">
        <f t="shared" ca="1" si="74"/>
        <v/>
      </c>
      <c r="AV203" s="4" t="str">
        <f t="shared" ca="1" si="74"/>
        <v/>
      </c>
      <c r="AW203" s="4" t="str">
        <f t="shared" ca="1" si="74"/>
        <v/>
      </c>
      <c r="AX203" s="4" t="str">
        <f t="shared" ca="1" si="74"/>
        <v/>
      </c>
      <c r="AY203" s="4" t="str">
        <f t="shared" ca="1" si="74"/>
        <v/>
      </c>
      <c r="AZ203" s="4" t="str">
        <f t="shared" ca="1" si="74"/>
        <v/>
      </c>
      <c r="BA203" s="4" t="str">
        <f t="shared" si="69"/>
        <v/>
      </c>
    </row>
    <row r="204" spans="1:53">
      <c r="A204">
        <v>140</v>
      </c>
      <c r="C204" s="4" t="str">
        <f t="shared" ca="1" si="70"/>
        <v/>
      </c>
      <c r="D204" s="4" t="str">
        <f t="shared" ca="1" si="70"/>
        <v/>
      </c>
      <c r="E204" s="4" t="str">
        <f t="shared" ca="1" si="70"/>
        <v/>
      </c>
      <c r="F204" s="4" t="str">
        <f t="shared" ca="1" si="70"/>
        <v/>
      </c>
      <c r="G204" s="4" t="str">
        <f t="shared" ca="1" si="70"/>
        <v/>
      </c>
      <c r="H204" s="4" t="str">
        <f t="shared" ca="1" si="70"/>
        <v/>
      </c>
      <c r="I204" s="4" t="str">
        <f t="shared" ca="1" si="70"/>
        <v/>
      </c>
      <c r="J204" s="4" t="str">
        <f t="shared" ca="1" si="70"/>
        <v/>
      </c>
      <c r="K204" s="4" t="str">
        <f t="shared" ca="1" si="70"/>
        <v/>
      </c>
      <c r="L204" s="4" t="str">
        <f t="shared" ca="1" si="70"/>
        <v/>
      </c>
      <c r="M204" s="4" t="str">
        <f t="shared" ca="1" si="71"/>
        <v/>
      </c>
      <c r="N204" s="4" t="str">
        <f t="shared" ca="1" si="71"/>
        <v/>
      </c>
      <c r="O204" s="4" t="str">
        <f t="shared" ca="1" si="71"/>
        <v/>
      </c>
      <c r="P204" s="4" t="str">
        <f t="shared" ca="1" si="71"/>
        <v/>
      </c>
      <c r="Q204" s="4" t="str">
        <f t="shared" ca="1" si="71"/>
        <v/>
      </c>
      <c r="R204" s="4" t="str">
        <f t="shared" ca="1" si="71"/>
        <v/>
      </c>
      <c r="S204" s="4" t="str">
        <f t="shared" ca="1" si="71"/>
        <v/>
      </c>
      <c r="T204" s="4" t="str">
        <f t="shared" ca="1" si="71"/>
        <v/>
      </c>
      <c r="U204" s="4" t="str">
        <f t="shared" ca="1" si="71"/>
        <v/>
      </c>
      <c r="V204" s="4" t="str">
        <f t="shared" ca="1" si="71"/>
        <v/>
      </c>
      <c r="W204" s="4" t="str">
        <f t="shared" ca="1" si="72"/>
        <v/>
      </c>
      <c r="X204" s="4" t="str">
        <f t="shared" ca="1" si="72"/>
        <v/>
      </c>
      <c r="Y204" s="4" t="str">
        <f t="shared" ca="1" si="72"/>
        <v/>
      </c>
      <c r="Z204" s="4" t="str">
        <f t="shared" ca="1" si="72"/>
        <v/>
      </c>
      <c r="AA204" s="4" t="str">
        <f t="shared" ca="1" si="72"/>
        <v/>
      </c>
      <c r="AB204" s="4" t="str">
        <f t="shared" ca="1" si="72"/>
        <v/>
      </c>
      <c r="AC204" s="4" t="str">
        <f t="shared" ca="1" si="72"/>
        <v/>
      </c>
      <c r="AD204" s="4" t="str">
        <f t="shared" ca="1" si="72"/>
        <v/>
      </c>
      <c r="AE204" s="4" t="str">
        <f t="shared" ca="1" si="72"/>
        <v/>
      </c>
      <c r="AF204" s="4" t="str">
        <f t="shared" ca="1" si="72"/>
        <v/>
      </c>
      <c r="AG204" s="4" t="str">
        <f t="shared" ca="1" si="73"/>
        <v/>
      </c>
      <c r="AH204" s="4" t="str">
        <f t="shared" ca="1" si="73"/>
        <v/>
      </c>
      <c r="AI204" s="4" t="str">
        <f t="shared" ca="1" si="73"/>
        <v/>
      </c>
      <c r="AJ204" s="4" t="str">
        <f t="shared" ca="1" si="73"/>
        <v/>
      </c>
      <c r="AK204" s="4" t="str">
        <f t="shared" ca="1" si="73"/>
        <v/>
      </c>
      <c r="AL204" s="4" t="str">
        <f t="shared" ca="1" si="73"/>
        <v/>
      </c>
      <c r="AM204" s="4" t="str">
        <f t="shared" ca="1" si="73"/>
        <v/>
      </c>
      <c r="AN204" s="4" t="str">
        <f t="shared" ca="1" si="73"/>
        <v/>
      </c>
      <c r="AO204" s="4" t="str">
        <f t="shared" ca="1" si="73"/>
        <v/>
      </c>
      <c r="AP204" s="4" t="str">
        <f t="shared" ca="1" si="73"/>
        <v/>
      </c>
      <c r="AQ204" s="4" t="str">
        <f t="shared" ca="1" si="74"/>
        <v/>
      </c>
      <c r="AR204" s="4" t="str">
        <f t="shared" ca="1" si="74"/>
        <v/>
      </c>
      <c r="AS204" s="4" t="str">
        <f t="shared" ca="1" si="74"/>
        <v/>
      </c>
      <c r="AT204" s="4" t="str">
        <f t="shared" ca="1" si="74"/>
        <v/>
      </c>
      <c r="AU204" s="4" t="str">
        <f t="shared" ca="1" si="74"/>
        <v/>
      </c>
      <c r="AV204" s="4" t="str">
        <f t="shared" ca="1" si="74"/>
        <v/>
      </c>
      <c r="AW204" s="4" t="str">
        <f t="shared" ca="1" si="74"/>
        <v/>
      </c>
      <c r="AX204" s="4" t="str">
        <f t="shared" ca="1" si="74"/>
        <v/>
      </c>
      <c r="AY204" s="4" t="str">
        <f t="shared" ca="1" si="74"/>
        <v/>
      </c>
      <c r="AZ204" s="4" t="str">
        <f t="shared" ca="1" si="74"/>
        <v/>
      </c>
      <c r="BA204" s="4" t="str">
        <f t="shared" si="69"/>
        <v/>
      </c>
    </row>
    <row r="205" spans="1:53">
      <c r="A205">
        <v>141</v>
      </c>
      <c r="C205" s="4" t="str">
        <f t="shared" ref="C205:L214" ca="1" si="75">IF(COLUMN()-2&lt;=$E$3,INDEX($B$10:$B$59,RANDBETWEEN(1,$E$3)),"")</f>
        <v/>
      </c>
      <c r="D205" s="4" t="str">
        <f t="shared" ca="1" si="75"/>
        <v/>
      </c>
      <c r="E205" s="4" t="str">
        <f t="shared" ca="1" si="75"/>
        <v/>
      </c>
      <c r="F205" s="4" t="str">
        <f t="shared" ca="1" si="75"/>
        <v/>
      </c>
      <c r="G205" s="4" t="str">
        <f t="shared" ca="1" si="75"/>
        <v/>
      </c>
      <c r="H205" s="4" t="str">
        <f t="shared" ca="1" si="75"/>
        <v/>
      </c>
      <c r="I205" s="4" t="str">
        <f t="shared" ca="1" si="75"/>
        <v/>
      </c>
      <c r="J205" s="4" t="str">
        <f t="shared" ca="1" si="75"/>
        <v/>
      </c>
      <c r="K205" s="4" t="str">
        <f t="shared" ca="1" si="75"/>
        <v/>
      </c>
      <c r="L205" s="4" t="str">
        <f t="shared" ca="1" si="75"/>
        <v/>
      </c>
      <c r="M205" s="4" t="str">
        <f t="shared" ref="M205:V214" ca="1" si="76">IF(COLUMN()-2&lt;=$E$3,INDEX($B$10:$B$59,RANDBETWEEN(1,$E$3)),"")</f>
        <v/>
      </c>
      <c r="N205" s="4" t="str">
        <f t="shared" ca="1" si="76"/>
        <v/>
      </c>
      <c r="O205" s="4" t="str">
        <f t="shared" ca="1" si="76"/>
        <v/>
      </c>
      <c r="P205" s="4" t="str">
        <f t="shared" ca="1" si="76"/>
        <v/>
      </c>
      <c r="Q205" s="4" t="str">
        <f t="shared" ca="1" si="76"/>
        <v/>
      </c>
      <c r="R205" s="4" t="str">
        <f t="shared" ca="1" si="76"/>
        <v/>
      </c>
      <c r="S205" s="4" t="str">
        <f t="shared" ca="1" si="76"/>
        <v/>
      </c>
      <c r="T205" s="4" t="str">
        <f t="shared" ca="1" si="76"/>
        <v/>
      </c>
      <c r="U205" s="4" t="str">
        <f t="shared" ca="1" si="76"/>
        <v/>
      </c>
      <c r="V205" s="4" t="str">
        <f t="shared" ca="1" si="76"/>
        <v/>
      </c>
      <c r="W205" s="4" t="str">
        <f t="shared" ref="W205:AF214" ca="1" si="77">IF(COLUMN()-2&lt;=$E$3,INDEX($B$10:$B$59,RANDBETWEEN(1,$E$3)),"")</f>
        <v/>
      </c>
      <c r="X205" s="4" t="str">
        <f t="shared" ca="1" si="77"/>
        <v/>
      </c>
      <c r="Y205" s="4" t="str">
        <f t="shared" ca="1" si="77"/>
        <v/>
      </c>
      <c r="Z205" s="4" t="str">
        <f t="shared" ca="1" si="77"/>
        <v/>
      </c>
      <c r="AA205" s="4" t="str">
        <f t="shared" ca="1" si="77"/>
        <v/>
      </c>
      <c r="AB205" s="4" t="str">
        <f t="shared" ca="1" si="77"/>
        <v/>
      </c>
      <c r="AC205" s="4" t="str">
        <f t="shared" ca="1" si="77"/>
        <v/>
      </c>
      <c r="AD205" s="4" t="str">
        <f t="shared" ca="1" si="77"/>
        <v/>
      </c>
      <c r="AE205" s="4" t="str">
        <f t="shared" ca="1" si="77"/>
        <v/>
      </c>
      <c r="AF205" s="4" t="str">
        <f t="shared" ca="1" si="77"/>
        <v/>
      </c>
      <c r="AG205" s="4" t="str">
        <f t="shared" ref="AG205:AP214" ca="1" si="78">IF(COLUMN()-2&lt;=$E$3,INDEX($B$10:$B$59,RANDBETWEEN(1,$E$3)),"")</f>
        <v/>
      </c>
      <c r="AH205" s="4" t="str">
        <f t="shared" ca="1" si="78"/>
        <v/>
      </c>
      <c r="AI205" s="4" t="str">
        <f t="shared" ca="1" si="78"/>
        <v/>
      </c>
      <c r="AJ205" s="4" t="str">
        <f t="shared" ca="1" si="78"/>
        <v/>
      </c>
      <c r="AK205" s="4" t="str">
        <f t="shared" ca="1" si="78"/>
        <v/>
      </c>
      <c r="AL205" s="4" t="str">
        <f t="shared" ca="1" si="78"/>
        <v/>
      </c>
      <c r="AM205" s="4" t="str">
        <f t="shared" ca="1" si="78"/>
        <v/>
      </c>
      <c r="AN205" s="4" t="str">
        <f t="shared" ca="1" si="78"/>
        <v/>
      </c>
      <c r="AO205" s="4" t="str">
        <f t="shared" ca="1" si="78"/>
        <v/>
      </c>
      <c r="AP205" s="4" t="str">
        <f t="shared" ca="1" si="78"/>
        <v/>
      </c>
      <c r="AQ205" s="4" t="str">
        <f t="shared" ref="AQ205:AZ214" ca="1" si="79">IF(COLUMN()-2&lt;=$E$3,INDEX($B$10:$B$59,RANDBETWEEN(1,$E$3)),"")</f>
        <v/>
      </c>
      <c r="AR205" s="4" t="str">
        <f t="shared" ca="1" si="79"/>
        <v/>
      </c>
      <c r="AS205" s="4" t="str">
        <f t="shared" ca="1" si="79"/>
        <v/>
      </c>
      <c r="AT205" s="4" t="str">
        <f t="shared" ca="1" si="79"/>
        <v/>
      </c>
      <c r="AU205" s="4" t="str">
        <f t="shared" ca="1" si="79"/>
        <v/>
      </c>
      <c r="AV205" s="4" t="str">
        <f t="shared" ca="1" si="79"/>
        <v/>
      </c>
      <c r="AW205" s="4" t="str">
        <f t="shared" ca="1" si="79"/>
        <v/>
      </c>
      <c r="AX205" s="4" t="str">
        <f t="shared" ca="1" si="79"/>
        <v/>
      </c>
      <c r="AY205" s="4" t="str">
        <f t="shared" ca="1" si="79"/>
        <v/>
      </c>
      <c r="AZ205" s="4" t="str">
        <f t="shared" ca="1" si="79"/>
        <v/>
      </c>
      <c r="BA205" s="4" t="str">
        <f t="shared" si="69"/>
        <v/>
      </c>
    </row>
    <row r="206" spans="1:53">
      <c r="A206">
        <v>142</v>
      </c>
      <c r="C206" s="4" t="str">
        <f t="shared" ca="1" si="75"/>
        <v/>
      </c>
      <c r="D206" s="4" t="str">
        <f t="shared" ca="1" si="75"/>
        <v/>
      </c>
      <c r="E206" s="4" t="str">
        <f t="shared" ca="1" si="75"/>
        <v/>
      </c>
      <c r="F206" s="4" t="str">
        <f t="shared" ca="1" si="75"/>
        <v/>
      </c>
      <c r="G206" s="4" t="str">
        <f t="shared" ca="1" si="75"/>
        <v/>
      </c>
      <c r="H206" s="4" t="str">
        <f t="shared" ca="1" si="75"/>
        <v/>
      </c>
      <c r="I206" s="4" t="str">
        <f t="shared" ca="1" si="75"/>
        <v/>
      </c>
      <c r="J206" s="4" t="str">
        <f t="shared" ca="1" si="75"/>
        <v/>
      </c>
      <c r="K206" s="4" t="str">
        <f t="shared" ca="1" si="75"/>
        <v/>
      </c>
      <c r="L206" s="4" t="str">
        <f t="shared" ca="1" si="75"/>
        <v/>
      </c>
      <c r="M206" s="4" t="str">
        <f t="shared" ca="1" si="76"/>
        <v/>
      </c>
      <c r="N206" s="4" t="str">
        <f t="shared" ca="1" si="76"/>
        <v/>
      </c>
      <c r="O206" s="4" t="str">
        <f t="shared" ca="1" si="76"/>
        <v/>
      </c>
      <c r="P206" s="4" t="str">
        <f t="shared" ca="1" si="76"/>
        <v/>
      </c>
      <c r="Q206" s="4" t="str">
        <f t="shared" ca="1" si="76"/>
        <v/>
      </c>
      <c r="R206" s="4" t="str">
        <f t="shared" ca="1" si="76"/>
        <v/>
      </c>
      <c r="S206" s="4" t="str">
        <f t="shared" ca="1" si="76"/>
        <v/>
      </c>
      <c r="T206" s="4" t="str">
        <f t="shared" ca="1" si="76"/>
        <v/>
      </c>
      <c r="U206" s="4" t="str">
        <f t="shared" ca="1" si="76"/>
        <v/>
      </c>
      <c r="V206" s="4" t="str">
        <f t="shared" ca="1" si="76"/>
        <v/>
      </c>
      <c r="W206" s="4" t="str">
        <f t="shared" ca="1" si="77"/>
        <v/>
      </c>
      <c r="X206" s="4" t="str">
        <f t="shared" ca="1" si="77"/>
        <v/>
      </c>
      <c r="Y206" s="4" t="str">
        <f t="shared" ca="1" si="77"/>
        <v/>
      </c>
      <c r="Z206" s="4" t="str">
        <f t="shared" ca="1" si="77"/>
        <v/>
      </c>
      <c r="AA206" s="4" t="str">
        <f t="shared" ca="1" si="77"/>
        <v/>
      </c>
      <c r="AB206" s="4" t="str">
        <f t="shared" ca="1" si="77"/>
        <v/>
      </c>
      <c r="AC206" s="4" t="str">
        <f t="shared" ca="1" si="77"/>
        <v/>
      </c>
      <c r="AD206" s="4" t="str">
        <f t="shared" ca="1" si="77"/>
        <v/>
      </c>
      <c r="AE206" s="4" t="str">
        <f t="shared" ca="1" si="77"/>
        <v/>
      </c>
      <c r="AF206" s="4" t="str">
        <f t="shared" ca="1" si="77"/>
        <v/>
      </c>
      <c r="AG206" s="4" t="str">
        <f t="shared" ca="1" si="78"/>
        <v/>
      </c>
      <c r="AH206" s="4" t="str">
        <f t="shared" ca="1" si="78"/>
        <v/>
      </c>
      <c r="AI206" s="4" t="str">
        <f t="shared" ca="1" si="78"/>
        <v/>
      </c>
      <c r="AJ206" s="4" t="str">
        <f t="shared" ca="1" si="78"/>
        <v/>
      </c>
      <c r="AK206" s="4" t="str">
        <f t="shared" ca="1" si="78"/>
        <v/>
      </c>
      <c r="AL206" s="4" t="str">
        <f t="shared" ca="1" si="78"/>
        <v/>
      </c>
      <c r="AM206" s="4" t="str">
        <f t="shared" ca="1" si="78"/>
        <v/>
      </c>
      <c r="AN206" s="4" t="str">
        <f t="shared" ca="1" si="78"/>
        <v/>
      </c>
      <c r="AO206" s="4" t="str">
        <f t="shared" ca="1" si="78"/>
        <v/>
      </c>
      <c r="AP206" s="4" t="str">
        <f t="shared" ca="1" si="78"/>
        <v/>
      </c>
      <c r="AQ206" s="4" t="str">
        <f t="shared" ca="1" si="79"/>
        <v/>
      </c>
      <c r="AR206" s="4" t="str">
        <f t="shared" ca="1" si="79"/>
        <v/>
      </c>
      <c r="AS206" s="4" t="str">
        <f t="shared" ca="1" si="79"/>
        <v/>
      </c>
      <c r="AT206" s="4" t="str">
        <f t="shared" ca="1" si="79"/>
        <v/>
      </c>
      <c r="AU206" s="4" t="str">
        <f t="shared" ca="1" si="79"/>
        <v/>
      </c>
      <c r="AV206" s="4" t="str">
        <f t="shared" ca="1" si="79"/>
        <v/>
      </c>
      <c r="AW206" s="4" t="str">
        <f t="shared" ca="1" si="79"/>
        <v/>
      </c>
      <c r="AX206" s="4" t="str">
        <f t="shared" ca="1" si="79"/>
        <v/>
      </c>
      <c r="AY206" s="4" t="str">
        <f t="shared" ca="1" si="79"/>
        <v/>
      </c>
      <c r="AZ206" s="4" t="str">
        <f t="shared" ca="1" si="79"/>
        <v/>
      </c>
      <c r="BA206" s="4" t="str">
        <f t="shared" si="69"/>
        <v/>
      </c>
    </row>
    <row r="207" spans="1:53">
      <c r="A207">
        <v>143</v>
      </c>
      <c r="C207" s="4" t="str">
        <f t="shared" ca="1" si="75"/>
        <v/>
      </c>
      <c r="D207" s="4" t="str">
        <f t="shared" ca="1" si="75"/>
        <v/>
      </c>
      <c r="E207" s="4" t="str">
        <f t="shared" ca="1" si="75"/>
        <v/>
      </c>
      <c r="F207" s="4" t="str">
        <f t="shared" ca="1" si="75"/>
        <v/>
      </c>
      <c r="G207" s="4" t="str">
        <f t="shared" ca="1" si="75"/>
        <v/>
      </c>
      <c r="H207" s="4" t="str">
        <f t="shared" ca="1" si="75"/>
        <v/>
      </c>
      <c r="I207" s="4" t="str">
        <f t="shared" ca="1" si="75"/>
        <v/>
      </c>
      <c r="J207" s="4" t="str">
        <f t="shared" ca="1" si="75"/>
        <v/>
      </c>
      <c r="K207" s="4" t="str">
        <f t="shared" ca="1" si="75"/>
        <v/>
      </c>
      <c r="L207" s="4" t="str">
        <f t="shared" ca="1" si="75"/>
        <v/>
      </c>
      <c r="M207" s="4" t="str">
        <f t="shared" ca="1" si="76"/>
        <v/>
      </c>
      <c r="N207" s="4" t="str">
        <f t="shared" ca="1" si="76"/>
        <v/>
      </c>
      <c r="O207" s="4" t="str">
        <f t="shared" ca="1" si="76"/>
        <v/>
      </c>
      <c r="P207" s="4" t="str">
        <f t="shared" ca="1" si="76"/>
        <v/>
      </c>
      <c r="Q207" s="4" t="str">
        <f t="shared" ca="1" si="76"/>
        <v/>
      </c>
      <c r="R207" s="4" t="str">
        <f t="shared" ca="1" si="76"/>
        <v/>
      </c>
      <c r="S207" s="4" t="str">
        <f t="shared" ca="1" si="76"/>
        <v/>
      </c>
      <c r="T207" s="4" t="str">
        <f t="shared" ca="1" si="76"/>
        <v/>
      </c>
      <c r="U207" s="4" t="str">
        <f t="shared" ca="1" si="76"/>
        <v/>
      </c>
      <c r="V207" s="4" t="str">
        <f t="shared" ca="1" si="76"/>
        <v/>
      </c>
      <c r="W207" s="4" t="str">
        <f t="shared" ca="1" si="77"/>
        <v/>
      </c>
      <c r="X207" s="4" t="str">
        <f t="shared" ca="1" si="77"/>
        <v/>
      </c>
      <c r="Y207" s="4" t="str">
        <f t="shared" ca="1" si="77"/>
        <v/>
      </c>
      <c r="Z207" s="4" t="str">
        <f t="shared" ca="1" si="77"/>
        <v/>
      </c>
      <c r="AA207" s="4" t="str">
        <f t="shared" ca="1" si="77"/>
        <v/>
      </c>
      <c r="AB207" s="4" t="str">
        <f t="shared" ca="1" si="77"/>
        <v/>
      </c>
      <c r="AC207" s="4" t="str">
        <f t="shared" ca="1" si="77"/>
        <v/>
      </c>
      <c r="AD207" s="4" t="str">
        <f t="shared" ca="1" si="77"/>
        <v/>
      </c>
      <c r="AE207" s="4" t="str">
        <f t="shared" ca="1" si="77"/>
        <v/>
      </c>
      <c r="AF207" s="4" t="str">
        <f t="shared" ca="1" si="77"/>
        <v/>
      </c>
      <c r="AG207" s="4" t="str">
        <f t="shared" ca="1" si="78"/>
        <v/>
      </c>
      <c r="AH207" s="4" t="str">
        <f t="shared" ca="1" si="78"/>
        <v/>
      </c>
      <c r="AI207" s="4" t="str">
        <f t="shared" ca="1" si="78"/>
        <v/>
      </c>
      <c r="AJ207" s="4" t="str">
        <f t="shared" ca="1" si="78"/>
        <v/>
      </c>
      <c r="AK207" s="4" t="str">
        <f t="shared" ca="1" si="78"/>
        <v/>
      </c>
      <c r="AL207" s="4" t="str">
        <f t="shared" ca="1" si="78"/>
        <v/>
      </c>
      <c r="AM207" s="4" t="str">
        <f t="shared" ca="1" si="78"/>
        <v/>
      </c>
      <c r="AN207" s="4" t="str">
        <f t="shared" ca="1" si="78"/>
        <v/>
      </c>
      <c r="AO207" s="4" t="str">
        <f t="shared" ca="1" si="78"/>
        <v/>
      </c>
      <c r="AP207" s="4" t="str">
        <f t="shared" ca="1" si="78"/>
        <v/>
      </c>
      <c r="AQ207" s="4" t="str">
        <f t="shared" ca="1" si="79"/>
        <v/>
      </c>
      <c r="AR207" s="4" t="str">
        <f t="shared" ca="1" si="79"/>
        <v/>
      </c>
      <c r="AS207" s="4" t="str">
        <f t="shared" ca="1" si="79"/>
        <v/>
      </c>
      <c r="AT207" s="4" t="str">
        <f t="shared" ca="1" si="79"/>
        <v/>
      </c>
      <c r="AU207" s="4" t="str">
        <f t="shared" ca="1" si="79"/>
        <v/>
      </c>
      <c r="AV207" s="4" t="str">
        <f t="shared" ca="1" si="79"/>
        <v/>
      </c>
      <c r="AW207" s="4" t="str">
        <f t="shared" ca="1" si="79"/>
        <v/>
      </c>
      <c r="AX207" s="4" t="str">
        <f t="shared" ca="1" si="79"/>
        <v/>
      </c>
      <c r="AY207" s="4" t="str">
        <f t="shared" ca="1" si="79"/>
        <v/>
      </c>
      <c r="AZ207" s="4" t="str">
        <f t="shared" ca="1" si="79"/>
        <v/>
      </c>
      <c r="BA207" s="4" t="str">
        <f t="shared" si="69"/>
        <v/>
      </c>
    </row>
    <row r="208" spans="1:53">
      <c r="A208">
        <v>144</v>
      </c>
      <c r="C208" s="4" t="str">
        <f t="shared" ca="1" si="75"/>
        <v/>
      </c>
      <c r="D208" s="4" t="str">
        <f t="shared" ca="1" si="75"/>
        <v/>
      </c>
      <c r="E208" s="4" t="str">
        <f t="shared" ca="1" si="75"/>
        <v/>
      </c>
      <c r="F208" s="4" t="str">
        <f t="shared" ca="1" si="75"/>
        <v/>
      </c>
      <c r="G208" s="4" t="str">
        <f t="shared" ca="1" si="75"/>
        <v/>
      </c>
      <c r="H208" s="4" t="str">
        <f t="shared" ca="1" si="75"/>
        <v/>
      </c>
      <c r="I208" s="4" t="str">
        <f t="shared" ca="1" si="75"/>
        <v/>
      </c>
      <c r="J208" s="4" t="str">
        <f t="shared" ca="1" si="75"/>
        <v/>
      </c>
      <c r="K208" s="4" t="str">
        <f t="shared" ca="1" si="75"/>
        <v/>
      </c>
      <c r="L208" s="4" t="str">
        <f t="shared" ca="1" si="75"/>
        <v/>
      </c>
      <c r="M208" s="4" t="str">
        <f t="shared" ca="1" si="76"/>
        <v/>
      </c>
      <c r="N208" s="4" t="str">
        <f t="shared" ca="1" si="76"/>
        <v/>
      </c>
      <c r="O208" s="4" t="str">
        <f t="shared" ca="1" si="76"/>
        <v/>
      </c>
      <c r="P208" s="4" t="str">
        <f t="shared" ca="1" si="76"/>
        <v/>
      </c>
      <c r="Q208" s="4" t="str">
        <f t="shared" ca="1" si="76"/>
        <v/>
      </c>
      <c r="R208" s="4" t="str">
        <f t="shared" ca="1" si="76"/>
        <v/>
      </c>
      <c r="S208" s="4" t="str">
        <f t="shared" ca="1" si="76"/>
        <v/>
      </c>
      <c r="T208" s="4" t="str">
        <f t="shared" ca="1" si="76"/>
        <v/>
      </c>
      <c r="U208" s="4" t="str">
        <f t="shared" ca="1" si="76"/>
        <v/>
      </c>
      <c r="V208" s="4" t="str">
        <f t="shared" ca="1" si="76"/>
        <v/>
      </c>
      <c r="W208" s="4" t="str">
        <f t="shared" ca="1" si="77"/>
        <v/>
      </c>
      <c r="X208" s="4" t="str">
        <f t="shared" ca="1" si="77"/>
        <v/>
      </c>
      <c r="Y208" s="4" t="str">
        <f t="shared" ca="1" si="77"/>
        <v/>
      </c>
      <c r="Z208" s="4" t="str">
        <f t="shared" ca="1" si="77"/>
        <v/>
      </c>
      <c r="AA208" s="4" t="str">
        <f t="shared" ca="1" si="77"/>
        <v/>
      </c>
      <c r="AB208" s="4" t="str">
        <f t="shared" ca="1" si="77"/>
        <v/>
      </c>
      <c r="AC208" s="4" t="str">
        <f t="shared" ca="1" si="77"/>
        <v/>
      </c>
      <c r="AD208" s="4" t="str">
        <f t="shared" ca="1" si="77"/>
        <v/>
      </c>
      <c r="AE208" s="4" t="str">
        <f t="shared" ca="1" si="77"/>
        <v/>
      </c>
      <c r="AF208" s="4" t="str">
        <f t="shared" ca="1" si="77"/>
        <v/>
      </c>
      <c r="AG208" s="4" t="str">
        <f t="shared" ca="1" si="78"/>
        <v/>
      </c>
      <c r="AH208" s="4" t="str">
        <f t="shared" ca="1" si="78"/>
        <v/>
      </c>
      <c r="AI208" s="4" t="str">
        <f t="shared" ca="1" si="78"/>
        <v/>
      </c>
      <c r="AJ208" s="4" t="str">
        <f t="shared" ca="1" si="78"/>
        <v/>
      </c>
      <c r="AK208" s="4" t="str">
        <f t="shared" ca="1" si="78"/>
        <v/>
      </c>
      <c r="AL208" s="4" t="str">
        <f t="shared" ca="1" si="78"/>
        <v/>
      </c>
      <c r="AM208" s="4" t="str">
        <f t="shared" ca="1" si="78"/>
        <v/>
      </c>
      <c r="AN208" s="4" t="str">
        <f t="shared" ca="1" si="78"/>
        <v/>
      </c>
      <c r="AO208" s="4" t="str">
        <f t="shared" ca="1" si="78"/>
        <v/>
      </c>
      <c r="AP208" s="4" t="str">
        <f t="shared" ca="1" si="78"/>
        <v/>
      </c>
      <c r="AQ208" s="4" t="str">
        <f t="shared" ca="1" si="79"/>
        <v/>
      </c>
      <c r="AR208" s="4" t="str">
        <f t="shared" ca="1" si="79"/>
        <v/>
      </c>
      <c r="AS208" s="4" t="str">
        <f t="shared" ca="1" si="79"/>
        <v/>
      </c>
      <c r="AT208" s="4" t="str">
        <f t="shared" ca="1" si="79"/>
        <v/>
      </c>
      <c r="AU208" s="4" t="str">
        <f t="shared" ca="1" si="79"/>
        <v/>
      </c>
      <c r="AV208" s="4" t="str">
        <f t="shared" ca="1" si="79"/>
        <v/>
      </c>
      <c r="AW208" s="4" t="str">
        <f t="shared" ca="1" si="79"/>
        <v/>
      </c>
      <c r="AX208" s="4" t="str">
        <f t="shared" ca="1" si="79"/>
        <v/>
      </c>
      <c r="AY208" s="4" t="str">
        <f t="shared" ca="1" si="79"/>
        <v/>
      </c>
      <c r="AZ208" s="4" t="str">
        <f t="shared" ca="1" si="79"/>
        <v/>
      </c>
      <c r="BA208" s="4" t="str">
        <f t="shared" si="69"/>
        <v/>
      </c>
    </row>
    <row r="209" spans="1:53">
      <c r="A209">
        <v>145</v>
      </c>
      <c r="C209" s="4" t="str">
        <f t="shared" ca="1" si="75"/>
        <v/>
      </c>
      <c r="D209" s="4" t="str">
        <f t="shared" ca="1" si="75"/>
        <v/>
      </c>
      <c r="E209" s="4" t="str">
        <f t="shared" ca="1" si="75"/>
        <v/>
      </c>
      <c r="F209" s="4" t="str">
        <f t="shared" ca="1" si="75"/>
        <v/>
      </c>
      <c r="G209" s="4" t="str">
        <f t="shared" ca="1" si="75"/>
        <v/>
      </c>
      <c r="H209" s="4" t="str">
        <f t="shared" ca="1" si="75"/>
        <v/>
      </c>
      <c r="I209" s="4" t="str">
        <f t="shared" ca="1" si="75"/>
        <v/>
      </c>
      <c r="J209" s="4" t="str">
        <f t="shared" ca="1" si="75"/>
        <v/>
      </c>
      <c r="K209" s="4" t="str">
        <f t="shared" ca="1" si="75"/>
        <v/>
      </c>
      <c r="L209" s="4" t="str">
        <f t="shared" ca="1" si="75"/>
        <v/>
      </c>
      <c r="M209" s="4" t="str">
        <f t="shared" ca="1" si="76"/>
        <v/>
      </c>
      <c r="N209" s="4" t="str">
        <f t="shared" ca="1" si="76"/>
        <v/>
      </c>
      <c r="O209" s="4" t="str">
        <f t="shared" ca="1" si="76"/>
        <v/>
      </c>
      <c r="P209" s="4" t="str">
        <f t="shared" ca="1" si="76"/>
        <v/>
      </c>
      <c r="Q209" s="4" t="str">
        <f t="shared" ca="1" si="76"/>
        <v/>
      </c>
      <c r="R209" s="4" t="str">
        <f t="shared" ca="1" si="76"/>
        <v/>
      </c>
      <c r="S209" s="4" t="str">
        <f t="shared" ca="1" si="76"/>
        <v/>
      </c>
      <c r="T209" s="4" t="str">
        <f t="shared" ca="1" si="76"/>
        <v/>
      </c>
      <c r="U209" s="4" t="str">
        <f t="shared" ca="1" si="76"/>
        <v/>
      </c>
      <c r="V209" s="4" t="str">
        <f t="shared" ca="1" si="76"/>
        <v/>
      </c>
      <c r="W209" s="4" t="str">
        <f t="shared" ca="1" si="77"/>
        <v/>
      </c>
      <c r="X209" s="4" t="str">
        <f t="shared" ca="1" si="77"/>
        <v/>
      </c>
      <c r="Y209" s="4" t="str">
        <f t="shared" ca="1" si="77"/>
        <v/>
      </c>
      <c r="Z209" s="4" t="str">
        <f t="shared" ca="1" si="77"/>
        <v/>
      </c>
      <c r="AA209" s="4" t="str">
        <f t="shared" ca="1" si="77"/>
        <v/>
      </c>
      <c r="AB209" s="4" t="str">
        <f t="shared" ca="1" si="77"/>
        <v/>
      </c>
      <c r="AC209" s="4" t="str">
        <f t="shared" ca="1" si="77"/>
        <v/>
      </c>
      <c r="AD209" s="4" t="str">
        <f t="shared" ca="1" si="77"/>
        <v/>
      </c>
      <c r="AE209" s="4" t="str">
        <f t="shared" ca="1" si="77"/>
        <v/>
      </c>
      <c r="AF209" s="4" t="str">
        <f t="shared" ca="1" si="77"/>
        <v/>
      </c>
      <c r="AG209" s="4" t="str">
        <f t="shared" ca="1" si="78"/>
        <v/>
      </c>
      <c r="AH209" s="4" t="str">
        <f t="shared" ca="1" si="78"/>
        <v/>
      </c>
      <c r="AI209" s="4" t="str">
        <f t="shared" ca="1" si="78"/>
        <v/>
      </c>
      <c r="AJ209" s="4" t="str">
        <f t="shared" ca="1" si="78"/>
        <v/>
      </c>
      <c r="AK209" s="4" t="str">
        <f t="shared" ca="1" si="78"/>
        <v/>
      </c>
      <c r="AL209" s="4" t="str">
        <f t="shared" ca="1" si="78"/>
        <v/>
      </c>
      <c r="AM209" s="4" t="str">
        <f t="shared" ca="1" si="78"/>
        <v/>
      </c>
      <c r="AN209" s="4" t="str">
        <f t="shared" ca="1" si="78"/>
        <v/>
      </c>
      <c r="AO209" s="4" t="str">
        <f t="shared" ca="1" si="78"/>
        <v/>
      </c>
      <c r="AP209" s="4" t="str">
        <f t="shared" ca="1" si="78"/>
        <v/>
      </c>
      <c r="AQ209" s="4" t="str">
        <f t="shared" ca="1" si="79"/>
        <v/>
      </c>
      <c r="AR209" s="4" t="str">
        <f t="shared" ca="1" si="79"/>
        <v/>
      </c>
      <c r="AS209" s="4" t="str">
        <f t="shared" ca="1" si="79"/>
        <v/>
      </c>
      <c r="AT209" s="4" t="str">
        <f t="shared" ca="1" si="79"/>
        <v/>
      </c>
      <c r="AU209" s="4" t="str">
        <f t="shared" ca="1" si="79"/>
        <v/>
      </c>
      <c r="AV209" s="4" t="str">
        <f t="shared" ca="1" si="79"/>
        <v/>
      </c>
      <c r="AW209" s="4" t="str">
        <f t="shared" ca="1" si="79"/>
        <v/>
      </c>
      <c r="AX209" s="4" t="str">
        <f t="shared" ca="1" si="79"/>
        <v/>
      </c>
      <c r="AY209" s="4" t="str">
        <f t="shared" ca="1" si="79"/>
        <v/>
      </c>
      <c r="AZ209" s="4" t="str">
        <f t="shared" ca="1" si="79"/>
        <v/>
      </c>
      <c r="BA209" s="4" t="str">
        <f t="shared" si="69"/>
        <v/>
      </c>
    </row>
    <row r="210" spans="1:53">
      <c r="A210">
        <v>146</v>
      </c>
      <c r="C210" s="4" t="str">
        <f t="shared" ca="1" si="75"/>
        <v/>
      </c>
      <c r="D210" s="4" t="str">
        <f t="shared" ca="1" si="75"/>
        <v/>
      </c>
      <c r="E210" s="4" t="str">
        <f t="shared" ca="1" si="75"/>
        <v/>
      </c>
      <c r="F210" s="4" t="str">
        <f t="shared" ca="1" si="75"/>
        <v/>
      </c>
      <c r="G210" s="4" t="str">
        <f t="shared" ca="1" si="75"/>
        <v/>
      </c>
      <c r="H210" s="4" t="str">
        <f t="shared" ca="1" si="75"/>
        <v/>
      </c>
      <c r="I210" s="4" t="str">
        <f t="shared" ca="1" si="75"/>
        <v/>
      </c>
      <c r="J210" s="4" t="str">
        <f t="shared" ca="1" si="75"/>
        <v/>
      </c>
      <c r="K210" s="4" t="str">
        <f t="shared" ca="1" si="75"/>
        <v/>
      </c>
      <c r="L210" s="4" t="str">
        <f t="shared" ca="1" si="75"/>
        <v/>
      </c>
      <c r="M210" s="4" t="str">
        <f t="shared" ca="1" si="76"/>
        <v/>
      </c>
      <c r="N210" s="4" t="str">
        <f t="shared" ca="1" si="76"/>
        <v/>
      </c>
      <c r="O210" s="4" t="str">
        <f t="shared" ca="1" si="76"/>
        <v/>
      </c>
      <c r="P210" s="4" t="str">
        <f t="shared" ca="1" si="76"/>
        <v/>
      </c>
      <c r="Q210" s="4" t="str">
        <f t="shared" ca="1" si="76"/>
        <v/>
      </c>
      <c r="R210" s="4" t="str">
        <f t="shared" ca="1" si="76"/>
        <v/>
      </c>
      <c r="S210" s="4" t="str">
        <f t="shared" ca="1" si="76"/>
        <v/>
      </c>
      <c r="T210" s="4" t="str">
        <f t="shared" ca="1" si="76"/>
        <v/>
      </c>
      <c r="U210" s="4" t="str">
        <f t="shared" ca="1" si="76"/>
        <v/>
      </c>
      <c r="V210" s="4" t="str">
        <f t="shared" ca="1" si="76"/>
        <v/>
      </c>
      <c r="W210" s="4" t="str">
        <f t="shared" ca="1" si="77"/>
        <v/>
      </c>
      <c r="X210" s="4" t="str">
        <f t="shared" ca="1" si="77"/>
        <v/>
      </c>
      <c r="Y210" s="4" t="str">
        <f t="shared" ca="1" si="77"/>
        <v/>
      </c>
      <c r="Z210" s="4" t="str">
        <f t="shared" ca="1" si="77"/>
        <v/>
      </c>
      <c r="AA210" s="4" t="str">
        <f t="shared" ca="1" si="77"/>
        <v/>
      </c>
      <c r="AB210" s="4" t="str">
        <f t="shared" ca="1" si="77"/>
        <v/>
      </c>
      <c r="AC210" s="4" t="str">
        <f t="shared" ca="1" si="77"/>
        <v/>
      </c>
      <c r="AD210" s="4" t="str">
        <f t="shared" ca="1" si="77"/>
        <v/>
      </c>
      <c r="AE210" s="4" t="str">
        <f t="shared" ca="1" si="77"/>
        <v/>
      </c>
      <c r="AF210" s="4" t="str">
        <f t="shared" ca="1" si="77"/>
        <v/>
      </c>
      <c r="AG210" s="4" t="str">
        <f t="shared" ca="1" si="78"/>
        <v/>
      </c>
      <c r="AH210" s="4" t="str">
        <f t="shared" ca="1" si="78"/>
        <v/>
      </c>
      <c r="AI210" s="4" t="str">
        <f t="shared" ca="1" si="78"/>
        <v/>
      </c>
      <c r="AJ210" s="4" t="str">
        <f t="shared" ca="1" si="78"/>
        <v/>
      </c>
      <c r="AK210" s="4" t="str">
        <f t="shared" ca="1" si="78"/>
        <v/>
      </c>
      <c r="AL210" s="4" t="str">
        <f t="shared" ca="1" si="78"/>
        <v/>
      </c>
      <c r="AM210" s="4" t="str">
        <f t="shared" ca="1" si="78"/>
        <v/>
      </c>
      <c r="AN210" s="4" t="str">
        <f t="shared" ca="1" si="78"/>
        <v/>
      </c>
      <c r="AO210" s="4" t="str">
        <f t="shared" ca="1" si="78"/>
        <v/>
      </c>
      <c r="AP210" s="4" t="str">
        <f t="shared" ca="1" si="78"/>
        <v/>
      </c>
      <c r="AQ210" s="4" t="str">
        <f t="shared" ca="1" si="79"/>
        <v/>
      </c>
      <c r="AR210" s="4" t="str">
        <f t="shared" ca="1" si="79"/>
        <v/>
      </c>
      <c r="AS210" s="4" t="str">
        <f t="shared" ca="1" si="79"/>
        <v/>
      </c>
      <c r="AT210" s="4" t="str">
        <f t="shared" ca="1" si="79"/>
        <v/>
      </c>
      <c r="AU210" s="4" t="str">
        <f t="shared" ca="1" si="79"/>
        <v/>
      </c>
      <c r="AV210" s="4" t="str">
        <f t="shared" ca="1" si="79"/>
        <v/>
      </c>
      <c r="AW210" s="4" t="str">
        <f t="shared" ca="1" si="79"/>
        <v/>
      </c>
      <c r="AX210" s="4" t="str">
        <f t="shared" ca="1" si="79"/>
        <v/>
      </c>
      <c r="AY210" s="4" t="str">
        <f t="shared" ca="1" si="79"/>
        <v/>
      </c>
      <c r="AZ210" s="4" t="str">
        <f t="shared" ca="1" si="79"/>
        <v/>
      </c>
      <c r="BA210" s="4" t="str">
        <f t="shared" si="69"/>
        <v/>
      </c>
    </row>
    <row r="211" spans="1:53">
      <c r="A211">
        <v>147</v>
      </c>
      <c r="C211" s="4" t="str">
        <f t="shared" ca="1" si="75"/>
        <v/>
      </c>
      <c r="D211" s="4" t="str">
        <f t="shared" ca="1" si="75"/>
        <v/>
      </c>
      <c r="E211" s="4" t="str">
        <f t="shared" ca="1" si="75"/>
        <v/>
      </c>
      <c r="F211" s="4" t="str">
        <f t="shared" ca="1" si="75"/>
        <v/>
      </c>
      <c r="G211" s="4" t="str">
        <f t="shared" ca="1" si="75"/>
        <v/>
      </c>
      <c r="H211" s="4" t="str">
        <f t="shared" ca="1" si="75"/>
        <v/>
      </c>
      <c r="I211" s="4" t="str">
        <f t="shared" ca="1" si="75"/>
        <v/>
      </c>
      <c r="J211" s="4" t="str">
        <f t="shared" ca="1" si="75"/>
        <v/>
      </c>
      <c r="K211" s="4" t="str">
        <f t="shared" ca="1" si="75"/>
        <v/>
      </c>
      <c r="L211" s="4" t="str">
        <f t="shared" ca="1" si="75"/>
        <v/>
      </c>
      <c r="M211" s="4" t="str">
        <f t="shared" ca="1" si="76"/>
        <v/>
      </c>
      <c r="N211" s="4" t="str">
        <f t="shared" ca="1" si="76"/>
        <v/>
      </c>
      <c r="O211" s="4" t="str">
        <f t="shared" ca="1" si="76"/>
        <v/>
      </c>
      <c r="P211" s="4" t="str">
        <f t="shared" ca="1" si="76"/>
        <v/>
      </c>
      <c r="Q211" s="4" t="str">
        <f t="shared" ca="1" si="76"/>
        <v/>
      </c>
      <c r="R211" s="4" t="str">
        <f t="shared" ca="1" si="76"/>
        <v/>
      </c>
      <c r="S211" s="4" t="str">
        <f t="shared" ca="1" si="76"/>
        <v/>
      </c>
      <c r="T211" s="4" t="str">
        <f t="shared" ca="1" si="76"/>
        <v/>
      </c>
      <c r="U211" s="4" t="str">
        <f t="shared" ca="1" si="76"/>
        <v/>
      </c>
      <c r="V211" s="4" t="str">
        <f t="shared" ca="1" si="76"/>
        <v/>
      </c>
      <c r="W211" s="4" t="str">
        <f t="shared" ca="1" si="77"/>
        <v/>
      </c>
      <c r="X211" s="4" t="str">
        <f t="shared" ca="1" si="77"/>
        <v/>
      </c>
      <c r="Y211" s="4" t="str">
        <f t="shared" ca="1" si="77"/>
        <v/>
      </c>
      <c r="Z211" s="4" t="str">
        <f t="shared" ca="1" si="77"/>
        <v/>
      </c>
      <c r="AA211" s="4" t="str">
        <f t="shared" ca="1" si="77"/>
        <v/>
      </c>
      <c r="AB211" s="4" t="str">
        <f t="shared" ca="1" si="77"/>
        <v/>
      </c>
      <c r="AC211" s="4" t="str">
        <f t="shared" ca="1" si="77"/>
        <v/>
      </c>
      <c r="AD211" s="4" t="str">
        <f t="shared" ca="1" si="77"/>
        <v/>
      </c>
      <c r="AE211" s="4" t="str">
        <f t="shared" ca="1" si="77"/>
        <v/>
      </c>
      <c r="AF211" s="4" t="str">
        <f t="shared" ca="1" si="77"/>
        <v/>
      </c>
      <c r="AG211" s="4" t="str">
        <f t="shared" ca="1" si="78"/>
        <v/>
      </c>
      <c r="AH211" s="4" t="str">
        <f t="shared" ca="1" si="78"/>
        <v/>
      </c>
      <c r="AI211" s="4" t="str">
        <f t="shared" ca="1" si="78"/>
        <v/>
      </c>
      <c r="AJ211" s="4" t="str">
        <f t="shared" ca="1" si="78"/>
        <v/>
      </c>
      <c r="AK211" s="4" t="str">
        <f t="shared" ca="1" si="78"/>
        <v/>
      </c>
      <c r="AL211" s="4" t="str">
        <f t="shared" ca="1" si="78"/>
        <v/>
      </c>
      <c r="AM211" s="4" t="str">
        <f t="shared" ca="1" si="78"/>
        <v/>
      </c>
      <c r="AN211" s="4" t="str">
        <f t="shared" ca="1" si="78"/>
        <v/>
      </c>
      <c r="AO211" s="4" t="str">
        <f t="shared" ca="1" si="78"/>
        <v/>
      </c>
      <c r="AP211" s="4" t="str">
        <f t="shared" ca="1" si="78"/>
        <v/>
      </c>
      <c r="AQ211" s="4" t="str">
        <f t="shared" ca="1" si="79"/>
        <v/>
      </c>
      <c r="AR211" s="4" t="str">
        <f t="shared" ca="1" si="79"/>
        <v/>
      </c>
      <c r="AS211" s="4" t="str">
        <f t="shared" ca="1" si="79"/>
        <v/>
      </c>
      <c r="AT211" s="4" t="str">
        <f t="shared" ca="1" si="79"/>
        <v/>
      </c>
      <c r="AU211" s="4" t="str">
        <f t="shared" ca="1" si="79"/>
        <v/>
      </c>
      <c r="AV211" s="4" t="str">
        <f t="shared" ca="1" si="79"/>
        <v/>
      </c>
      <c r="AW211" s="4" t="str">
        <f t="shared" ca="1" si="79"/>
        <v/>
      </c>
      <c r="AX211" s="4" t="str">
        <f t="shared" ca="1" si="79"/>
        <v/>
      </c>
      <c r="AY211" s="4" t="str">
        <f t="shared" ca="1" si="79"/>
        <v/>
      </c>
      <c r="AZ211" s="4" t="str">
        <f t="shared" ca="1" si="79"/>
        <v/>
      </c>
      <c r="BA211" s="4" t="str">
        <f t="shared" si="69"/>
        <v/>
      </c>
    </row>
    <row r="212" spans="1:53">
      <c r="A212">
        <v>148</v>
      </c>
      <c r="C212" s="4" t="str">
        <f t="shared" ca="1" si="75"/>
        <v/>
      </c>
      <c r="D212" s="4" t="str">
        <f t="shared" ca="1" si="75"/>
        <v/>
      </c>
      <c r="E212" s="4" t="str">
        <f t="shared" ca="1" si="75"/>
        <v/>
      </c>
      <c r="F212" s="4" t="str">
        <f t="shared" ca="1" si="75"/>
        <v/>
      </c>
      <c r="G212" s="4" t="str">
        <f t="shared" ca="1" si="75"/>
        <v/>
      </c>
      <c r="H212" s="4" t="str">
        <f t="shared" ca="1" si="75"/>
        <v/>
      </c>
      <c r="I212" s="4" t="str">
        <f t="shared" ca="1" si="75"/>
        <v/>
      </c>
      <c r="J212" s="4" t="str">
        <f t="shared" ca="1" si="75"/>
        <v/>
      </c>
      <c r="K212" s="4" t="str">
        <f t="shared" ca="1" si="75"/>
        <v/>
      </c>
      <c r="L212" s="4" t="str">
        <f t="shared" ca="1" si="75"/>
        <v/>
      </c>
      <c r="M212" s="4" t="str">
        <f t="shared" ca="1" si="76"/>
        <v/>
      </c>
      <c r="N212" s="4" t="str">
        <f t="shared" ca="1" si="76"/>
        <v/>
      </c>
      <c r="O212" s="4" t="str">
        <f t="shared" ca="1" si="76"/>
        <v/>
      </c>
      <c r="P212" s="4" t="str">
        <f t="shared" ca="1" si="76"/>
        <v/>
      </c>
      <c r="Q212" s="4" t="str">
        <f t="shared" ca="1" si="76"/>
        <v/>
      </c>
      <c r="R212" s="4" t="str">
        <f t="shared" ca="1" si="76"/>
        <v/>
      </c>
      <c r="S212" s="4" t="str">
        <f t="shared" ca="1" si="76"/>
        <v/>
      </c>
      <c r="T212" s="4" t="str">
        <f t="shared" ca="1" si="76"/>
        <v/>
      </c>
      <c r="U212" s="4" t="str">
        <f t="shared" ca="1" si="76"/>
        <v/>
      </c>
      <c r="V212" s="4" t="str">
        <f t="shared" ca="1" si="76"/>
        <v/>
      </c>
      <c r="W212" s="4" t="str">
        <f t="shared" ca="1" si="77"/>
        <v/>
      </c>
      <c r="X212" s="4" t="str">
        <f t="shared" ca="1" si="77"/>
        <v/>
      </c>
      <c r="Y212" s="4" t="str">
        <f t="shared" ca="1" si="77"/>
        <v/>
      </c>
      <c r="Z212" s="4" t="str">
        <f t="shared" ca="1" si="77"/>
        <v/>
      </c>
      <c r="AA212" s="4" t="str">
        <f t="shared" ca="1" si="77"/>
        <v/>
      </c>
      <c r="AB212" s="4" t="str">
        <f t="shared" ca="1" si="77"/>
        <v/>
      </c>
      <c r="AC212" s="4" t="str">
        <f t="shared" ca="1" si="77"/>
        <v/>
      </c>
      <c r="AD212" s="4" t="str">
        <f t="shared" ca="1" si="77"/>
        <v/>
      </c>
      <c r="AE212" s="4" t="str">
        <f t="shared" ca="1" si="77"/>
        <v/>
      </c>
      <c r="AF212" s="4" t="str">
        <f t="shared" ca="1" si="77"/>
        <v/>
      </c>
      <c r="AG212" s="4" t="str">
        <f t="shared" ca="1" si="78"/>
        <v/>
      </c>
      <c r="AH212" s="4" t="str">
        <f t="shared" ca="1" si="78"/>
        <v/>
      </c>
      <c r="AI212" s="4" t="str">
        <f t="shared" ca="1" si="78"/>
        <v/>
      </c>
      <c r="AJ212" s="4" t="str">
        <f t="shared" ca="1" si="78"/>
        <v/>
      </c>
      <c r="AK212" s="4" t="str">
        <f t="shared" ca="1" si="78"/>
        <v/>
      </c>
      <c r="AL212" s="4" t="str">
        <f t="shared" ca="1" si="78"/>
        <v/>
      </c>
      <c r="AM212" s="4" t="str">
        <f t="shared" ca="1" si="78"/>
        <v/>
      </c>
      <c r="AN212" s="4" t="str">
        <f t="shared" ca="1" si="78"/>
        <v/>
      </c>
      <c r="AO212" s="4" t="str">
        <f t="shared" ca="1" si="78"/>
        <v/>
      </c>
      <c r="AP212" s="4" t="str">
        <f t="shared" ca="1" si="78"/>
        <v/>
      </c>
      <c r="AQ212" s="4" t="str">
        <f t="shared" ca="1" si="79"/>
        <v/>
      </c>
      <c r="AR212" s="4" t="str">
        <f t="shared" ca="1" si="79"/>
        <v/>
      </c>
      <c r="AS212" s="4" t="str">
        <f t="shared" ca="1" si="79"/>
        <v/>
      </c>
      <c r="AT212" s="4" t="str">
        <f t="shared" ca="1" si="79"/>
        <v/>
      </c>
      <c r="AU212" s="4" t="str">
        <f t="shared" ca="1" si="79"/>
        <v/>
      </c>
      <c r="AV212" s="4" t="str">
        <f t="shared" ca="1" si="79"/>
        <v/>
      </c>
      <c r="AW212" s="4" t="str">
        <f t="shared" ca="1" si="79"/>
        <v/>
      </c>
      <c r="AX212" s="4" t="str">
        <f t="shared" ca="1" si="79"/>
        <v/>
      </c>
      <c r="AY212" s="4" t="str">
        <f t="shared" ca="1" si="79"/>
        <v/>
      </c>
      <c r="AZ212" s="4" t="str">
        <f t="shared" ca="1" si="79"/>
        <v/>
      </c>
      <c r="BA212" s="4" t="str">
        <f t="shared" si="69"/>
        <v/>
      </c>
    </row>
    <row r="213" spans="1:53">
      <c r="A213">
        <v>149</v>
      </c>
      <c r="C213" s="4" t="str">
        <f t="shared" ca="1" si="75"/>
        <v/>
      </c>
      <c r="D213" s="4" t="str">
        <f t="shared" ca="1" si="75"/>
        <v/>
      </c>
      <c r="E213" s="4" t="str">
        <f t="shared" ca="1" si="75"/>
        <v/>
      </c>
      <c r="F213" s="4" t="str">
        <f t="shared" ca="1" si="75"/>
        <v/>
      </c>
      <c r="G213" s="4" t="str">
        <f t="shared" ca="1" si="75"/>
        <v/>
      </c>
      <c r="H213" s="4" t="str">
        <f t="shared" ca="1" si="75"/>
        <v/>
      </c>
      <c r="I213" s="4" t="str">
        <f t="shared" ca="1" si="75"/>
        <v/>
      </c>
      <c r="J213" s="4" t="str">
        <f t="shared" ca="1" si="75"/>
        <v/>
      </c>
      <c r="K213" s="4" t="str">
        <f t="shared" ca="1" si="75"/>
        <v/>
      </c>
      <c r="L213" s="4" t="str">
        <f t="shared" ca="1" si="75"/>
        <v/>
      </c>
      <c r="M213" s="4" t="str">
        <f t="shared" ca="1" si="76"/>
        <v/>
      </c>
      <c r="N213" s="4" t="str">
        <f t="shared" ca="1" si="76"/>
        <v/>
      </c>
      <c r="O213" s="4" t="str">
        <f t="shared" ca="1" si="76"/>
        <v/>
      </c>
      <c r="P213" s="4" t="str">
        <f t="shared" ca="1" si="76"/>
        <v/>
      </c>
      <c r="Q213" s="4" t="str">
        <f t="shared" ca="1" si="76"/>
        <v/>
      </c>
      <c r="R213" s="4" t="str">
        <f t="shared" ca="1" si="76"/>
        <v/>
      </c>
      <c r="S213" s="4" t="str">
        <f t="shared" ca="1" si="76"/>
        <v/>
      </c>
      <c r="T213" s="4" t="str">
        <f t="shared" ca="1" si="76"/>
        <v/>
      </c>
      <c r="U213" s="4" t="str">
        <f t="shared" ca="1" si="76"/>
        <v/>
      </c>
      <c r="V213" s="4" t="str">
        <f t="shared" ca="1" si="76"/>
        <v/>
      </c>
      <c r="W213" s="4" t="str">
        <f t="shared" ca="1" si="77"/>
        <v/>
      </c>
      <c r="X213" s="4" t="str">
        <f t="shared" ca="1" si="77"/>
        <v/>
      </c>
      <c r="Y213" s="4" t="str">
        <f t="shared" ca="1" si="77"/>
        <v/>
      </c>
      <c r="Z213" s="4" t="str">
        <f t="shared" ca="1" si="77"/>
        <v/>
      </c>
      <c r="AA213" s="4" t="str">
        <f t="shared" ca="1" si="77"/>
        <v/>
      </c>
      <c r="AB213" s="4" t="str">
        <f t="shared" ca="1" si="77"/>
        <v/>
      </c>
      <c r="AC213" s="4" t="str">
        <f t="shared" ca="1" si="77"/>
        <v/>
      </c>
      <c r="AD213" s="4" t="str">
        <f t="shared" ca="1" si="77"/>
        <v/>
      </c>
      <c r="AE213" s="4" t="str">
        <f t="shared" ca="1" si="77"/>
        <v/>
      </c>
      <c r="AF213" s="4" t="str">
        <f t="shared" ca="1" si="77"/>
        <v/>
      </c>
      <c r="AG213" s="4" t="str">
        <f t="shared" ca="1" si="78"/>
        <v/>
      </c>
      <c r="AH213" s="4" t="str">
        <f t="shared" ca="1" si="78"/>
        <v/>
      </c>
      <c r="AI213" s="4" t="str">
        <f t="shared" ca="1" si="78"/>
        <v/>
      </c>
      <c r="AJ213" s="4" t="str">
        <f t="shared" ca="1" si="78"/>
        <v/>
      </c>
      <c r="AK213" s="4" t="str">
        <f t="shared" ca="1" si="78"/>
        <v/>
      </c>
      <c r="AL213" s="4" t="str">
        <f t="shared" ca="1" si="78"/>
        <v/>
      </c>
      <c r="AM213" s="4" t="str">
        <f t="shared" ca="1" si="78"/>
        <v/>
      </c>
      <c r="AN213" s="4" t="str">
        <f t="shared" ca="1" si="78"/>
        <v/>
      </c>
      <c r="AO213" s="4" t="str">
        <f t="shared" ca="1" si="78"/>
        <v/>
      </c>
      <c r="AP213" s="4" t="str">
        <f t="shared" ca="1" si="78"/>
        <v/>
      </c>
      <c r="AQ213" s="4" t="str">
        <f t="shared" ca="1" si="79"/>
        <v/>
      </c>
      <c r="AR213" s="4" t="str">
        <f t="shared" ca="1" si="79"/>
        <v/>
      </c>
      <c r="AS213" s="4" t="str">
        <f t="shared" ca="1" si="79"/>
        <v/>
      </c>
      <c r="AT213" s="4" t="str">
        <f t="shared" ca="1" si="79"/>
        <v/>
      </c>
      <c r="AU213" s="4" t="str">
        <f t="shared" ca="1" si="79"/>
        <v/>
      </c>
      <c r="AV213" s="4" t="str">
        <f t="shared" ca="1" si="79"/>
        <v/>
      </c>
      <c r="AW213" s="4" t="str">
        <f t="shared" ca="1" si="79"/>
        <v/>
      </c>
      <c r="AX213" s="4" t="str">
        <f t="shared" ca="1" si="79"/>
        <v/>
      </c>
      <c r="AY213" s="4" t="str">
        <f t="shared" ca="1" si="79"/>
        <v/>
      </c>
      <c r="AZ213" s="4" t="str">
        <f t="shared" ca="1" si="79"/>
        <v/>
      </c>
      <c r="BA213" s="4" t="str">
        <f t="shared" si="69"/>
        <v/>
      </c>
    </row>
    <row r="214" spans="1:53">
      <c r="A214">
        <v>150</v>
      </c>
      <c r="C214" s="4" t="str">
        <f t="shared" ca="1" si="75"/>
        <v/>
      </c>
      <c r="D214" s="4" t="str">
        <f t="shared" ca="1" si="75"/>
        <v/>
      </c>
      <c r="E214" s="4" t="str">
        <f t="shared" ca="1" si="75"/>
        <v/>
      </c>
      <c r="F214" s="4" t="str">
        <f t="shared" ca="1" si="75"/>
        <v/>
      </c>
      <c r="G214" s="4" t="str">
        <f t="shared" ca="1" si="75"/>
        <v/>
      </c>
      <c r="H214" s="4" t="str">
        <f t="shared" ca="1" si="75"/>
        <v/>
      </c>
      <c r="I214" s="4" t="str">
        <f t="shared" ca="1" si="75"/>
        <v/>
      </c>
      <c r="J214" s="4" t="str">
        <f t="shared" ca="1" si="75"/>
        <v/>
      </c>
      <c r="K214" s="4" t="str">
        <f t="shared" ca="1" si="75"/>
        <v/>
      </c>
      <c r="L214" s="4" t="str">
        <f t="shared" ca="1" si="75"/>
        <v/>
      </c>
      <c r="M214" s="4" t="str">
        <f t="shared" ca="1" si="76"/>
        <v/>
      </c>
      <c r="N214" s="4" t="str">
        <f t="shared" ca="1" si="76"/>
        <v/>
      </c>
      <c r="O214" s="4" t="str">
        <f t="shared" ca="1" si="76"/>
        <v/>
      </c>
      <c r="P214" s="4" t="str">
        <f t="shared" ca="1" si="76"/>
        <v/>
      </c>
      <c r="Q214" s="4" t="str">
        <f t="shared" ca="1" si="76"/>
        <v/>
      </c>
      <c r="R214" s="4" t="str">
        <f t="shared" ca="1" si="76"/>
        <v/>
      </c>
      <c r="S214" s="4" t="str">
        <f t="shared" ca="1" si="76"/>
        <v/>
      </c>
      <c r="T214" s="4" t="str">
        <f t="shared" ca="1" si="76"/>
        <v/>
      </c>
      <c r="U214" s="4" t="str">
        <f t="shared" ca="1" si="76"/>
        <v/>
      </c>
      <c r="V214" s="4" t="str">
        <f t="shared" ca="1" si="76"/>
        <v/>
      </c>
      <c r="W214" s="4" t="str">
        <f t="shared" ca="1" si="77"/>
        <v/>
      </c>
      <c r="X214" s="4" t="str">
        <f t="shared" ca="1" si="77"/>
        <v/>
      </c>
      <c r="Y214" s="4" t="str">
        <f t="shared" ca="1" si="77"/>
        <v/>
      </c>
      <c r="Z214" s="4" t="str">
        <f t="shared" ca="1" si="77"/>
        <v/>
      </c>
      <c r="AA214" s="4" t="str">
        <f t="shared" ca="1" si="77"/>
        <v/>
      </c>
      <c r="AB214" s="4" t="str">
        <f t="shared" ca="1" si="77"/>
        <v/>
      </c>
      <c r="AC214" s="4" t="str">
        <f t="shared" ca="1" si="77"/>
        <v/>
      </c>
      <c r="AD214" s="4" t="str">
        <f t="shared" ca="1" si="77"/>
        <v/>
      </c>
      <c r="AE214" s="4" t="str">
        <f t="shared" ca="1" si="77"/>
        <v/>
      </c>
      <c r="AF214" s="4" t="str">
        <f t="shared" ca="1" si="77"/>
        <v/>
      </c>
      <c r="AG214" s="4" t="str">
        <f t="shared" ca="1" si="78"/>
        <v/>
      </c>
      <c r="AH214" s="4" t="str">
        <f t="shared" ca="1" si="78"/>
        <v/>
      </c>
      <c r="AI214" s="4" t="str">
        <f t="shared" ca="1" si="78"/>
        <v/>
      </c>
      <c r="AJ214" s="4" t="str">
        <f t="shared" ca="1" si="78"/>
        <v/>
      </c>
      <c r="AK214" s="4" t="str">
        <f t="shared" ca="1" si="78"/>
        <v/>
      </c>
      <c r="AL214" s="4" t="str">
        <f t="shared" ca="1" si="78"/>
        <v/>
      </c>
      <c r="AM214" s="4" t="str">
        <f t="shared" ca="1" si="78"/>
        <v/>
      </c>
      <c r="AN214" s="4" t="str">
        <f t="shared" ca="1" si="78"/>
        <v/>
      </c>
      <c r="AO214" s="4" t="str">
        <f t="shared" ca="1" si="78"/>
        <v/>
      </c>
      <c r="AP214" s="4" t="str">
        <f t="shared" ca="1" si="78"/>
        <v/>
      </c>
      <c r="AQ214" s="4" t="str">
        <f t="shared" ca="1" si="79"/>
        <v/>
      </c>
      <c r="AR214" s="4" t="str">
        <f t="shared" ca="1" si="79"/>
        <v/>
      </c>
      <c r="AS214" s="4" t="str">
        <f t="shared" ca="1" si="79"/>
        <v/>
      </c>
      <c r="AT214" s="4" t="str">
        <f t="shared" ca="1" si="79"/>
        <v/>
      </c>
      <c r="AU214" s="4" t="str">
        <f t="shared" ca="1" si="79"/>
        <v/>
      </c>
      <c r="AV214" s="4" t="str">
        <f t="shared" ca="1" si="79"/>
        <v/>
      </c>
      <c r="AW214" s="4" t="str">
        <f t="shared" ca="1" si="79"/>
        <v/>
      </c>
      <c r="AX214" s="4" t="str">
        <f t="shared" ca="1" si="79"/>
        <v/>
      </c>
      <c r="AY214" s="4" t="str">
        <f t="shared" ca="1" si="79"/>
        <v/>
      </c>
      <c r="AZ214" s="4" t="str">
        <f t="shared" ca="1" si="79"/>
        <v/>
      </c>
      <c r="BA214" s="4" t="str">
        <f t="shared" si="69"/>
        <v/>
      </c>
    </row>
    <row r="215" spans="1:53">
      <c r="A215">
        <v>151</v>
      </c>
      <c r="C215" s="4" t="str">
        <f t="shared" ref="C215:L224" ca="1" si="80">IF(COLUMN()-2&lt;=$E$3,INDEX($B$10:$B$59,RANDBETWEEN(1,$E$3)),"")</f>
        <v/>
      </c>
      <c r="D215" s="4" t="str">
        <f t="shared" ca="1" si="80"/>
        <v/>
      </c>
      <c r="E215" s="4" t="str">
        <f t="shared" ca="1" si="80"/>
        <v/>
      </c>
      <c r="F215" s="4" t="str">
        <f t="shared" ca="1" si="80"/>
        <v/>
      </c>
      <c r="G215" s="4" t="str">
        <f t="shared" ca="1" si="80"/>
        <v/>
      </c>
      <c r="H215" s="4" t="str">
        <f t="shared" ca="1" si="80"/>
        <v/>
      </c>
      <c r="I215" s="4" t="str">
        <f t="shared" ca="1" si="80"/>
        <v/>
      </c>
      <c r="J215" s="4" t="str">
        <f t="shared" ca="1" si="80"/>
        <v/>
      </c>
      <c r="K215" s="4" t="str">
        <f t="shared" ca="1" si="80"/>
        <v/>
      </c>
      <c r="L215" s="4" t="str">
        <f t="shared" ca="1" si="80"/>
        <v/>
      </c>
      <c r="M215" s="4" t="str">
        <f t="shared" ref="M215:V224" ca="1" si="81">IF(COLUMN()-2&lt;=$E$3,INDEX($B$10:$B$59,RANDBETWEEN(1,$E$3)),"")</f>
        <v/>
      </c>
      <c r="N215" s="4" t="str">
        <f t="shared" ca="1" si="81"/>
        <v/>
      </c>
      <c r="O215" s="4" t="str">
        <f t="shared" ca="1" si="81"/>
        <v/>
      </c>
      <c r="P215" s="4" t="str">
        <f t="shared" ca="1" si="81"/>
        <v/>
      </c>
      <c r="Q215" s="4" t="str">
        <f t="shared" ca="1" si="81"/>
        <v/>
      </c>
      <c r="R215" s="4" t="str">
        <f t="shared" ca="1" si="81"/>
        <v/>
      </c>
      <c r="S215" s="4" t="str">
        <f t="shared" ca="1" si="81"/>
        <v/>
      </c>
      <c r="T215" s="4" t="str">
        <f t="shared" ca="1" si="81"/>
        <v/>
      </c>
      <c r="U215" s="4" t="str">
        <f t="shared" ca="1" si="81"/>
        <v/>
      </c>
      <c r="V215" s="4" t="str">
        <f t="shared" ca="1" si="81"/>
        <v/>
      </c>
      <c r="W215" s="4" t="str">
        <f t="shared" ref="W215:AF224" ca="1" si="82">IF(COLUMN()-2&lt;=$E$3,INDEX($B$10:$B$59,RANDBETWEEN(1,$E$3)),"")</f>
        <v/>
      </c>
      <c r="X215" s="4" t="str">
        <f t="shared" ca="1" si="82"/>
        <v/>
      </c>
      <c r="Y215" s="4" t="str">
        <f t="shared" ca="1" si="82"/>
        <v/>
      </c>
      <c r="Z215" s="4" t="str">
        <f t="shared" ca="1" si="82"/>
        <v/>
      </c>
      <c r="AA215" s="4" t="str">
        <f t="shared" ca="1" si="82"/>
        <v/>
      </c>
      <c r="AB215" s="4" t="str">
        <f t="shared" ca="1" si="82"/>
        <v/>
      </c>
      <c r="AC215" s="4" t="str">
        <f t="shared" ca="1" si="82"/>
        <v/>
      </c>
      <c r="AD215" s="4" t="str">
        <f t="shared" ca="1" si="82"/>
        <v/>
      </c>
      <c r="AE215" s="4" t="str">
        <f t="shared" ca="1" si="82"/>
        <v/>
      </c>
      <c r="AF215" s="4" t="str">
        <f t="shared" ca="1" si="82"/>
        <v/>
      </c>
      <c r="AG215" s="4" t="str">
        <f t="shared" ref="AG215:AP224" ca="1" si="83">IF(COLUMN()-2&lt;=$E$3,INDEX($B$10:$B$59,RANDBETWEEN(1,$E$3)),"")</f>
        <v/>
      </c>
      <c r="AH215" s="4" t="str">
        <f t="shared" ca="1" si="83"/>
        <v/>
      </c>
      <c r="AI215" s="4" t="str">
        <f t="shared" ca="1" si="83"/>
        <v/>
      </c>
      <c r="AJ215" s="4" t="str">
        <f t="shared" ca="1" si="83"/>
        <v/>
      </c>
      <c r="AK215" s="4" t="str">
        <f t="shared" ca="1" si="83"/>
        <v/>
      </c>
      <c r="AL215" s="4" t="str">
        <f t="shared" ca="1" si="83"/>
        <v/>
      </c>
      <c r="AM215" s="4" t="str">
        <f t="shared" ca="1" si="83"/>
        <v/>
      </c>
      <c r="AN215" s="4" t="str">
        <f t="shared" ca="1" si="83"/>
        <v/>
      </c>
      <c r="AO215" s="4" t="str">
        <f t="shared" ca="1" si="83"/>
        <v/>
      </c>
      <c r="AP215" s="4" t="str">
        <f t="shared" ca="1" si="83"/>
        <v/>
      </c>
      <c r="AQ215" s="4" t="str">
        <f t="shared" ref="AQ215:AZ224" ca="1" si="84">IF(COLUMN()-2&lt;=$E$3,INDEX($B$10:$B$59,RANDBETWEEN(1,$E$3)),"")</f>
        <v/>
      </c>
      <c r="AR215" s="4" t="str">
        <f t="shared" ca="1" si="84"/>
        <v/>
      </c>
      <c r="AS215" s="4" t="str">
        <f t="shared" ca="1" si="84"/>
        <v/>
      </c>
      <c r="AT215" s="4" t="str">
        <f t="shared" ca="1" si="84"/>
        <v/>
      </c>
      <c r="AU215" s="4" t="str">
        <f t="shared" ca="1" si="84"/>
        <v/>
      </c>
      <c r="AV215" s="4" t="str">
        <f t="shared" ca="1" si="84"/>
        <v/>
      </c>
      <c r="AW215" s="4" t="str">
        <f t="shared" ca="1" si="84"/>
        <v/>
      </c>
      <c r="AX215" s="4" t="str">
        <f t="shared" ca="1" si="84"/>
        <v/>
      </c>
      <c r="AY215" s="4" t="str">
        <f t="shared" ca="1" si="84"/>
        <v/>
      </c>
      <c r="AZ215" s="4" t="str">
        <f t="shared" ca="1" si="84"/>
        <v/>
      </c>
      <c r="BA215" s="4" t="str">
        <f t="shared" si="69"/>
        <v/>
      </c>
    </row>
    <row r="216" spans="1:53">
      <c r="A216">
        <v>152</v>
      </c>
      <c r="C216" s="4" t="str">
        <f t="shared" ca="1" si="80"/>
        <v/>
      </c>
      <c r="D216" s="4" t="str">
        <f t="shared" ca="1" si="80"/>
        <v/>
      </c>
      <c r="E216" s="4" t="str">
        <f t="shared" ca="1" si="80"/>
        <v/>
      </c>
      <c r="F216" s="4" t="str">
        <f t="shared" ca="1" si="80"/>
        <v/>
      </c>
      <c r="G216" s="4" t="str">
        <f t="shared" ca="1" si="80"/>
        <v/>
      </c>
      <c r="H216" s="4" t="str">
        <f t="shared" ca="1" si="80"/>
        <v/>
      </c>
      <c r="I216" s="4" t="str">
        <f t="shared" ca="1" si="80"/>
        <v/>
      </c>
      <c r="J216" s="4" t="str">
        <f t="shared" ca="1" si="80"/>
        <v/>
      </c>
      <c r="K216" s="4" t="str">
        <f t="shared" ca="1" si="80"/>
        <v/>
      </c>
      <c r="L216" s="4" t="str">
        <f t="shared" ca="1" si="80"/>
        <v/>
      </c>
      <c r="M216" s="4" t="str">
        <f t="shared" ca="1" si="81"/>
        <v/>
      </c>
      <c r="N216" s="4" t="str">
        <f t="shared" ca="1" si="81"/>
        <v/>
      </c>
      <c r="O216" s="4" t="str">
        <f t="shared" ca="1" si="81"/>
        <v/>
      </c>
      <c r="P216" s="4" t="str">
        <f t="shared" ca="1" si="81"/>
        <v/>
      </c>
      <c r="Q216" s="4" t="str">
        <f t="shared" ca="1" si="81"/>
        <v/>
      </c>
      <c r="R216" s="4" t="str">
        <f t="shared" ca="1" si="81"/>
        <v/>
      </c>
      <c r="S216" s="4" t="str">
        <f t="shared" ca="1" si="81"/>
        <v/>
      </c>
      <c r="T216" s="4" t="str">
        <f t="shared" ca="1" si="81"/>
        <v/>
      </c>
      <c r="U216" s="4" t="str">
        <f t="shared" ca="1" si="81"/>
        <v/>
      </c>
      <c r="V216" s="4" t="str">
        <f t="shared" ca="1" si="81"/>
        <v/>
      </c>
      <c r="W216" s="4" t="str">
        <f t="shared" ca="1" si="82"/>
        <v/>
      </c>
      <c r="X216" s="4" t="str">
        <f t="shared" ca="1" si="82"/>
        <v/>
      </c>
      <c r="Y216" s="4" t="str">
        <f t="shared" ca="1" si="82"/>
        <v/>
      </c>
      <c r="Z216" s="4" t="str">
        <f t="shared" ca="1" si="82"/>
        <v/>
      </c>
      <c r="AA216" s="4" t="str">
        <f t="shared" ca="1" si="82"/>
        <v/>
      </c>
      <c r="AB216" s="4" t="str">
        <f t="shared" ca="1" si="82"/>
        <v/>
      </c>
      <c r="AC216" s="4" t="str">
        <f t="shared" ca="1" si="82"/>
        <v/>
      </c>
      <c r="AD216" s="4" t="str">
        <f t="shared" ca="1" si="82"/>
        <v/>
      </c>
      <c r="AE216" s="4" t="str">
        <f t="shared" ca="1" si="82"/>
        <v/>
      </c>
      <c r="AF216" s="4" t="str">
        <f t="shared" ca="1" si="82"/>
        <v/>
      </c>
      <c r="AG216" s="4" t="str">
        <f t="shared" ca="1" si="83"/>
        <v/>
      </c>
      <c r="AH216" s="4" t="str">
        <f t="shared" ca="1" si="83"/>
        <v/>
      </c>
      <c r="AI216" s="4" t="str">
        <f t="shared" ca="1" si="83"/>
        <v/>
      </c>
      <c r="AJ216" s="4" t="str">
        <f t="shared" ca="1" si="83"/>
        <v/>
      </c>
      <c r="AK216" s="4" t="str">
        <f t="shared" ca="1" si="83"/>
        <v/>
      </c>
      <c r="AL216" s="4" t="str">
        <f t="shared" ca="1" si="83"/>
        <v/>
      </c>
      <c r="AM216" s="4" t="str">
        <f t="shared" ca="1" si="83"/>
        <v/>
      </c>
      <c r="AN216" s="4" t="str">
        <f t="shared" ca="1" si="83"/>
        <v/>
      </c>
      <c r="AO216" s="4" t="str">
        <f t="shared" ca="1" si="83"/>
        <v/>
      </c>
      <c r="AP216" s="4" t="str">
        <f t="shared" ca="1" si="83"/>
        <v/>
      </c>
      <c r="AQ216" s="4" t="str">
        <f t="shared" ca="1" si="84"/>
        <v/>
      </c>
      <c r="AR216" s="4" t="str">
        <f t="shared" ca="1" si="84"/>
        <v/>
      </c>
      <c r="AS216" s="4" t="str">
        <f t="shared" ca="1" si="84"/>
        <v/>
      </c>
      <c r="AT216" s="4" t="str">
        <f t="shared" ca="1" si="84"/>
        <v/>
      </c>
      <c r="AU216" s="4" t="str">
        <f t="shared" ca="1" si="84"/>
        <v/>
      </c>
      <c r="AV216" s="4" t="str">
        <f t="shared" ca="1" si="84"/>
        <v/>
      </c>
      <c r="AW216" s="4" t="str">
        <f t="shared" ca="1" si="84"/>
        <v/>
      </c>
      <c r="AX216" s="4" t="str">
        <f t="shared" ca="1" si="84"/>
        <v/>
      </c>
      <c r="AY216" s="4" t="str">
        <f t="shared" ca="1" si="84"/>
        <v/>
      </c>
      <c r="AZ216" s="4" t="str">
        <f t="shared" ca="1" si="84"/>
        <v/>
      </c>
      <c r="BA216" s="4" t="str">
        <f t="shared" si="69"/>
        <v/>
      </c>
    </row>
    <row r="217" spans="1:53">
      <c r="A217">
        <v>153</v>
      </c>
      <c r="C217" s="4" t="str">
        <f t="shared" ca="1" si="80"/>
        <v/>
      </c>
      <c r="D217" s="4" t="str">
        <f t="shared" ca="1" si="80"/>
        <v/>
      </c>
      <c r="E217" s="4" t="str">
        <f t="shared" ca="1" si="80"/>
        <v/>
      </c>
      <c r="F217" s="4" t="str">
        <f t="shared" ca="1" si="80"/>
        <v/>
      </c>
      <c r="G217" s="4" t="str">
        <f t="shared" ca="1" si="80"/>
        <v/>
      </c>
      <c r="H217" s="4" t="str">
        <f t="shared" ca="1" si="80"/>
        <v/>
      </c>
      <c r="I217" s="4" t="str">
        <f t="shared" ca="1" si="80"/>
        <v/>
      </c>
      <c r="J217" s="4" t="str">
        <f t="shared" ca="1" si="80"/>
        <v/>
      </c>
      <c r="K217" s="4" t="str">
        <f t="shared" ca="1" si="80"/>
        <v/>
      </c>
      <c r="L217" s="4" t="str">
        <f t="shared" ca="1" si="80"/>
        <v/>
      </c>
      <c r="M217" s="4" t="str">
        <f t="shared" ca="1" si="81"/>
        <v/>
      </c>
      <c r="N217" s="4" t="str">
        <f t="shared" ca="1" si="81"/>
        <v/>
      </c>
      <c r="O217" s="4" t="str">
        <f t="shared" ca="1" si="81"/>
        <v/>
      </c>
      <c r="P217" s="4" t="str">
        <f t="shared" ca="1" si="81"/>
        <v/>
      </c>
      <c r="Q217" s="4" t="str">
        <f t="shared" ca="1" si="81"/>
        <v/>
      </c>
      <c r="R217" s="4" t="str">
        <f t="shared" ca="1" si="81"/>
        <v/>
      </c>
      <c r="S217" s="4" t="str">
        <f t="shared" ca="1" si="81"/>
        <v/>
      </c>
      <c r="T217" s="4" t="str">
        <f t="shared" ca="1" si="81"/>
        <v/>
      </c>
      <c r="U217" s="4" t="str">
        <f t="shared" ca="1" si="81"/>
        <v/>
      </c>
      <c r="V217" s="4" t="str">
        <f t="shared" ca="1" si="81"/>
        <v/>
      </c>
      <c r="W217" s="4" t="str">
        <f t="shared" ca="1" si="82"/>
        <v/>
      </c>
      <c r="X217" s="4" t="str">
        <f t="shared" ca="1" si="82"/>
        <v/>
      </c>
      <c r="Y217" s="4" t="str">
        <f t="shared" ca="1" si="82"/>
        <v/>
      </c>
      <c r="Z217" s="4" t="str">
        <f t="shared" ca="1" si="82"/>
        <v/>
      </c>
      <c r="AA217" s="4" t="str">
        <f t="shared" ca="1" si="82"/>
        <v/>
      </c>
      <c r="AB217" s="4" t="str">
        <f t="shared" ca="1" si="82"/>
        <v/>
      </c>
      <c r="AC217" s="4" t="str">
        <f t="shared" ca="1" si="82"/>
        <v/>
      </c>
      <c r="AD217" s="4" t="str">
        <f t="shared" ca="1" si="82"/>
        <v/>
      </c>
      <c r="AE217" s="4" t="str">
        <f t="shared" ca="1" si="82"/>
        <v/>
      </c>
      <c r="AF217" s="4" t="str">
        <f t="shared" ca="1" si="82"/>
        <v/>
      </c>
      <c r="AG217" s="4" t="str">
        <f t="shared" ca="1" si="83"/>
        <v/>
      </c>
      <c r="AH217" s="4" t="str">
        <f t="shared" ca="1" si="83"/>
        <v/>
      </c>
      <c r="AI217" s="4" t="str">
        <f t="shared" ca="1" si="83"/>
        <v/>
      </c>
      <c r="AJ217" s="4" t="str">
        <f t="shared" ca="1" si="83"/>
        <v/>
      </c>
      <c r="AK217" s="4" t="str">
        <f t="shared" ca="1" si="83"/>
        <v/>
      </c>
      <c r="AL217" s="4" t="str">
        <f t="shared" ca="1" si="83"/>
        <v/>
      </c>
      <c r="AM217" s="4" t="str">
        <f t="shared" ca="1" si="83"/>
        <v/>
      </c>
      <c r="AN217" s="4" t="str">
        <f t="shared" ca="1" si="83"/>
        <v/>
      </c>
      <c r="AO217" s="4" t="str">
        <f t="shared" ca="1" si="83"/>
        <v/>
      </c>
      <c r="AP217" s="4" t="str">
        <f t="shared" ca="1" si="83"/>
        <v/>
      </c>
      <c r="AQ217" s="4" t="str">
        <f t="shared" ca="1" si="84"/>
        <v/>
      </c>
      <c r="AR217" s="4" t="str">
        <f t="shared" ca="1" si="84"/>
        <v/>
      </c>
      <c r="AS217" s="4" t="str">
        <f t="shared" ca="1" si="84"/>
        <v/>
      </c>
      <c r="AT217" s="4" t="str">
        <f t="shared" ca="1" si="84"/>
        <v/>
      </c>
      <c r="AU217" s="4" t="str">
        <f t="shared" ca="1" si="84"/>
        <v/>
      </c>
      <c r="AV217" s="4" t="str">
        <f t="shared" ca="1" si="84"/>
        <v/>
      </c>
      <c r="AW217" s="4" t="str">
        <f t="shared" ca="1" si="84"/>
        <v/>
      </c>
      <c r="AX217" s="4" t="str">
        <f t="shared" ca="1" si="84"/>
        <v/>
      </c>
      <c r="AY217" s="4" t="str">
        <f t="shared" ca="1" si="84"/>
        <v/>
      </c>
      <c r="AZ217" s="4" t="str">
        <f t="shared" ca="1" si="84"/>
        <v/>
      </c>
      <c r="BA217" s="4" t="str">
        <f t="shared" si="69"/>
        <v/>
      </c>
    </row>
    <row r="218" spans="1:53">
      <c r="A218">
        <v>154</v>
      </c>
      <c r="C218" s="4" t="str">
        <f t="shared" ca="1" si="80"/>
        <v/>
      </c>
      <c r="D218" s="4" t="str">
        <f t="shared" ca="1" si="80"/>
        <v/>
      </c>
      <c r="E218" s="4" t="str">
        <f t="shared" ca="1" si="80"/>
        <v/>
      </c>
      <c r="F218" s="4" t="str">
        <f t="shared" ca="1" si="80"/>
        <v/>
      </c>
      <c r="G218" s="4" t="str">
        <f t="shared" ca="1" si="80"/>
        <v/>
      </c>
      <c r="H218" s="4" t="str">
        <f t="shared" ca="1" si="80"/>
        <v/>
      </c>
      <c r="I218" s="4" t="str">
        <f t="shared" ca="1" si="80"/>
        <v/>
      </c>
      <c r="J218" s="4" t="str">
        <f t="shared" ca="1" si="80"/>
        <v/>
      </c>
      <c r="K218" s="4" t="str">
        <f t="shared" ca="1" si="80"/>
        <v/>
      </c>
      <c r="L218" s="4" t="str">
        <f t="shared" ca="1" si="80"/>
        <v/>
      </c>
      <c r="M218" s="4" t="str">
        <f t="shared" ca="1" si="81"/>
        <v/>
      </c>
      <c r="N218" s="4" t="str">
        <f t="shared" ca="1" si="81"/>
        <v/>
      </c>
      <c r="O218" s="4" t="str">
        <f t="shared" ca="1" si="81"/>
        <v/>
      </c>
      <c r="P218" s="4" t="str">
        <f t="shared" ca="1" si="81"/>
        <v/>
      </c>
      <c r="Q218" s="4" t="str">
        <f t="shared" ca="1" si="81"/>
        <v/>
      </c>
      <c r="R218" s="4" t="str">
        <f t="shared" ca="1" si="81"/>
        <v/>
      </c>
      <c r="S218" s="4" t="str">
        <f t="shared" ca="1" si="81"/>
        <v/>
      </c>
      <c r="T218" s="4" t="str">
        <f t="shared" ca="1" si="81"/>
        <v/>
      </c>
      <c r="U218" s="4" t="str">
        <f t="shared" ca="1" si="81"/>
        <v/>
      </c>
      <c r="V218" s="4" t="str">
        <f t="shared" ca="1" si="81"/>
        <v/>
      </c>
      <c r="W218" s="4" t="str">
        <f t="shared" ca="1" si="82"/>
        <v/>
      </c>
      <c r="X218" s="4" t="str">
        <f t="shared" ca="1" si="82"/>
        <v/>
      </c>
      <c r="Y218" s="4" t="str">
        <f t="shared" ca="1" si="82"/>
        <v/>
      </c>
      <c r="Z218" s="4" t="str">
        <f t="shared" ca="1" si="82"/>
        <v/>
      </c>
      <c r="AA218" s="4" t="str">
        <f t="shared" ca="1" si="82"/>
        <v/>
      </c>
      <c r="AB218" s="4" t="str">
        <f t="shared" ca="1" si="82"/>
        <v/>
      </c>
      <c r="AC218" s="4" t="str">
        <f t="shared" ca="1" si="82"/>
        <v/>
      </c>
      <c r="AD218" s="4" t="str">
        <f t="shared" ca="1" si="82"/>
        <v/>
      </c>
      <c r="AE218" s="4" t="str">
        <f t="shared" ca="1" si="82"/>
        <v/>
      </c>
      <c r="AF218" s="4" t="str">
        <f t="shared" ca="1" si="82"/>
        <v/>
      </c>
      <c r="AG218" s="4" t="str">
        <f t="shared" ca="1" si="83"/>
        <v/>
      </c>
      <c r="AH218" s="4" t="str">
        <f t="shared" ca="1" si="83"/>
        <v/>
      </c>
      <c r="AI218" s="4" t="str">
        <f t="shared" ca="1" si="83"/>
        <v/>
      </c>
      <c r="AJ218" s="4" t="str">
        <f t="shared" ca="1" si="83"/>
        <v/>
      </c>
      <c r="AK218" s="4" t="str">
        <f t="shared" ca="1" si="83"/>
        <v/>
      </c>
      <c r="AL218" s="4" t="str">
        <f t="shared" ca="1" si="83"/>
        <v/>
      </c>
      <c r="AM218" s="4" t="str">
        <f t="shared" ca="1" si="83"/>
        <v/>
      </c>
      <c r="AN218" s="4" t="str">
        <f t="shared" ca="1" si="83"/>
        <v/>
      </c>
      <c r="AO218" s="4" t="str">
        <f t="shared" ca="1" si="83"/>
        <v/>
      </c>
      <c r="AP218" s="4" t="str">
        <f t="shared" ca="1" si="83"/>
        <v/>
      </c>
      <c r="AQ218" s="4" t="str">
        <f t="shared" ca="1" si="84"/>
        <v/>
      </c>
      <c r="AR218" s="4" t="str">
        <f t="shared" ca="1" si="84"/>
        <v/>
      </c>
      <c r="AS218" s="4" t="str">
        <f t="shared" ca="1" si="84"/>
        <v/>
      </c>
      <c r="AT218" s="4" t="str">
        <f t="shared" ca="1" si="84"/>
        <v/>
      </c>
      <c r="AU218" s="4" t="str">
        <f t="shared" ca="1" si="84"/>
        <v/>
      </c>
      <c r="AV218" s="4" t="str">
        <f t="shared" ca="1" si="84"/>
        <v/>
      </c>
      <c r="AW218" s="4" t="str">
        <f t="shared" ca="1" si="84"/>
        <v/>
      </c>
      <c r="AX218" s="4" t="str">
        <f t="shared" ca="1" si="84"/>
        <v/>
      </c>
      <c r="AY218" s="4" t="str">
        <f t="shared" ca="1" si="84"/>
        <v/>
      </c>
      <c r="AZ218" s="4" t="str">
        <f t="shared" ca="1" si="84"/>
        <v/>
      </c>
      <c r="BA218" s="4" t="str">
        <f t="shared" si="69"/>
        <v/>
      </c>
    </row>
    <row r="219" spans="1:53">
      <c r="A219">
        <v>155</v>
      </c>
      <c r="C219" s="4" t="str">
        <f t="shared" ca="1" si="80"/>
        <v/>
      </c>
      <c r="D219" s="4" t="str">
        <f t="shared" ca="1" si="80"/>
        <v/>
      </c>
      <c r="E219" s="4" t="str">
        <f t="shared" ca="1" si="80"/>
        <v/>
      </c>
      <c r="F219" s="4" t="str">
        <f t="shared" ca="1" si="80"/>
        <v/>
      </c>
      <c r="G219" s="4" t="str">
        <f t="shared" ca="1" si="80"/>
        <v/>
      </c>
      <c r="H219" s="4" t="str">
        <f t="shared" ca="1" si="80"/>
        <v/>
      </c>
      <c r="I219" s="4" t="str">
        <f t="shared" ca="1" si="80"/>
        <v/>
      </c>
      <c r="J219" s="4" t="str">
        <f t="shared" ca="1" si="80"/>
        <v/>
      </c>
      <c r="K219" s="4" t="str">
        <f t="shared" ca="1" si="80"/>
        <v/>
      </c>
      <c r="L219" s="4" t="str">
        <f t="shared" ca="1" si="80"/>
        <v/>
      </c>
      <c r="M219" s="4" t="str">
        <f t="shared" ca="1" si="81"/>
        <v/>
      </c>
      <c r="N219" s="4" t="str">
        <f t="shared" ca="1" si="81"/>
        <v/>
      </c>
      <c r="O219" s="4" t="str">
        <f t="shared" ca="1" si="81"/>
        <v/>
      </c>
      <c r="P219" s="4" t="str">
        <f t="shared" ca="1" si="81"/>
        <v/>
      </c>
      <c r="Q219" s="4" t="str">
        <f t="shared" ca="1" si="81"/>
        <v/>
      </c>
      <c r="R219" s="4" t="str">
        <f t="shared" ca="1" si="81"/>
        <v/>
      </c>
      <c r="S219" s="4" t="str">
        <f t="shared" ca="1" si="81"/>
        <v/>
      </c>
      <c r="T219" s="4" t="str">
        <f t="shared" ca="1" si="81"/>
        <v/>
      </c>
      <c r="U219" s="4" t="str">
        <f t="shared" ca="1" si="81"/>
        <v/>
      </c>
      <c r="V219" s="4" t="str">
        <f t="shared" ca="1" si="81"/>
        <v/>
      </c>
      <c r="W219" s="4" t="str">
        <f t="shared" ca="1" si="82"/>
        <v/>
      </c>
      <c r="X219" s="4" t="str">
        <f t="shared" ca="1" si="82"/>
        <v/>
      </c>
      <c r="Y219" s="4" t="str">
        <f t="shared" ca="1" si="82"/>
        <v/>
      </c>
      <c r="Z219" s="4" t="str">
        <f t="shared" ca="1" si="82"/>
        <v/>
      </c>
      <c r="AA219" s="4" t="str">
        <f t="shared" ca="1" si="82"/>
        <v/>
      </c>
      <c r="AB219" s="4" t="str">
        <f t="shared" ca="1" si="82"/>
        <v/>
      </c>
      <c r="AC219" s="4" t="str">
        <f t="shared" ca="1" si="82"/>
        <v/>
      </c>
      <c r="AD219" s="4" t="str">
        <f t="shared" ca="1" si="82"/>
        <v/>
      </c>
      <c r="AE219" s="4" t="str">
        <f t="shared" ca="1" si="82"/>
        <v/>
      </c>
      <c r="AF219" s="4" t="str">
        <f t="shared" ca="1" si="82"/>
        <v/>
      </c>
      <c r="AG219" s="4" t="str">
        <f t="shared" ca="1" si="83"/>
        <v/>
      </c>
      <c r="AH219" s="4" t="str">
        <f t="shared" ca="1" si="83"/>
        <v/>
      </c>
      <c r="AI219" s="4" t="str">
        <f t="shared" ca="1" si="83"/>
        <v/>
      </c>
      <c r="AJ219" s="4" t="str">
        <f t="shared" ca="1" si="83"/>
        <v/>
      </c>
      <c r="AK219" s="4" t="str">
        <f t="shared" ca="1" si="83"/>
        <v/>
      </c>
      <c r="AL219" s="4" t="str">
        <f t="shared" ca="1" si="83"/>
        <v/>
      </c>
      <c r="AM219" s="4" t="str">
        <f t="shared" ca="1" si="83"/>
        <v/>
      </c>
      <c r="AN219" s="4" t="str">
        <f t="shared" ca="1" si="83"/>
        <v/>
      </c>
      <c r="AO219" s="4" t="str">
        <f t="shared" ca="1" si="83"/>
        <v/>
      </c>
      <c r="AP219" s="4" t="str">
        <f t="shared" ca="1" si="83"/>
        <v/>
      </c>
      <c r="AQ219" s="4" t="str">
        <f t="shared" ca="1" si="84"/>
        <v/>
      </c>
      <c r="AR219" s="4" t="str">
        <f t="shared" ca="1" si="84"/>
        <v/>
      </c>
      <c r="AS219" s="4" t="str">
        <f t="shared" ca="1" si="84"/>
        <v/>
      </c>
      <c r="AT219" s="4" t="str">
        <f t="shared" ca="1" si="84"/>
        <v/>
      </c>
      <c r="AU219" s="4" t="str">
        <f t="shared" ca="1" si="84"/>
        <v/>
      </c>
      <c r="AV219" s="4" t="str">
        <f t="shared" ca="1" si="84"/>
        <v/>
      </c>
      <c r="AW219" s="4" t="str">
        <f t="shared" ca="1" si="84"/>
        <v/>
      </c>
      <c r="AX219" s="4" t="str">
        <f t="shared" ca="1" si="84"/>
        <v/>
      </c>
      <c r="AY219" s="4" t="str">
        <f t="shared" ca="1" si="84"/>
        <v/>
      </c>
      <c r="AZ219" s="4" t="str">
        <f t="shared" ca="1" si="84"/>
        <v/>
      </c>
      <c r="BA219" s="4" t="str">
        <f t="shared" si="69"/>
        <v/>
      </c>
    </row>
    <row r="220" spans="1:53">
      <c r="A220">
        <v>156</v>
      </c>
      <c r="C220" s="4" t="str">
        <f t="shared" ca="1" si="80"/>
        <v/>
      </c>
      <c r="D220" s="4" t="str">
        <f t="shared" ca="1" si="80"/>
        <v/>
      </c>
      <c r="E220" s="4" t="str">
        <f t="shared" ca="1" si="80"/>
        <v/>
      </c>
      <c r="F220" s="4" t="str">
        <f t="shared" ca="1" si="80"/>
        <v/>
      </c>
      <c r="G220" s="4" t="str">
        <f t="shared" ca="1" si="80"/>
        <v/>
      </c>
      <c r="H220" s="4" t="str">
        <f t="shared" ca="1" si="80"/>
        <v/>
      </c>
      <c r="I220" s="4" t="str">
        <f t="shared" ca="1" si="80"/>
        <v/>
      </c>
      <c r="J220" s="4" t="str">
        <f t="shared" ca="1" si="80"/>
        <v/>
      </c>
      <c r="K220" s="4" t="str">
        <f t="shared" ca="1" si="80"/>
        <v/>
      </c>
      <c r="L220" s="4" t="str">
        <f t="shared" ca="1" si="80"/>
        <v/>
      </c>
      <c r="M220" s="4" t="str">
        <f t="shared" ca="1" si="81"/>
        <v/>
      </c>
      <c r="N220" s="4" t="str">
        <f t="shared" ca="1" si="81"/>
        <v/>
      </c>
      <c r="O220" s="4" t="str">
        <f t="shared" ca="1" si="81"/>
        <v/>
      </c>
      <c r="P220" s="4" t="str">
        <f t="shared" ca="1" si="81"/>
        <v/>
      </c>
      <c r="Q220" s="4" t="str">
        <f t="shared" ca="1" si="81"/>
        <v/>
      </c>
      <c r="R220" s="4" t="str">
        <f t="shared" ca="1" si="81"/>
        <v/>
      </c>
      <c r="S220" s="4" t="str">
        <f t="shared" ca="1" si="81"/>
        <v/>
      </c>
      <c r="T220" s="4" t="str">
        <f t="shared" ca="1" si="81"/>
        <v/>
      </c>
      <c r="U220" s="4" t="str">
        <f t="shared" ca="1" si="81"/>
        <v/>
      </c>
      <c r="V220" s="4" t="str">
        <f t="shared" ca="1" si="81"/>
        <v/>
      </c>
      <c r="W220" s="4" t="str">
        <f t="shared" ca="1" si="82"/>
        <v/>
      </c>
      <c r="X220" s="4" t="str">
        <f t="shared" ca="1" si="82"/>
        <v/>
      </c>
      <c r="Y220" s="4" t="str">
        <f t="shared" ca="1" si="82"/>
        <v/>
      </c>
      <c r="Z220" s="4" t="str">
        <f t="shared" ca="1" si="82"/>
        <v/>
      </c>
      <c r="AA220" s="4" t="str">
        <f t="shared" ca="1" si="82"/>
        <v/>
      </c>
      <c r="AB220" s="4" t="str">
        <f t="shared" ca="1" si="82"/>
        <v/>
      </c>
      <c r="AC220" s="4" t="str">
        <f t="shared" ca="1" si="82"/>
        <v/>
      </c>
      <c r="AD220" s="4" t="str">
        <f t="shared" ca="1" si="82"/>
        <v/>
      </c>
      <c r="AE220" s="4" t="str">
        <f t="shared" ca="1" si="82"/>
        <v/>
      </c>
      <c r="AF220" s="4" t="str">
        <f t="shared" ca="1" si="82"/>
        <v/>
      </c>
      <c r="AG220" s="4" t="str">
        <f t="shared" ca="1" si="83"/>
        <v/>
      </c>
      <c r="AH220" s="4" t="str">
        <f t="shared" ca="1" si="83"/>
        <v/>
      </c>
      <c r="AI220" s="4" t="str">
        <f t="shared" ca="1" si="83"/>
        <v/>
      </c>
      <c r="AJ220" s="4" t="str">
        <f t="shared" ca="1" si="83"/>
        <v/>
      </c>
      <c r="AK220" s="4" t="str">
        <f t="shared" ca="1" si="83"/>
        <v/>
      </c>
      <c r="AL220" s="4" t="str">
        <f t="shared" ca="1" si="83"/>
        <v/>
      </c>
      <c r="AM220" s="4" t="str">
        <f t="shared" ca="1" si="83"/>
        <v/>
      </c>
      <c r="AN220" s="4" t="str">
        <f t="shared" ca="1" si="83"/>
        <v/>
      </c>
      <c r="AO220" s="4" t="str">
        <f t="shared" ca="1" si="83"/>
        <v/>
      </c>
      <c r="AP220" s="4" t="str">
        <f t="shared" ca="1" si="83"/>
        <v/>
      </c>
      <c r="AQ220" s="4" t="str">
        <f t="shared" ca="1" si="84"/>
        <v/>
      </c>
      <c r="AR220" s="4" t="str">
        <f t="shared" ca="1" si="84"/>
        <v/>
      </c>
      <c r="AS220" s="4" t="str">
        <f t="shared" ca="1" si="84"/>
        <v/>
      </c>
      <c r="AT220" s="4" t="str">
        <f t="shared" ca="1" si="84"/>
        <v/>
      </c>
      <c r="AU220" s="4" t="str">
        <f t="shared" ca="1" si="84"/>
        <v/>
      </c>
      <c r="AV220" s="4" t="str">
        <f t="shared" ca="1" si="84"/>
        <v/>
      </c>
      <c r="AW220" s="4" t="str">
        <f t="shared" ca="1" si="84"/>
        <v/>
      </c>
      <c r="AX220" s="4" t="str">
        <f t="shared" ca="1" si="84"/>
        <v/>
      </c>
      <c r="AY220" s="4" t="str">
        <f t="shared" ca="1" si="84"/>
        <v/>
      </c>
      <c r="AZ220" s="4" t="str">
        <f t="shared" ca="1" si="84"/>
        <v/>
      </c>
      <c r="BA220" s="4" t="str">
        <f t="shared" si="69"/>
        <v/>
      </c>
    </row>
    <row r="221" spans="1:53">
      <c r="A221">
        <v>157</v>
      </c>
      <c r="C221" s="4" t="str">
        <f t="shared" ca="1" si="80"/>
        <v/>
      </c>
      <c r="D221" s="4" t="str">
        <f t="shared" ca="1" si="80"/>
        <v/>
      </c>
      <c r="E221" s="4" t="str">
        <f t="shared" ca="1" si="80"/>
        <v/>
      </c>
      <c r="F221" s="4" t="str">
        <f t="shared" ca="1" si="80"/>
        <v/>
      </c>
      <c r="G221" s="4" t="str">
        <f t="shared" ca="1" si="80"/>
        <v/>
      </c>
      <c r="H221" s="4" t="str">
        <f t="shared" ca="1" si="80"/>
        <v/>
      </c>
      <c r="I221" s="4" t="str">
        <f t="shared" ca="1" si="80"/>
        <v/>
      </c>
      <c r="J221" s="4" t="str">
        <f t="shared" ca="1" si="80"/>
        <v/>
      </c>
      <c r="K221" s="4" t="str">
        <f t="shared" ca="1" si="80"/>
        <v/>
      </c>
      <c r="L221" s="4" t="str">
        <f t="shared" ca="1" si="80"/>
        <v/>
      </c>
      <c r="M221" s="4" t="str">
        <f t="shared" ca="1" si="81"/>
        <v/>
      </c>
      <c r="N221" s="4" t="str">
        <f t="shared" ca="1" si="81"/>
        <v/>
      </c>
      <c r="O221" s="4" t="str">
        <f t="shared" ca="1" si="81"/>
        <v/>
      </c>
      <c r="P221" s="4" t="str">
        <f t="shared" ca="1" si="81"/>
        <v/>
      </c>
      <c r="Q221" s="4" t="str">
        <f t="shared" ca="1" si="81"/>
        <v/>
      </c>
      <c r="R221" s="4" t="str">
        <f t="shared" ca="1" si="81"/>
        <v/>
      </c>
      <c r="S221" s="4" t="str">
        <f t="shared" ca="1" si="81"/>
        <v/>
      </c>
      <c r="T221" s="4" t="str">
        <f t="shared" ca="1" si="81"/>
        <v/>
      </c>
      <c r="U221" s="4" t="str">
        <f t="shared" ca="1" si="81"/>
        <v/>
      </c>
      <c r="V221" s="4" t="str">
        <f t="shared" ca="1" si="81"/>
        <v/>
      </c>
      <c r="W221" s="4" t="str">
        <f t="shared" ca="1" si="82"/>
        <v/>
      </c>
      <c r="X221" s="4" t="str">
        <f t="shared" ca="1" si="82"/>
        <v/>
      </c>
      <c r="Y221" s="4" t="str">
        <f t="shared" ca="1" si="82"/>
        <v/>
      </c>
      <c r="Z221" s="4" t="str">
        <f t="shared" ca="1" si="82"/>
        <v/>
      </c>
      <c r="AA221" s="4" t="str">
        <f t="shared" ca="1" si="82"/>
        <v/>
      </c>
      <c r="AB221" s="4" t="str">
        <f t="shared" ca="1" si="82"/>
        <v/>
      </c>
      <c r="AC221" s="4" t="str">
        <f t="shared" ca="1" si="82"/>
        <v/>
      </c>
      <c r="AD221" s="4" t="str">
        <f t="shared" ca="1" si="82"/>
        <v/>
      </c>
      <c r="AE221" s="4" t="str">
        <f t="shared" ca="1" si="82"/>
        <v/>
      </c>
      <c r="AF221" s="4" t="str">
        <f t="shared" ca="1" si="82"/>
        <v/>
      </c>
      <c r="AG221" s="4" t="str">
        <f t="shared" ca="1" si="83"/>
        <v/>
      </c>
      <c r="AH221" s="4" t="str">
        <f t="shared" ca="1" si="83"/>
        <v/>
      </c>
      <c r="AI221" s="4" t="str">
        <f t="shared" ca="1" si="83"/>
        <v/>
      </c>
      <c r="AJ221" s="4" t="str">
        <f t="shared" ca="1" si="83"/>
        <v/>
      </c>
      <c r="AK221" s="4" t="str">
        <f t="shared" ca="1" si="83"/>
        <v/>
      </c>
      <c r="AL221" s="4" t="str">
        <f t="shared" ca="1" si="83"/>
        <v/>
      </c>
      <c r="AM221" s="4" t="str">
        <f t="shared" ca="1" si="83"/>
        <v/>
      </c>
      <c r="AN221" s="4" t="str">
        <f t="shared" ca="1" si="83"/>
        <v/>
      </c>
      <c r="AO221" s="4" t="str">
        <f t="shared" ca="1" si="83"/>
        <v/>
      </c>
      <c r="AP221" s="4" t="str">
        <f t="shared" ca="1" si="83"/>
        <v/>
      </c>
      <c r="AQ221" s="4" t="str">
        <f t="shared" ca="1" si="84"/>
        <v/>
      </c>
      <c r="AR221" s="4" t="str">
        <f t="shared" ca="1" si="84"/>
        <v/>
      </c>
      <c r="AS221" s="4" t="str">
        <f t="shared" ca="1" si="84"/>
        <v/>
      </c>
      <c r="AT221" s="4" t="str">
        <f t="shared" ca="1" si="84"/>
        <v/>
      </c>
      <c r="AU221" s="4" t="str">
        <f t="shared" ca="1" si="84"/>
        <v/>
      </c>
      <c r="AV221" s="4" t="str">
        <f t="shared" ca="1" si="84"/>
        <v/>
      </c>
      <c r="AW221" s="4" t="str">
        <f t="shared" ca="1" si="84"/>
        <v/>
      </c>
      <c r="AX221" s="4" t="str">
        <f t="shared" ca="1" si="84"/>
        <v/>
      </c>
      <c r="AY221" s="4" t="str">
        <f t="shared" ca="1" si="84"/>
        <v/>
      </c>
      <c r="AZ221" s="4" t="str">
        <f t="shared" ca="1" si="84"/>
        <v/>
      </c>
      <c r="BA221" s="4" t="str">
        <f t="shared" si="69"/>
        <v/>
      </c>
    </row>
    <row r="222" spans="1:53">
      <c r="A222">
        <v>158</v>
      </c>
      <c r="C222" s="4" t="str">
        <f t="shared" ca="1" si="80"/>
        <v/>
      </c>
      <c r="D222" s="4" t="str">
        <f t="shared" ca="1" si="80"/>
        <v/>
      </c>
      <c r="E222" s="4" t="str">
        <f t="shared" ca="1" si="80"/>
        <v/>
      </c>
      <c r="F222" s="4" t="str">
        <f t="shared" ca="1" si="80"/>
        <v/>
      </c>
      <c r="G222" s="4" t="str">
        <f t="shared" ca="1" si="80"/>
        <v/>
      </c>
      <c r="H222" s="4" t="str">
        <f t="shared" ca="1" si="80"/>
        <v/>
      </c>
      <c r="I222" s="4" t="str">
        <f t="shared" ca="1" si="80"/>
        <v/>
      </c>
      <c r="J222" s="4" t="str">
        <f t="shared" ca="1" si="80"/>
        <v/>
      </c>
      <c r="K222" s="4" t="str">
        <f t="shared" ca="1" si="80"/>
        <v/>
      </c>
      <c r="L222" s="4" t="str">
        <f t="shared" ca="1" si="80"/>
        <v/>
      </c>
      <c r="M222" s="4" t="str">
        <f t="shared" ca="1" si="81"/>
        <v/>
      </c>
      <c r="N222" s="4" t="str">
        <f t="shared" ca="1" si="81"/>
        <v/>
      </c>
      <c r="O222" s="4" t="str">
        <f t="shared" ca="1" si="81"/>
        <v/>
      </c>
      <c r="P222" s="4" t="str">
        <f t="shared" ca="1" si="81"/>
        <v/>
      </c>
      <c r="Q222" s="4" t="str">
        <f t="shared" ca="1" si="81"/>
        <v/>
      </c>
      <c r="R222" s="4" t="str">
        <f t="shared" ca="1" si="81"/>
        <v/>
      </c>
      <c r="S222" s="4" t="str">
        <f t="shared" ca="1" si="81"/>
        <v/>
      </c>
      <c r="T222" s="4" t="str">
        <f t="shared" ca="1" si="81"/>
        <v/>
      </c>
      <c r="U222" s="4" t="str">
        <f t="shared" ca="1" si="81"/>
        <v/>
      </c>
      <c r="V222" s="4" t="str">
        <f t="shared" ca="1" si="81"/>
        <v/>
      </c>
      <c r="W222" s="4" t="str">
        <f t="shared" ca="1" si="82"/>
        <v/>
      </c>
      <c r="X222" s="4" t="str">
        <f t="shared" ca="1" si="82"/>
        <v/>
      </c>
      <c r="Y222" s="4" t="str">
        <f t="shared" ca="1" si="82"/>
        <v/>
      </c>
      <c r="Z222" s="4" t="str">
        <f t="shared" ca="1" si="82"/>
        <v/>
      </c>
      <c r="AA222" s="4" t="str">
        <f t="shared" ca="1" si="82"/>
        <v/>
      </c>
      <c r="AB222" s="4" t="str">
        <f t="shared" ca="1" si="82"/>
        <v/>
      </c>
      <c r="AC222" s="4" t="str">
        <f t="shared" ca="1" si="82"/>
        <v/>
      </c>
      <c r="AD222" s="4" t="str">
        <f t="shared" ca="1" si="82"/>
        <v/>
      </c>
      <c r="AE222" s="4" t="str">
        <f t="shared" ca="1" si="82"/>
        <v/>
      </c>
      <c r="AF222" s="4" t="str">
        <f t="shared" ca="1" si="82"/>
        <v/>
      </c>
      <c r="AG222" s="4" t="str">
        <f t="shared" ca="1" si="83"/>
        <v/>
      </c>
      <c r="AH222" s="4" t="str">
        <f t="shared" ca="1" si="83"/>
        <v/>
      </c>
      <c r="AI222" s="4" t="str">
        <f t="shared" ca="1" si="83"/>
        <v/>
      </c>
      <c r="AJ222" s="4" t="str">
        <f t="shared" ca="1" si="83"/>
        <v/>
      </c>
      <c r="AK222" s="4" t="str">
        <f t="shared" ca="1" si="83"/>
        <v/>
      </c>
      <c r="AL222" s="4" t="str">
        <f t="shared" ca="1" si="83"/>
        <v/>
      </c>
      <c r="AM222" s="4" t="str">
        <f t="shared" ca="1" si="83"/>
        <v/>
      </c>
      <c r="AN222" s="4" t="str">
        <f t="shared" ca="1" si="83"/>
        <v/>
      </c>
      <c r="AO222" s="4" t="str">
        <f t="shared" ca="1" si="83"/>
        <v/>
      </c>
      <c r="AP222" s="4" t="str">
        <f t="shared" ca="1" si="83"/>
        <v/>
      </c>
      <c r="AQ222" s="4" t="str">
        <f t="shared" ca="1" si="84"/>
        <v/>
      </c>
      <c r="AR222" s="4" t="str">
        <f t="shared" ca="1" si="84"/>
        <v/>
      </c>
      <c r="AS222" s="4" t="str">
        <f t="shared" ca="1" si="84"/>
        <v/>
      </c>
      <c r="AT222" s="4" t="str">
        <f t="shared" ca="1" si="84"/>
        <v/>
      </c>
      <c r="AU222" s="4" t="str">
        <f t="shared" ca="1" si="84"/>
        <v/>
      </c>
      <c r="AV222" s="4" t="str">
        <f t="shared" ca="1" si="84"/>
        <v/>
      </c>
      <c r="AW222" s="4" t="str">
        <f t="shared" ca="1" si="84"/>
        <v/>
      </c>
      <c r="AX222" s="4" t="str">
        <f t="shared" ca="1" si="84"/>
        <v/>
      </c>
      <c r="AY222" s="4" t="str">
        <f t="shared" ca="1" si="84"/>
        <v/>
      </c>
      <c r="AZ222" s="4" t="str">
        <f t="shared" ca="1" si="84"/>
        <v/>
      </c>
      <c r="BA222" s="4" t="str">
        <f t="shared" si="69"/>
        <v/>
      </c>
    </row>
    <row r="223" spans="1:53">
      <c r="A223">
        <v>159</v>
      </c>
      <c r="C223" s="4" t="str">
        <f t="shared" ca="1" si="80"/>
        <v/>
      </c>
      <c r="D223" s="4" t="str">
        <f t="shared" ca="1" si="80"/>
        <v/>
      </c>
      <c r="E223" s="4" t="str">
        <f t="shared" ca="1" si="80"/>
        <v/>
      </c>
      <c r="F223" s="4" t="str">
        <f t="shared" ca="1" si="80"/>
        <v/>
      </c>
      <c r="G223" s="4" t="str">
        <f t="shared" ca="1" si="80"/>
        <v/>
      </c>
      <c r="H223" s="4" t="str">
        <f t="shared" ca="1" si="80"/>
        <v/>
      </c>
      <c r="I223" s="4" t="str">
        <f t="shared" ca="1" si="80"/>
        <v/>
      </c>
      <c r="J223" s="4" t="str">
        <f t="shared" ca="1" si="80"/>
        <v/>
      </c>
      <c r="K223" s="4" t="str">
        <f t="shared" ca="1" si="80"/>
        <v/>
      </c>
      <c r="L223" s="4" t="str">
        <f t="shared" ca="1" si="80"/>
        <v/>
      </c>
      <c r="M223" s="4" t="str">
        <f t="shared" ca="1" si="81"/>
        <v/>
      </c>
      <c r="N223" s="4" t="str">
        <f t="shared" ca="1" si="81"/>
        <v/>
      </c>
      <c r="O223" s="4" t="str">
        <f t="shared" ca="1" si="81"/>
        <v/>
      </c>
      <c r="P223" s="4" t="str">
        <f t="shared" ca="1" si="81"/>
        <v/>
      </c>
      <c r="Q223" s="4" t="str">
        <f t="shared" ca="1" si="81"/>
        <v/>
      </c>
      <c r="R223" s="4" t="str">
        <f t="shared" ca="1" si="81"/>
        <v/>
      </c>
      <c r="S223" s="4" t="str">
        <f t="shared" ca="1" si="81"/>
        <v/>
      </c>
      <c r="T223" s="4" t="str">
        <f t="shared" ca="1" si="81"/>
        <v/>
      </c>
      <c r="U223" s="4" t="str">
        <f t="shared" ca="1" si="81"/>
        <v/>
      </c>
      <c r="V223" s="4" t="str">
        <f t="shared" ca="1" si="81"/>
        <v/>
      </c>
      <c r="W223" s="4" t="str">
        <f t="shared" ca="1" si="82"/>
        <v/>
      </c>
      <c r="X223" s="4" t="str">
        <f t="shared" ca="1" si="82"/>
        <v/>
      </c>
      <c r="Y223" s="4" t="str">
        <f t="shared" ca="1" si="82"/>
        <v/>
      </c>
      <c r="Z223" s="4" t="str">
        <f t="shared" ca="1" si="82"/>
        <v/>
      </c>
      <c r="AA223" s="4" t="str">
        <f t="shared" ca="1" si="82"/>
        <v/>
      </c>
      <c r="AB223" s="4" t="str">
        <f t="shared" ca="1" si="82"/>
        <v/>
      </c>
      <c r="AC223" s="4" t="str">
        <f t="shared" ca="1" si="82"/>
        <v/>
      </c>
      <c r="AD223" s="4" t="str">
        <f t="shared" ca="1" si="82"/>
        <v/>
      </c>
      <c r="AE223" s="4" t="str">
        <f t="shared" ca="1" si="82"/>
        <v/>
      </c>
      <c r="AF223" s="4" t="str">
        <f t="shared" ca="1" si="82"/>
        <v/>
      </c>
      <c r="AG223" s="4" t="str">
        <f t="shared" ca="1" si="83"/>
        <v/>
      </c>
      <c r="AH223" s="4" t="str">
        <f t="shared" ca="1" si="83"/>
        <v/>
      </c>
      <c r="AI223" s="4" t="str">
        <f t="shared" ca="1" si="83"/>
        <v/>
      </c>
      <c r="AJ223" s="4" t="str">
        <f t="shared" ca="1" si="83"/>
        <v/>
      </c>
      <c r="AK223" s="4" t="str">
        <f t="shared" ca="1" si="83"/>
        <v/>
      </c>
      <c r="AL223" s="4" t="str">
        <f t="shared" ca="1" si="83"/>
        <v/>
      </c>
      <c r="AM223" s="4" t="str">
        <f t="shared" ca="1" si="83"/>
        <v/>
      </c>
      <c r="AN223" s="4" t="str">
        <f t="shared" ca="1" si="83"/>
        <v/>
      </c>
      <c r="AO223" s="4" t="str">
        <f t="shared" ca="1" si="83"/>
        <v/>
      </c>
      <c r="AP223" s="4" t="str">
        <f t="shared" ca="1" si="83"/>
        <v/>
      </c>
      <c r="AQ223" s="4" t="str">
        <f t="shared" ca="1" si="84"/>
        <v/>
      </c>
      <c r="AR223" s="4" t="str">
        <f t="shared" ca="1" si="84"/>
        <v/>
      </c>
      <c r="AS223" s="4" t="str">
        <f t="shared" ca="1" si="84"/>
        <v/>
      </c>
      <c r="AT223" s="4" t="str">
        <f t="shared" ca="1" si="84"/>
        <v/>
      </c>
      <c r="AU223" s="4" t="str">
        <f t="shared" ca="1" si="84"/>
        <v/>
      </c>
      <c r="AV223" s="4" t="str">
        <f t="shared" ca="1" si="84"/>
        <v/>
      </c>
      <c r="AW223" s="4" t="str">
        <f t="shared" ca="1" si="84"/>
        <v/>
      </c>
      <c r="AX223" s="4" t="str">
        <f t="shared" ca="1" si="84"/>
        <v/>
      </c>
      <c r="AY223" s="4" t="str">
        <f t="shared" ca="1" si="84"/>
        <v/>
      </c>
      <c r="AZ223" s="4" t="str">
        <f t="shared" ca="1" si="84"/>
        <v/>
      </c>
      <c r="BA223" s="4" t="str">
        <f t="shared" si="69"/>
        <v/>
      </c>
    </row>
    <row r="224" spans="1:53">
      <c r="A224">
        <v>160</v>
      </c>
      <c r="C224" s="4" t="str">
        <f t="shared" ca="1" si="80"/>
        <v/>
      </c>
      <c r="D224" s="4" t="str">
        <f t="shared" ca="1" si="80"/>
        <v/>
      </c>
      <c r="E224" s="4" t="str">
        <f t="shared" ca="1" si="80"/>
        <v/>
      </c>
      <c r="F224" s="4" t="str">
        <f t="shared" ca="1" si="80"/>
        <v/>
      </c>
      <c r="G224" s="4" t="str">
        <f t="shared" ca="1" si="80"/>
        <v/>
      </c>
      <c r="H224" s="4" t="str">
        <f t="shared" ca="1" si="80"/>
        <v/>
      </c>
      <c r="I224" s="4" t="str">
        <f t="shared" ca="1" si="80"/>
        <v/>
      </c>
      <c r="J224" s="4" t="str">
        <f t="shared" ca="1" si="80"/>
        <v/>
      </c>
      <c r="K224" s="4" t="str">
        <f t="shared" ca="1" si="80"/>
        <v/>
      </c>
      <c r="L224" s="4" t="str">
        <f t="shared" ca="1" si="80"/>
        <v/>
      </c>
      <c r="M224" s="4" t="str">
        <f t="shared" ca="1" si="81"/>
        <v/>
      </c>
      <c r="N224" s="4" t="str">
        <f t="shared" ca="1" si="81"/>
        <v/>
      </c>
      <c r="O224" s="4" t="str">
        <f t="shared" ca="1" si="81"/>
        <v/>
      </c>
      <c r="P224" s="4" t="str">
        <f t="shared" ca="1" si="81"/>
        <v/>
      </c>
      <c r="Q224" s="4" t="str">
        <f t="shared" ca="1" si="81"/>
        <v/>
      </c>
      <c r="R224" s="4" t="str">
        <f t="shared" ca="1" si="81"/>
        <v/>
      </c>
      <c r="S224" s="4" t="str">
        <f t="shared" ca="1" si="81"/>
        <v/>
      </c>
      <c r="T224" s="4" t="str">
        <f t="shared" ca="1" si="81"/>
        <v/>
      </c>
      <c r="U224" s="4" t="str">
        <f t="shared" ca="1" si="81"/>
        <v/>
      </c>
      <c r="V224" s="4" t="str">
        <f t="shared" ca="1" si="81"/>
        <v/>
      </c>
      <c r="W224" s="4" t="str">
        <f t="shared" ca="1" si="82"/>
        <v/>
      </c>
      <c r="X224" s="4" t="str">
        <f t="shared" ca="1" si="82"/>
        <v/>
      </c>
      <c r="Y224" s="4" t="str">
        <f t="shared" ca="1" si="82"/>
        <v/>
      </c>
      <c r="Z224" s="4" t="str">
        <f t="shared" ca="1" si="82"/>
        <v/>
      </c>
      <c r="AA224" s="4" t="str">
        <f t="shared" ca="1" si="82"/>
        <v/>
      </c>
      <c r="AB224" s="4" t="str">
        <f t="shared" ca="1" si="82"/>
        <v/>
      </c>
      <c r="AC224" s="4" t="str">
        <f t="shared" ca="1" si="82"/>
        <v/>
      </c>
      <c r="AD224" s="4" t="str">
        <f t="shared" ca="1" si="82"/>
        <v/>
      </c>
      <c r="AE224" s="4" t="str">
        <f t="shared" ca="1" si="82"/>
        <v/>
      </c>
      <c r="AF224" s="4" t="str">
        <f t="shared" ca="1" si="82"/>
        <v/>
      </c>
      <c r="AG224" s="4" t="str">
        <f t="shared" ca="1" si="83"/>
        <v/>
      </c>
      <c r="AH224" s="4" t="str">
        <f t="shared" ca="1" si="83"/>
        <v/>
      </c>
      <c r="AI224" s="4" t="str">
        <f t="shared" ca="1" si="83"/>
        <v/>
      </c>
      <c r="AJ224" s="4" t="str">
        <f t="shared" ca="1" si="83"/>
        <v/>
      </c>
      <c r="AK224" s="4" t="str">
        <f t="shared" ca="1" si="83"/>
        <v/>
      </c>
      <c r="AL224" s="4" t="str">
        <f t="shared" ca="1" si="83"/>
        <v/>
      </c>
      <c r="AM224" s="4" t="str">
        <f t="shared" ca="1" si="83"/>
        <v/>
      </c>
      <c r="AN224" s="4" t="str">
        <f t="shared" ca="1" si="83"/>
        <v/>
      </c>
      <c r="AO224" s="4" t="str">
        <f t="shared" ca="1" si="83"/>
        <v/>
      </c>
      <c r="AP224" s="4" t="str">
        <f t="shared" ca="1" si="83"/>
        <v/>
      </c>
      <c r="AQ224" s="4" t="str">
        <f t="shared" ca="1" si="84"/>
        <v/>
      </c>
      <c r="AR224" s="4" t="str">
        <f t="shared" ca="1" si="84"/>
        <v/>
      </c>
      <c r="AS224" s="4" t="str">
        <f t="shared" ca="1" si="84"/>
        <v/>
      </c>
      <c r="AT224" s="4" t="str">
        <f t="shared" ca="1" si="84"/>
        <v/>
      </c>
      <c r="AU224" s="4" t="str">
        <f t="shared" ca="1" si="84"/>
        <v/>
      </c>
      <c r="AV224" s="4" t="str">
        <f t="shared" ca="1" si="84"/>
        <v/>
      </c>
      <c r="AW224" s="4" t="str">
        <f t="shared" ca="1" si="84"/>
        <v/>
      </c>
      <c r="AX224" s="4" t="str">
        <f t="shared" ca="1" si="84"/>
        <v/>
      </c>
      <c r="AY224" s="4" t="str">
        <f t="shared" ca="1" si="84"/>
        <v/>
      </c>
      <c r="AZ224" s="4" t="str">
        <f t="shared" ca="1" si="84"/>
        <v/>
      </c>
      <c r="BA224" s="4" t="str">
        <f t="shared" si="69"/>
        <v/>
      </c>
    </row>
    <row r="225" spans="1:53">
      <c r="A225">
        <v>161</v>
      </c>
      <c r="C225" s="4" t="str">
        <f t="shared" ref="C225:L234" ca="1" si="85">IF(COLUMN()-2&lt;=$E$3,INDEX($B$10:$B$59,RANDBETWEEN(1,$E$3)),"")</f>
        <v/>
      </c>
      <c r="D225" s="4" t="str">
        <f t="shared" ca="1" si="85"/>
        <v/>
      </c>
      <c r="E225" s="4" t="str">
        <f t="shared" ca="1" si="85"/>
        <v/>
      </c>
      <c r="F225" s="4" t="str">
        <f t="shared" ca="1" si="85"/>
        <v/>
      </c>
      <c r="G225" s="4" t="str">
        <f t="shared" ca="1" si="85"/>
        <v/>
      </c>
      <c r="H225" s="4" t="str">
        <f t="shared" ca="1" si="85"/>
        <v/>
      </c>
      <c r="I225" s="4" t="str">
        <f t="shared" ca="1" si="85"/>
        <v/>
      </c>
      <c r="J225" s="4" t="str">
        <f t="shared" ca="1" si="85"/>
        <v/>
      </c>
      <c r="K225" s="4" t="str">
        <f t="shared" ca="1" si="85"/>
        <v/>
      </c>
      <c r="L225" s="4" t="str">
        <f t="shared" ca="1" si="85"/>
        <v/>
      </c>
      <c r="M225" s="4" t="str">
        <f t="shared" ref="M225:V234" ca="1" si="86">IF(COLUMN()-2&lt;=$E$3,INDEX($B$10:$B$59,RANDBETWEEN(1,$E$3)),"")</f>
        <v/>
      </c>
      <c r="N225" s="4" t="str">
        <f t="shared" ca="1" si="86"/>
        <v/>
      </c>
      <c r="O225" s="4" t="str">
        <f t="shared" ca="1" si="86"/>
        <v/>
      </c>
      <c r="P225" s="4" t="str">
        <f t="shared" ca="1" si="86"/>
        <v/>
      </c>
      <c r="Q225" s="4" t="str">
        <f t="shared" ca="1" si="86"/>
        <v/>
      </c>
      <c r="R225" s="4" t="str">
        <f t="shared" ca="1" si="86"/>
        <v/>
      </c>
      <c r="S225" s="4" t="str">
        <f t="shared" ca="1" si="86"/>
        <v/>
      </c>
      <c r="T225" s="4" t="str">
        <f t="shared" ca="1" si="86"/>
        <v/>
      </c>
      <c r="U225" s="4" t="str">
        <f t="shared" ca="1" si="86"/>
        <v/>
      </c>
      <c r="V225" s="4" t="str">
        <f t="shared" ca="1" si="86"/>
        <v/>
      </c>
      <c r="W225" s="4" t="str">
        <f t="shared" ref="W225:AF234" ca="1" si="87">IF(COLUMN()-2&lt;=$E$3,INDEX($B$10:$B$59,RANDBETWEEN(1,$E$3)),"")</f>
        <v/>
      </c>
      <c r="X225" s="4" t="str">
        <f t="shared" ca="1" si="87"/>
        <v/>
      </c>
      <c r="Y225" s="4" t="str">
        <f t="shared" ca="1" si="87"/>
        <v/>
      </c>
      <c r="Z225" s="4" t="str">
        <f t="shared" ca="1" si="87"/>
        <v/>
      </c>
      <c r="AA225" s="4" t="str">
        <f t="shared" ca="1" si="87"/>
        <v/>
      </c>
      <c r="AB225" s="4" t="str">
        <f t="shared" ca="1" si="87"/>
        <v/>
      </c>
      <c r="AC225" s="4" t="str">
        <f t="shared" ca="1" si="87"/>
        <v/>
      </c>
      <c r="AD225" s="4" t="str">
        <f t="shared" ca="1" si="87"/>
        <v/>
      </c>
      <c r="AE225" s="4" t="str">
        <f t="shared" ca="1" si="87"/>
        <v/>
      </c>
      <c r="AF225" s="4" t="str">
        <f t="shared" ca="1" si="87"/>
        <v/>
      </c>
      <c r="AG225" s="4" t="str">
        <f t="shared" ref="AG225:AP234" ca="1" si="88">IF(COLUMN()-2&lt;=$E$3,INDEX($B$10:$B$59,RANDBETWEEN(1,$E$3)),"")</f>
        <v/>
      </c>
      <c r="AH225" s="4" t="str">
        <f t="shared" ca="1" si="88"/>
        <v/>
      </c>
      <c r="AI225" s="4" t="str">
        <f t="shared" ca="1" si="88"/>
        <v/>
      </c>
      <c r="AJ225" s="4" t="str">
        <f t="shared" ca="1" si="88"/>
        <v/>
      </c>
      <c r="AK225" s="4" t="str">
        <f t="shared" ca="1" si="88"/>
        <v/>
      </c>
      <c r="AL225" s="4" t="str">
        <f t="shared" ca="1" si="88"/>
        <v/>
      </c>
      <c r="AM225" s="4" t="str">
        <f t="shared" ca="1" si="88"/>
        <v/>
      </c>
      <c r="AN225" s="4" t="str">
        <f t="shared" ca="1" si="88"/>
        <v/>
      </c>
      <c r="AO225" s="4" t="str">
        <f t="shared" ca="1" si="88"/>
        <v/>
      </c>
      <c r="AP225" s="4" t="str">
        <f t="shared" ca="1" si="88"/>
        <v/>
      </c>
      <c r="AQ225" s="4" t="str">
        <f t="shared" ref="AQ225:AZ234" ca="1" si="89">IF(COLUMN()-2&lt;=$E$3,INDEX($B$10:$B$59,RANDBETWEEN(1,$E$3)),"")</f>
        <v/>
      </c>
      <c r="AR225" s="4" t="str">
        <f t="shared" ca="1" si="89"/>
        <v/>
      </c>
      <c r="AS225" s="4" t="str">
        <f t="shared" ca="1" si="89"/>
        <v/>
      </c>
      <c r="AT225" s="4" t="str">
        <f t="shared" ca="1" si="89"/>
        <v/>
      </c>
      <c r="AU225" s="4" t="str">
        <f t="shared" ca="1" si="89"/>
        <v/>
      </c>
      <c r="AV225" s="4" t="str">
        <f t="shared" ca="1" si="89"/>
        <v/>
      </c>
      <c r="AW225" s="4" t="str">
        <f t="shared" ca="1" si="89"/>
        <v/>
      </c>
      <c r="AX225" s="4" t="str">
        <f t="shared" ca="1" si="89"/>
        <v/>
      </c>
      <c r="AY225" s="4" t="str">
        <f t="shared" ca="1" si="89"/>
        <v/>
      </c>
      <c r="AZ225" s="4" t="str">
        <f t="shared" ca="1" si="89"/>
        <v/>
      </c>
      <c r="BA225" s="4" t="str">
        <f t="shared" ref="BA225:BA256" si="90">IF($E$3=0,"",AVERAGE(C225:AZ225))</f>
        <v/>
      </c>
    </row>
    <row r="226" spans="1:53">
      <c r="A226">
        <v>162</v>
      </c>
      <c r="C226" s="4" t="str">
        <f t="shared" ca="1" si="85"/>
        <v/>
      </c>
      <c r="D226" s="4" t="str">
        <f t="shared" ca="1" si="85"/>
        <v/>
      </c>
      <c r="E226" s="4" t="str">
        <f t="shared" ca="1" si="85"/>
        <v/>
      </c>
      <c r="F226" s="4" t="str">
        <f t="shared" ca="1" si="85"/>
        <v/>
      </c>
      <c r="G226" s="4" t="str">
        <f t="shared" ca="1" si="85"/>
        <v/>
      </c>
      <c r="H226" s="4" t="str">
        <f t="shared" ca="1" si="85"/>
        <v/>
      </c>
      <c r="I226" s="4" t="str">
        <f t="shared" ca="1" si="85"/>
        <v/>
      </c>
      <c r="J226" s="4" t="str">
        <f t="shared" ca="1" si="85"/>
        <v/>
      </c>
      <c r="K226" s="4" t="str">
        <f t="shared" ca="1" si="85"/>
        <v/>
      </c>
      <c r="L226" s="4" t="str">
        <f t="shared" ca="1" si="85"/>
        <v/>
      </c>
      <c r="M226" s="4" t="str">
        <f t="shared" ca="1" si="86"/>
        <v/>
      </c>
      <c r="N226" s="4" t="str">
        <f t="shared" ca="1" si="86"/>
        <v/>
      </c>
      <c r="O226" s="4" t="str">
        <f t="shared" ca="1" si="86"/>
        <v/>
      </c>
      <c r="P226" s="4" t="str">
        <f t="shared" ca="1" si="86"/>
        <v/>
      </c>
      <c r="Q226" s="4" t="str">
        <f t="shared" ca="1" si="86"/>
        <v/>
      </c>
      <c r="R226" s="4" t="str">
        <f t="shared" ca="1" si="86"/>
        <v/>
      </c>
      <c r="S226" s="4" t="str">
        <f t="shared" ca="1" si="86"/>
        <v/>
      </c>
      <c r="T226" s="4" t="str">
        <f t="shared" ca="1" si="86"/>
        <v/>
      </c>
      <c r="U226" s="4" t="str">
        <f t="shared" ca="1" si="86"/>
        <v/>
      </c>
      <c r="V226" s="4" t="str">
        <f t="shared" ca="1" si="86"/>
        <v/>
      </c>
      <c r="W226" s="4" t="str">
        <f t="shared" ca="1" si="87"/>
        <v/>
      </c>
      <c r="X226" s="4" t="str">
        <f t="shared" ca="1" si="87"/>
        <v/>
      </c>
      <c r="Y226" s="4" t="str">
        <f t="shared" ca="1" si="87"/>
        <v/>
      </c>
      <c r="Z226" s="4" t="str">
        <f t="shared" ca="1" si="87"/>
        <v/>
      </c>
      <c r="AA226" s="4" t="str">
        <f t="shared" ca="1" si="87"/>
        <v/>
      </c>
      <c r="AB226" s="4" t="str">
        <f t="shared" ca="1" si="87"/>
        <v/>
      </c>
      <c r="AC226" s="4" t="str">
        <f t="shared" ca="1" si="87"/>
        <v/>
      </c>
      <c r="AD226" s="4" t="str">
        <f t="shared" ca="1" si="87"/>
        <v/>
      </c>
      <c r="AE226" s="4" t="str">
        <f t="shared" ca="1" si="87"/>
        <v/>
      </c>
      <c r="AF226" s="4" t="str">
        <f t="shared" ca="1" si="87"/>
        <v/>
      </c>
      <c r="AG226" s="4" t="str">
        <f t="shared" ca="1" si="88"/>
        <v/>
      </c>
      <c r="AH226" s="4" t="str">
        <f t="shared" ca="1" si="88"/>
        <v/>
      </c>
      <c r="AI226" s="4" t="str">
        <f t="shared" ca="1" si="88"/>
        <v/>
      </c>
      <c r="AJ226" s="4" t="str">
        <f t="shared" ca="1" si="88"/>
        <v/>
      </c>
      <c r="AK226" s="4" t="str">
        <f t="shared" ca="1" si="88"/>
        <v/>
      </c>
      <c r="AL226" s="4" t="str">
        <f t="shared" ca="1" si="88"/>
        <v/>
      </c>
      <c r="AM226" s="4" t="str">
        <f t="shared" ca="1" si="88"/>
        <v/>
      </c>
      <c r="AN226" s="4" t="str">
        <f t="shared" ca="1" si="88"/>
        <v/>
      </c>
      <c r="AO226" s="4" t="str">
        <f t="shared" ca="1" si="88"/>
        <v/>
      </c>
      <c r="AP226" s="4" t="str">
        <f t="shared" ca="1" si="88"/>
        <v/>
      </c>
      <c r="AQ226" s="4" t="str">
        <f t="shared" ca="1" si="89"/>
        <v/>
      </c>
      <c r="AR226" s="4" t="str">
        <f t="shared" ca="1" si="89"/>
        <v/>
      </c>
      <c r="AS226" s="4" t="str">
        <f t="shared" ca="1" si="89"/>
        <v/>
      </c>
      <c r="AT226" s="4" t="str">
        <f t="shared" ca="1" si="89"/>
        <v/>
      </c>
      <c r="AU226" s="4" t="str">
        <f t="shared" ca="1" si="89"/>
        <v/>
      </c>
      <c r="AV226" s="4" t="str">
        <f t="shared" ca="1" si="89"/>
        <v/>
      </c>
      <c r="AW226" s="4" t="str">
        <f t="shared" ca="1" si="89"/>
        <v/>
      </c>
      <c r="AX226" s="4" t="str">
        <f t="shared" ca="1" si="89"/>
        <v/>
      </c>
      <c r="AY226" s="4" t="str">
        <f t="shared" ca="1" si="89"/>
        <v/>
      </c>
      <c r="AZ226" s="4" t="str">
        <f t="shared" ca="1" si="89"/>
        <v/>
      </c>
      <c r="BA226" s="4" t="str">
        <f t="shared" si="90"/>
        <v/>
      </c>
    </row>
    <row r="227" spans="1:53">
      <c r="A227">
        <v>163</v>
      </c>
      <c r="C227" s="4" t="str">
        <f t="shared" ca="1" si="85"/>
        <v/>
      </c>
      <c r="D227" s="4" t="str">
        <f t="shared" ca="1" si="85"/>
        <v/>
      </c>
      <c r="E227" s="4" t="str">
        <f t="shared" ca="1" si="85"/>
        <v/>
      </c>
      <c r="F227" s="4" t="str">
        <f t="shared" ca="1" si="85"/>
        <v/>
      </c>
      <c r="G227" s="4" t="str">
        <f t="shared" ca="1" si="85"/>
        <v/>
      </c>
      <c r="H227" s="4" t="str">
        <f t="shared" ca="1" si="85"/>
        <v/>
      </c>
      <c r="I227" s="4" t="str">
        <f t="shared" ca="1" si="85"/>
        <v/>
      </c>
      <c r="J227" s="4" t="str">
        <f t="shared" ca="1" si="85"/>
        <v/>
      </c>
      <c r="K227" s="4" t="str">
        <f t="shared" ca="1" si="85"/>
        <v/>
      </c>
      <c r="L227" s="4" t="str">
        <f t="shared" ca="1" si="85"/>
        <v/>
      </c>
      <c r="M227" s="4" t="str">
        <f t="shared" ca="1" si="86"/>
        <v/>
      </c>
      <c r="N227" s="4" t="str">
        <f t="shared" ca="1" si="86"/>
        <v/>
      </c>
      <c r="O227" s="4" t="str">
        <f t="shared" ca="1" si="86"/>
        <v/>
      </c>
      <c r="P227" s="4" t="str">
        <f t="shared" ca="1" si="86"/>
        <v/>
      </c>
      <c r="Q227" s="4" t="str">
        <f t="shared" ca="1" si="86"/>
        <v/>
      </c>
      <c r="R227" s="4" t="str">
        <f t="shared" ca="1" si="86"/>
        <v/>
      </c>
      <c r="S227" s="4" t="str">
        <f t="shared" ca="1" si="86"/>
        <v/>
      </c>
      <c r="T227" s="4" t="str">
        <f t="shared" ca="1" si="86"/>
        <v/>
      </c>
      <c r="U227" s="4" t="str">
        <f t="shared" ca="1" si="86"/>
        <v/>
      </c>
      <c r="V227" s="4" t="str">
        <f t="shared" ca="1" si="86"/>
        <v/>
      </c>
      <c r="W227" s="4" t="str">
        <f t="shared" ca="1" si="87"/>
        <v/>
      </c>
      <c r="X227" s="4" t="str">
        <f t="shared" ca="1" si="87"/>
        <v/>
      </c>
      <c r="Y227" s="4" t="str">
        <f t="shared" ca="1" si="87"/>
        <v/>
      </c>
      <c r="Z227" s="4" t="str">
        <f t="shared" ca="1" si="87"/>
        <v/>
      </c>
      <c r="AA227" s="4" t="str">
        <f t="shared" ca="1" si="87"/>
        <v/>
      </c>
      <c r="AB227" s="4" t="str">
        <f t="shared" ca="1" si="87"/>
        <v/>
      </c>
      <c r="AC227" s="4" t="str">
        <f t="shared" ca="1" si="87"/>
        <v/>
      </c>
      <c r="AD227" s="4" t="str">
        <f t="shared" ca="1" si="87"/>
        <v/>
      </c>
      <c r="AE227" s="4" t="str">
        <f t="shared" ca="1" si="87"/>
        <v/>
      </c>
      <c r="AF227" s="4" t="str">
        <f t="shared" ca="1" si="87"/>
        <v/>
      </c>
      <c r="AG227" s="4" t="str">
        <f t="shared" ca="1" si="88"/>
        <v/>
      </c>
      <c r="AH227" s="4" t="str">
        <f t="shared" ca="1" si="88"/>
        <v/>
      </c>
      <c r="AI227" s="4" t="str">
        <f t="shared" ca="1" si="88"/>
        <v/>
      </c>
      <c r="AJ227" s="4" t="str">
        <f t="shared" ca="1" si="88"/>
        <v/>
      </c>
      <c r="AK227" s="4" t="str">
        <f t="shared" ca="1" si="88"/>
        <v/>
      </c>
      <c r="AL227" s="4" t="str">
        <f t="shared" ca="1" si="88"/>
        <v/>
      </c>
      <c r="AM227" s="4" t="str">
        <f t="shared" ca="1" si="88"/>
        <v/>
      </c>
      <c r="AN227" s="4" t="str">
        <f t="shared" ca="1" si="88"/>
        <v/>
      </c>
      <c r="AO227" s="4" t="str">
        <f t="shared" ca="1" si="88"/>
        <v/>
      </c>
      <c r="AP227" s="4" t="str">
        <f t="shared" ca="1" si="88"/>
        <v/>
      </c>
      <c r="AQ227" s="4" t="str">
        <f t="shared" ca="1" si="89"/>
        <v/>
      </c>
      <c r="AR227" s="4" t="str">
        <f t="shared" ca="1" si="89"/>
        <v/>
      </c>
      <c r="AS227" s="4" t="str">
        <f t="shared" ca="1" si="89"/>
        <v/>
      </c>
      <c r="AT227" s="4" t="str">
        <f t="shared" ca="1" si="89"/>
        <v/>
      </c>
      <c r="AU227" s="4" t="str">
        <f t="shared" ca="1" si="89"/>
        <v/>
      </c>
      <c r="AV227" s="4" t="str">
        <f t="shared" ca="1" si="89"/>
        <v/>
      </c>
      <c r="AW227" s="4" t="str">
        <f t="shared" ca="1" si="89"/>
        <v/>
      </c>
      <c r="AX227" s="4" t="str">
        <f t="shared" ca="1" si="89"/>
        <v/>
      </c>
      <c r="AY227" s="4" t="str">
        <f t="shared" ca="1" si="89"/>
        <v/>
      </c>
      <c r="AZ227" s="4" t="str">
        <f t="shared" ca="1" si="89"/>
        <v/>
      </c>
      <c r="BA227" s="4" t="str">
        <f t="shared" si="90"/>
        <v/>
      </c>
    </row>
    <row r="228" spans="1:53">
      <c r="A228">
        <v>164</v>
      </c>
      <c r="C228" s="4" t="str">
        <f t="shared" ca="1" si="85"/>
        <v/>
      </c>
      <c r="D228" s="4" t="str">
        <f t="shared" ca="1" si="85"/>
        <v/>
      </c>
      <c r="E228" s="4" t="str">
        <f t="shared" ca="1" si="85"/>
        <v/>
      </c>
      <c r="F228" s="4" t="str">
        <f t="shared" ca="1" si="85"/>
        <v/>
      </c>
      <c r="G228" s="4" t="str">
        <f t="shared" ca="1" si="85"/>
        <v/>
      </c>
      <c r="H228" s="4" t="str">
        <f t="shared" ca="1" si="85"/>
        <v/>
      </c>
      <c r="I228" s="4" t="str">
        <f t="shared" ca="1" si="85"/>
        <v/>
      </c>
      <c r="J228" s="4" t="str">
        <f t="shared" ca="1" si="85"/>
        <v/>
      </c>
      <c r="K228" s="4" t="str">
        <f t="shared" ca="1" si="85"/>
        <v/>
      </c>
      <c r="L228" s="4" t="str">
        <f t="shared" ca="1" si="85"/>
        <v/>
      </c>
      <c r="M228" s="4" t="str">
        <f t="shared" ca="1" si="86"/>
        <v/>
      </c>
      <c r="N228" s="4" t="str">
        <f t="shared" ca="1" si="86"/>
        <v/>
      </c>
      <c r="O228" s="4" t="str">
        <f t="shared" ca="1" si="86"/>
        <v/>
      </c>
      <c r="P228" s="4" t="str">
        <f t="shared" ca="1" si="86"/>
        <v/>
      </c>
      <c r="Q228" s="4" t="str">
        <f t="shared" ca="1" si="86"/>
        <v/>
      </c>
      <c r="R228" s="4" t="str">
        <f t="shared" ca="1" si="86"/>
        <v/>
      </c>
      <c r="S228" s="4" t="str">
        <f t="shared" ca="1" si="86"/>
        <v/>
      </c>
      <c r="T228" s="4" t="str">
        <f t="shared" ca="1" si="86"/>
        <v/>
      </c>
      <c r="U228" s="4" t="str">
        <f t="shared" ca="1" si="86"/>
        <v/>
      </c>
      <c r="V228" s="4" t="str">
        <f t="shared" ca="1" si="86"/>
        <v/>
      </c>
      <c r="W228" s="4" t="str">
        <f t="shared" ca="1" si="87"/>
        <v/>
      </c>
      <c r="X228" s="4" t="str">
        <f t="shared" ca="1" si="87"/>
        <v/>
      </c>
      <c r="Y228" s="4" t="str">
        <f t="shared" ca="1" si="87"/>
        <v/>
      </c>
      <c r="Z228" s="4" t="str">
        <f t="shared" ca="1" si="87"/>
        <v/>
      </c>
      <c r="AA228" s="4" t="str">
        <f t="shared" ca="1" si="87"/>
        <v/>
      </c>
      <c r="AB228" s="4" t="str">
        <f t="shared" ca="1" si="87"/>
        <v/>
      </c>
      <c r="AC228" s="4" t="str">
        <f t="shared" ca="1" si="87"/>
        <v/>
      </c>
      <c r="AD228" s="4" t="str">
        <f t="shared" ca="1" si="87"/>
        <v/>
      </c>
      <c r="AE228" s="4" t="str">
        <f t="shared" ca="1" si="87"/>
        <v/>
      </c>
      <c r="AF228" s="4" t="str">
        <f t="shared" ca="1" si="87"/>
        <v/>
      </c>
      <c r="AG228" s="4" t="str">
        <f t="shared" ca="1" si="88"/>
        <v/>
      </c>
      <c r="AH228" s="4" t="str">
        <f t="shared" ca="1" si="88"/>
        <v/>
      </c>
      <c r="AI228" s="4" t="str">
        <f t="shared" ca="1" si="88"/>
        <v/>
      </c>
      <c r="AJ228" s="4" t="str">
        <f t="shared" ca="1" si="88"/>
        <v/>
      </c>
      <c r="AK228" s="4" t="str">
        <f t="shared" ca="1" si="88"/>
        <v/>
      </c>
      <c r="AL228" s="4" t="str">
        <f t="shared" ca="1" si="88"/>
        <v/>
      </c>
      <c r="AM228" s="4" t="str">
        <f t="shared" ca="1" si="88"/>
        <v/>
      </c>
      <c r="AN228" s="4" t="str">
        <f t="shared" ca="1" si="88"/>
        <v/>
      </c>
      <c r="AO228" s="4" t="str">
        <f t="shared" ca="1" si="88"/>
        <v/>
      </c>
      <c r="AP228" s="4" t="str">
        <f t="shared" ca="1" si="88"/>
        <v/>
      </c>
      <c r="AQ228" s="4" t="str">
        <f t="shared" ca="1" si="89"/>
        <v/>
      </c>
      <c r="AR228" s="4" t="str">
        <f t="shared" ca="1" si="89"/>
        <v/>
      </c>
      <c r="AS228" s="4" t="str">
        <f t="shared" ca="1" si="89"/>
        <v/>
      </c>
      <c r="AT228" s="4" t="str">
        <f t="shared" ca="1" si="89"/>
        <v/>
      </c>
      <c r="AU228" s="4" t="str">
        <f t="shared" ca="1" si="89"/>
        <v/>
      </c>
      <c r="AV228" s="4" t="str">
        <f t="shared" ca="1" si="89"/>
        <v/>
      </c>
      <c r="AW228" s="4" t="str">
        <f t="shared" ca="1" si="89"/>
        <v/>
      </c>
      <c r="AX228" s="4" t="str">
        <f t="shared" ca="1" si="89"/>
        <v/>
      </c>
      <c r="AY228" s="4" t="str">
        <f t="shared" ca="1" si="89"/>
        <v/>
      </c>
      <c r="AZ228" s="4" t="str">
        <f t="shared" ca="1" si="89"/>
        <v/>
      </c>
      <c r="BA228" s="4" t="str">
        <f t="shared" si="90"/>
        <v/>
      </c>
    </row>
    <row r="229" spans="1:53">
      <c r="A229">
        <v>165</v>
      </c>
      <c r="C229" s="4" t="str">
        <f t="shared" ca="1" si="85"/>
        <v/>
      </c>
      <c r="D229" s="4" t="str">
        <f t="shared" ca="1" si="85"/>
        <v/>
      </c>
      <c r="E229" s="4" t="str">
        <f t="shared" ca="1" si="85"/>
        <v/>
      </c>
      <c r="F229" s="4" t="str">
        <f t="shared" ca="1" si="85"/>
        <v/>
      </c>
      <c r="G229" s="4" t="str">
        <f t="shared" ca="1" si="85"/>
        <v/>
      </c>
      <c r="H229" s="4" t="str">
        <f t="shared" ca="1" si="85"/>
        <v/>
      </c>
      <c r="I229" s="4" t="str">
        <f t="shared" ca="1" si="85"/>
        <v/>
      </c>
      <c r="J229" s="4" t="str">
        <f t="shared" ca="1" si="85"/>
        <v/>
      </c>
      <c r="K229" s="4" t="str">
        <f t="shared" ca="1" si="85"/>
        <v/>
      </c>
      <c r="L229" s="4" t="str">
        <f t="shared" ca="1" si="85"/>
        <v/>
      </c>
      <c r="M229" s="4" t="str">
        <f t="shared" ca="1" si="86"/>
        <v/>
      </c>
      <c r="N229" s="4" t="str">
        <f t="shared" ca="1" si="86"/>
        <v/>
      </c>
      <c r="O229" s="4" t="str">
        <f t="shared" ca="1" si="86"/>
        <v/>
      </c>
      <c r="P229" s="4" t="str">
        <f t="shared" ca="1" si="86"/>
        <v/>
      </c>
      <c r="Q229" s="4" t="str">
        <f t="shared" ca="1" si="86"/>
        <v/>
      </c>
      <c r="R229" s="4" t="str">
        <f t="shared" ca="1" si="86"/>
        <v/>
      </c>
      <c r="S229" s="4" t="str">
        <f t="shared" ca="1" si="86"/>
        <v/>
      </c>
      <c r="T229" s="4" t="str">
        <f t="shared" ca="1" si="86"/>
        <v/>
      </c>
      <c r="U229" s="4" t="str">
        <f t="shared" ca="1" si="86"/>
        <v/>
      </c>
      <c r="V229" s="4" t="str">
        <f t="shared" ca="1" si="86"/>
        <v/>
      </c>
      <c r="W229" s="4" t="str">
        <f t="shared" ca="1" si="87"/>
        <v/>
      </c>
      <c r="X229" s="4" t="str">
        <f t="shared" ca="1" si="87"/>
        <v/>
      </c>
      <c r="Y229" s="4" t="str">
        <f t="shared" ca="1" si="87"/>
        <v/>
      </c>
      <c r="Z229" s="4" t="str">
        <f t="shared" ca="1" si="87"/>
        <v/>
      </c>
      <c r="AA229" s="4" t="str">
        <f t="shared" ca="1" si="87"/>
        <v/>
      </c>
      <c r="AB229" s="4" t="str">
        <f t="shared" ca="1" si="87"/>
        <v/>
      </c>
      <c r="AC229" s="4" t="str">
        <f t="shared" ca="1" si="87"/>
        <v/>
      </c>
      <c r="AD229" s="4" t="str">
        <f t="shared" ca="1" si="87"/>
        <v/>
      </c>
      <c r="AE229" s="4" t="str">
        <f t="shared" ca="1" si="87"/>
        <v/>
      </c>
      <c r="AF229" s="4" t="str">
        <f t="shared" ca="1" si="87"/>
        <v/>
      </c>
      <c r="AG229" s="4" t="str">
        <f t="shared" ca="1" si="88"/>
        <v/>
      </c>
      <c r="AH229" s="4" t="str">
        <f t="shared" ca="1" si="88"/>
        <v/>
      </c>
      <c r="AI229" s="4" t="str">
        <f t="shared" ca="1" si="88"/>
        <v/>
      </c>
      <c r="AJ229" s="4" t="str">
        <f t="shared" ca="1" si="88"/>
        <v/>
      </c>
      <c r="AK229" s="4" t="str">
        <f t="shared" ca="1" si="88"/>
        <v/>
      </c>
      <c r="AL229" s="4" t="str">
        <f t="shared" ca="1" si="88"/>
        <v/>
      </c>
      <c r="AM229" s="4" t="str">
        <f t="shared" ca="1" si="88"/>
        <v/>
      </c>
      <c r="AN229" s="4" t="str">
        <f t="shared" ca="1" si="88"/>
        <v/>
      </c>
      <c r="AO229" s="4" t="str">
        <f t="shared" ca="1" si="88"/>
        <v/>
      </c>
      <c r="AP229" s="4" t="str">
        <f t="shared" ca="1" si="88"/>
        <v/>
      </c>
      <c r="AQ229" s="4" t="str">
        <f t="shared" ca="1" si="89"/>
        <v/>
      </c>
      <c r="AR229" s="4" t="str">
        <f t="shared" ca="1" si="89"/>
        <v/>
      </c>
      <c r="AS229" s="4" t="str">
        <f t="shared" ca="1" si="89"/>
        <v/>
      </c>
      <c r="AT229" s="4" t="str">
        <f t="shared" ca="1" si="89"/>
        <v/>
      </c>
      <c r="AU229" s="4" t="str">
        <f t="shared" ca="1" si="89"/>
        <v/>
      </c>
      <c r="AV229" s="4" t="str">
        <f t="shared" ca="1" si="89"/>
        <v/>
      </c>
      <c r="AW229" s="4" t="str">
        <f t="shared" ca="1" si="89"/>
        <v/>
      </c>
      <c r="AX229" s="4" t="str">
        <f t="shared" ca="1" si="89"/>
        <v/>
      </c>
      <c r="AY229" s="4" t="str">
        <f t="shared" ca="1" si="89"/>
        <v/>
      </c>
      <c r="AZ229" s="4" t="str">
        <f t="shared" ca="1" si="89"/>
        <v/>
      </c>
      <c r="BA229" s="4" t="str">
        <f t="shared" si="90"/>
        <v/>
      </c>
    </row>
    <row r="230" spans="1:53">
      <c r="A230">
        <v>166</v>
      </c>
      <c r="C230" s="4" t="str">
        <f t="shared" ca="1" si="85"/>
        <v/>
      </c>
      <c r="D230" s="4" t="str">
        <f t="shared" ca="1" si="85"/>
        <v/>
      </c>
      <c r="E230" s="4" t="str">
        <f t="shared" ca="1" si="85"/>
        <v/>
      </c>
      <c r="F230" s="4" t="str">
        <f t="shared" ca="1" si="85"/>
        <v/>
      </c>
      <c r="G230" s="4" t="str">
        <f t="shared" ca="1" si="85"/>
        <v/>
      </c>
      <c r="H230" s="4" t="str">
        <f t="shared" ca="1" si="85"/>
        <v/>
      </c>
      <c r="I230" s="4" t="str">
        <f t="shared" ca="1" si="85"/>
        <v/>
      </c>
      <c r="J230" s="4" t="str">
        <f t="shared" ca="1" si="85"/>
        <v/>
      </c>
      <c r="K230" s="4" t="str">
        <f t="shared" ca="1" si="85"/>
        <v/>
      </c>
      <c r="L230" s="4" t="str">
        <f t="shared" ca="1" si="85"/>
        <v/>
      </c>
      <c r="M230" s="4" t="str">
        <f t="shared" ca="1" si="86"/>
        <v/>
      </c>
      <c r="N230" s="4" t="str">
        <f t="shared" ca="1" si="86"/>
        <v/>
      </c>
      <c r="O230" s="4" t="str">
        <f t="shared" ca="1" si="86"/>
        <v/>
      </c>
      <c r="P230" s="4" t="str">
        <f t="shared" ca="1" si="86"/>
        <v/>
      </c>
      <c r="Q230" s="4" t="str">
        <f t="shared" ca="1" si="86"/>
        <v/>
      </c>
      <c r="R230" s="4" t="str">
        <f t="shared" ca="1" si="86"/>
        <v/>
      </c>
      <c r="S230" s="4" t="str">
        <f t="shared" ca="1" si="86"/>
        <v/>
      </c>
      <c r="T230" s="4" t="str">
        <f t="shared" ca="1" si="86"/>
        <v/>
      </c>
      <c r="U230" s="4" t="str">
        <f t="shared" ca="1" si="86"/>
        <v/>
      </c>
      <c r="V230" s="4" t="str">
        <f t="shared" ca="1" si="86"/>
        <v/>
      </c>
      <c r="W230" s="4" t="str">
        <f t="shared" ca="1" si="87"/>
        <v/>
      </c>
      <c r="X230" s="4" t="str">
        <f t="shared" ca="1" si="87"/>
        <v/>
      </c>
      <c r="Y230" s="4" t="str">
        <f t="shared" ca="1" si="87"/>
        <v/>
      </c>
      <c r="Z230" s="4" t="str">
        <f t="shared" ca="1" si="87"/>
        <v/>
      </c>
      <c r="AA230" s="4" t="str">
        <f t="shared" ca="1" si="87"/>
        <v/>
      </c>
      <c r="AB230" s="4" t="str">
        <f t="shared" ca="1" si="87"/>
        <v/>
      </c>
      <c r="AC230" s="4" t="str">
        <f t="shared" ca="1" si="87"/>
        <v/>
      </c>
      <c r="AD230" s="4" t="str">
        <f t="shared" ca="1" si="87"/>
        <v/>
      </c>
      <c r="AE230" s="4" t="str">
        <f t="shared" ca="1" si="87"/>
        <v/>
      </c>
      <c r="AF230" s="4" t="str">
        <f t="shared" ca="1" si="87"/>
        <v/>
      </c>
      <c r="AG230" s="4" t="str">
        <f t="shared" ca="1" si="88"/>
        <v/>
      </c>
      <c r="AH230" s="4" t="str">
        <f t="shared" ca="1" si="88"/>
        <v/>
      </c>
      <c r="AI230" s="4" t="str">
        <f t="shared" ca="1" si="88"/>
        <v/>
      </c>
      <c r="AJ230" s="4" t="str">
        <f t="shared" ca="1" si="88"/>
        <v/>
      </c>
      <c r="AK230" s="4" t="str">
        <f t="shared" ca="1" si="88"/>
        <v/>
      </c>
      <c r="AL230" s="4" t="str">
        <f t="shared" ca="1" si="88"/>
        <v/>
      </c>
      <c r="AM230" s="4" t="str">
        <f t="shared" ca="1" si="88"/>
        <v/>
      </c>
      <c r="AN230" s="4" t="str">
        <f t="shared" ca="1" si="88"/>
        <v/>
      </c>
      <c r="AO230" s="4" t="str">
        <f t="shared" ca="1" si="88"/>
        <v/>
      </c>
      <c r="AP230" s="4" t="str">
        <f t="shared" ca="1" si="88"/>
        <v/>
      </c>
      <c r="AQ230" s="4" t="str">
        <f t="shared" ca="1" si="89"/>
        <v/>
      </c>
      <c r="AR230" s="4" t="str">
        <f t="shared" ca="1" si="89"/>
        <v/>
      </c>
      <c r="AS230" s="4" t="str">
        <f t="shared" ca="1" si="89"/>
        <v/>
      </c>
      <c r="AT230" s="4" t="str">
        <f t="shared" ca="1" si="89"/>
        <v/>
      </c>
      <c r="AU230" s="4" t="str">
        <f t="shared" ca="1" si="89"/>
        <v/>
      </c>
      <c r="AV230" s="4" t="str">
        <f t="shared" ca="1" si="89"/>
        <v/>
      </c>
      <c r="AW230" s="4" t="str">
        <f t="shared" ca="1" si="89"/>
        <v/>
      </c>
      <c r="AX230" s="4" t="str">
        <f t="shared" ca="1" si="89"/>
        <v/>
      </c>
      <c r="AY230" s="4" t="str">
        <f t="shared" ca="1" si="89"/>
        <v/>
      </c>
      <c r="AZ230" s="4" t="str">
        <f t="shared" ca="1" si="89"/>
        <v/>
      </c>
      <c r="BA230" s="4" t="str">
        <f t="shared" si="90"/>
        <v/>
      </c>
    </row>
    <row r="231" spans="1:53">
      <c r="A231">
        <v>167</v>
      </c>
      <c r="C231" s="4" t="str">
        <f t="shared" ca="1" si="85"/>
        <v/>
      </c>
      <c r="D231" s="4" t="str">
        <f t="shared" ca="1" si="85"/>
        <v/>
      </c>
      <c r="E231" s="4" t="str">
        <f t="shared" ca="1" si="85"/>
        <v/>
      </c>
      <c r="F231" s="4" t="str">
        <f t="shared" ca="1" si="85"/>
        <v/>
      </c>
      <c r="G231" s="4" t="str">
        <f t="shared" ca="1" si="85"/>
        <v/>
      </c>
      <c r="H231" s="4" t="str">
        <f t="shared" ca="1" si="85"/>
        <v/>
      </c>
      <c r="I231" s="4" t="str">
        <f t="shared" ca="1" si="85"/>
        <v/>
      </c>
      <c r="J231" s="4" t="str">
        <f t="shared" ca="1" si="85"/>
        <v/>
      </c>
      <c r="K231" s="4" t="str">
        <f t="shared" ca="1" si="85"/>
        <v/>
      </c>
      <c r="L231" s="4" t="str">
        <f t="shared" ca="1" si="85"/>
        <v/>
      </c>
      <c r="M231" s="4" t="str">
        <f t="shared" ca="1" si="86"/>
        <v/>
      </c>
      <c r="N231" s="4" t="str">
        <f t="shared" ca="1" si="86"/>
        <v/>
      </c>
      <c r="O231" s="4" t="str">
        <f t="shared" ca="1" si="86"/>
        <v/>
      </c>
      <c r="P231" s="4" t="str">
        <f t="shared" ca="1" si="86"/>
        <v/>
      </c>
      <c r="Q231" s="4" t="str">
        <f t="shared" ca="1" si="86"/>
        <v/>
      </c>
      <c r="R231" s="4" t="str">
        <f t="shared" ca="1" si="86"/>
        <v/>
      </c>
      <c r="S231" s="4" t="str">
        <f t="shared" ca="1" si="86"/>
        <v/>
      </c>
      <c r="T231" s="4" t="str">
        <f t="shared" ca="1" si="86"/>
        <v/>
      </c>
      <c r="U231" s="4" t="str">
        <f t="shared" ca="1" si="86"/>
        <v/>
      </c>
      <c r="V231" s="4" t="str">
        <f t="shared" ca="1" si="86"/>
        <v/>
      </c>
      <c r="W231" s="4" t="str">
        <f t="shared" ca="1" si="87"/>
        <v/>
      </c>
      <c r="X231" s="4" t="str">
        <f t="shared" ca="1" si="87"/>
        <v/>
      </c>
      <c r="Y231" s="4" t="str">
        <f t="shared" ca="1" si="87"/>
        <v/>
      </c>
      <c r="Z231" s="4" t="str">
        <f t="shared" ca="1" si="87"/>
        <v/>
      </c>
      <c r="AA231" s="4" t="str">
        <f t="shared" ca="1" si="87"/>
        <v/>
      </c>
      <c r="AB231" s="4" t="str">
        <f t="shared" ca="1" si="87"/>
        <v/>
      </c>
      <c r="AC231" s="4" t="str">
        <f t="shared" ca="1" si="87"/>
        <v/>
      </c>
      <c r="AD231" s="4" t="str">
        <f t="shared" ca="1" si="87"/>
        <v/>
      </c>
      <c r="AE231" s="4" t="str">
        <f t="shared" ca="1" si="87"/>
        <v/>
      </c>
      <c r="AF231" s="4" t="str">
        <f t="shared" ca="1" si="87"/>
        <v/>
      </c>
      <c r="AG231" s="4" t="str">
        <f t="shared" ca="1" si="88"/>
        <v/>
      </c>
      <c r="AH231" s="4" t="str">
        <f t="shared" ca="1" si="88"/>
        <v/>
      </c>
      <c r="AI231" s="4" t="str">
        <f t="shared" ca="1" si="88"/>
        <v/>
      </c>
      <c r="AJ231" s="4" t="str">
        <f t="shared" ca="1" si="88"/>
        <v/>
      </c>
      <c r="AK231" s="4" t="str">
        <f t="shared" ca="1" si="88"/>
        <v/>
      </c>
      <c r="AL231" s="4" t="str">
        <f t="shared" ca="1" si="88"/>
        <v/>
      </c>
      <c r="AM231" s="4" t="str">
        <f t="shared" ca="1" si="88"/>
        <v/>
      </c>
      <c r="AN231" s="4" t="str">
        <f t="shared" ca="1" si="88"/>
        <v/>
      </c>
      <c r="AO231" s="4" t="str">
        <f t="shared" ca="1" si="88"/>
        <v/>
      </c>
      <c r="AP231" s="4" t="str">
        <f t="shared" ca="1" si="88"/>
        <v/>
      </c>
      <c r="AQ231" s="4" t="str">
        <f t="shared" ca="1" si="89"/>
        <v/>
      </c>
      <c r="AR231" s="4" t="str">
        <f t="shared" ca="1" si="89"/>
        <v/>
      </c>
      <c r="AS231" s="4" t="str">
        <f t="shared" ca="1" si="89"/>
        <v/>
      </c>
      <c r="AT231" s="4" t="str">
        <f t="shared" ca="1" si="89"/>
        <v/>
      </c>
      <c r="AU231" s="4" t="str">
        <f t="shared" ca="1" si="89"/>
        <v/>
      </c>
      <c r="AV231" s="4" t="str">
        <f t="shared" ca="1" si="89"/>
        <v/>
      </c>
      <c r="AW231" s="4" t="str">
        <f t="shared" ca="1" si="89"/>
        <v/>
      </c>
      <c r="AX231" s="4" t="str">
        <f t="shared" ca="1" si="89"/>
        <v/>
      </c>
      <c r="AY231" s="4" t="str">
        <f t="shared" ca="1" si="89"/>
        <v/>
      </c>
      <c r="AZ231" s="4" t="str">
        <f t="shared" ca="1" si="89"/>
        <v/>
      </c>
      <c r="BA231" s="4" t="str">
        <f t="shared" si="90"/>
        <v/>
      </c>
    </row>
    <row r="232" spans="1:53">
      <c r="A232">
        <v>168</v>
      </c>
      <c r="C232" s="4" t="str">
        <f t="shared" ca="1" si="85"/>
        <v/>
      </c>
      <c r="D232" s="4" t="str">
        <f t="shared" ca="1" si="85"/>
        <v/>
      </c>
      <c r="E232" s="4" t="str">
        <f t="shared" ca="1" si="85"/>
        <v/>
      </c>
      <c r="F232" s="4" t="str">
        <f t="shared" ca="1" si="85"/>
        <v/>
      </c>
      <c r="G232" s="4" t="str">
        <f t="shared" ca="1" si="85"/>
        <v/>
      </c>
      <c r="H232" s="4" t="str">
        <f t="shared" ca="1" si="85"/>
        <v/>
      </c>
      <c r="I232" s="4" t="str">
        <f t="shared" ca="1" si="85"/>
        <v/>
      </c>
      <c r="J232" s="4" t="str">
        <f t="shared" ca="1" si="85"/>
        <v/>
      </c>
      <c r="K232" s="4" t="str">
        <f t="shared" ca="1" si="85"/>
        <v/>
      </c>
      <c r="L232" s="4" t="str">
        <f t="shared" ca="1" si="85"/>
        <v/>
      </c>
      <c r="M232" s="4" t="str">
        <f t="shared" ca="1" si="86"/>
        <v/>
      </c>
      <c r="N232" s="4" t="str">
        <f t="shared" ca="1" si="86"/>
        <v/>
      </c>
      <c r="O232" s="4" t="str">
        <f t="shared" ca="1" si="86"/>
        <v/>
      </c>
      <c r="P232" s="4" t="str">
        <f t="shared" ca="1" si="86"/>
        <v/>
      </c>
      <c r="Q232" s="4" t="str">
        <f t="shared" ca="1" si="86"/>
        <v/>
      </c>
      <c r="R232" s="4" t="str">
        <f t="shared" ca="1" si="86"/>
        <v/>
      </c>
      <c r="S232" s="4" t="str">
        <f t="shared" ca="1" si="86"/>
        <v/>
      </c>
      <c r="T232" s="4" t="str">
        <f t="shared" ca="1" si="86"/>
        <v/>
      </c>
      <c r="U232" s="4" t="str">
        <f t="shared" ca="1" si="86"/>
        <v/>
      </c>
      <c r="V232" s="4" t="str">
        <f t="shared" ca="1" si="86"/>
        <v/>
      </c>
      <c r="W232" s="4" t="str">
        <f t="shared" ca="1" si="87"/>
        <v/>
      </c>
      <c r="X232" s="4" t="str">
        <f t="shared" ca="1" si="87"/>
        <v/>
      </c>
      <c r="Y232" s="4" t="str">
        <f t="shared" ca="1" si="87"/>
        <v/>
      </c>
      <c r="Z232" s="4" t="str">
        <f t="shared" ca="1" si="87"/>
        <v/>
      </c>
      <c r="AA232" s="4" t="str">
        <f t="shared" ca="1" si="87"/>
        <v/>
      </c>
      <c r="AB232" s="4" t="str">
        <f t="shared" ca="1" si="87"/>
        <v/>
      </c>
      <c r="AC232" s="4" t="str">
        <f t="shared" ca="1" si="87"/>
        <v/>
      </c>
      <c r="AD232" s="4" t="str">
        <f t="shared" ca="1" si="87"/>
        <v/>
      </c>
      <c r="AE232" s="4" t="str">
        <f t="shared" ca="1" si="87"/>
        <v/>
      </c>
      <c r="AF232" s="4" t="str">
        <f t="shared" ca="1" si="87"/>
        <v/>
      </c>
      <c r="AG232" s="4" t="str">
        <f t="shared" ca="1" si="88"/>
        <v/>
      </c>
      <c r="AH232" s="4" t="str">
        <f t="shared" ca="1" si="88"/>
        <v/>
      </c>
      <c r="AI232" s="4" t="str">
        <f t="shared" ca="1" si="88"/>
        <v/>
      </c>
      <c r="AJ232" s="4" t="str">
        <f t="shared" ca="1" si="88"/>
        <v/>
      </c>
      <c r="AK232" s="4" t="str">
        <f t="shared" ca="1" si="88"/>
        <v/>
      </c>
      <c r="AL232" s="4" t="str">
        <f t="shared" ca="1" si="88"/>
        <v/>
      </c>
      <c r="AM232" s="4" t="str">
        <f t="shared" ca="1" si="88"/>
        <v/>
      </c>
      <c r="AN232" s="4" t="str">
        <f t="shared" ca="1" si="88"/>
        <v/>
      </c>
      <c r="AO232" s="4" t="str">
        <f t="shared" ca="1" si="88"/>
        <v/>
      </c>
      <c r="AP232" s="4" t="str">
        <f t="shared" ca="1" si="88"/>
        <v/>
      </c>
      <c r="AQ232" s="4" t="str">
        <f t="shared" ca="1" si="89"/>
        <v/>
      </c>
      <c r="AR232" s="4" t="str">
        <f t="shared" ca="1" si="89"/>
        <v/>
      </c>
      <c r="AS232" s="4" t="str">
        <f t="shared" ca="1" si="89"/>
        <v/>
      </c>
      <c r="AT232" s="4" t="str">
        <f t="shared" ca="1" si="89"/>
        <v/>
      </c>
      <c r="AU232" s="4" t="str">
        <f t="shared" ca="1" si="89"/>
        <v/>
      </c>
      <c r="AV232" s="4" t="str">
        <f t="shared" ca="1" si="89"/>
        <v/>
      </c>
      <c r="AW232" s="4" t="str">
        <f t="shared" ca="1" si="89"/>
        <v/>
      </c>
      <c r="AX232" s="4" t="str">
        <f t="shared" ca="1" si="89"/>
        <v/>
      </c>
      <c r="AY232" s="4" t="str">
        <f t="shared" ca="1" si="89"/>
        <v/>
      </c>
      <c r="AZ232" s="4" t="str">
        <f t="shared" ca="1" si="89"/>
        <v/>
      </c>
      <c r="BA232" s="4" t="str">
        <f t="shared" si="90"/>
        <v/>
      </c>
    </row>
    <row r="233" spans="1:53">
      <c r="A233">
        <v>169</v>
      </c>
      <c r="C233" s="4" t="str">
        <f t="shared" ca="1" si="85"/>
        <v/>
      </c>
      <c r="D233" s="4" t="str">
        <f t="shared" ca="1" si="85"/>
        <v/>
      </c>
      <c r="E233" s="4" t="str">
        <f t="shared" ca="1" si="85"/>
        <v/>
      </c>
      <c r="F233" s="4" t="str">
        <f t="shared" ca="1" si="85"/>
        <v/>
      </c>
      <c r="G233" s="4" t="str">
        <f t="shared" ca="1" si="85"/>
        <v/>
      </c>
      <c r="H233" s="4" t="str">
        <f t="shared" ca="1" si="85"/>
        <v/>
      </c>
      <c r="I233" s="4" t="str">
        <f t="shared" ca="1" si="85"/>
        <v/>
      </c>
      <c r="J233" s="4" t="str">
        <f t="shared" ca="1" si="85"/>
        <v/>
      </c>
      <c r="K233" s="4" t="str">
        <f t="shared" ca="1" si="85"/>
        <v/>
      </c>
      <c r="L233" s="4" t="str">
        <f t="shared" ca="1" si="85"/>
        <v/>
      </c>
      <c r="M233" s="4" t="str">
        <f t="shared" ca="1" si="86"/>
        <v/>
      </c>
      <c r="N233" s="4" t="str">
        <f t="shared" ca="1" si="86"/>
        <v/>
      </c>
      <c r="O233" s="4" t="str">
        <f t="shared" ca="1" si="86"/>
        <v/>
      </c>
      <c r="P233" s="4" t="str">
        <f t="shared" ca="1" si="86"/>
        <v/>
      </c>
      <c r="Q233" s="4" t="str">
        <f t="shared" ca="1" si="86"/>
        <v/>
      </c>
      <c r="R233" s="4" t="str">
        <f t="shared" ca="1" si="86"/>
        <v/>
      </c>
      <c r="S233" s="4" t="str">
        <f t="shared" ca="1" si="86"/>
        <v/>
      </c>
      <c r="T233" s="4" t="str">
        <f t="shared" ca="1" si="86"/>
        <v/>
      </c>
      <c r="U233" s="4" t="str">
        <f t="shared" ca="1" si="86"/>
        <v/>
      </c>
      <c r="V233" s="4" t="str">
        <f t="shared" ca="1" si="86"/>
        <v/>
      </c>
      <c r="W233" s="4" t="str">
        <f t="shared" ca="1" si="87"/>
        <v/>
      </c>
      <c r="X233" s="4" t="str">
        <f t="shared" ca="1" si="87"/>
        <v/>
      </c>
      <c r="Y233" s="4" t="str">
        <f t="shared" ca="1" si="87"/>
        <v/>
      </c>
      <c r="Z233" s="4" t="str">
        <f t="shared" ca="1" si="87"/>
        <v/>
      </c>
      <c r="AA233" s="4" t="str">
        <f t="shared" ca="1" si="87"/>
        <v/>
      </c>
      <c r="AB233" s="4" t="str">
        <f t="shared" ca="1" si="87"/>
        <v/>
      </c>
      <c r="AC233" s="4" t="str">
        <f t="shared" ca="1" si="87"/>
        <v/>
      </c>
      <c r="AD233" s="4" t="str">
        <f t="shared" ca="1" si="87"/>
        <v/>
      </c>
      <c r="AE233" s="4" t="str">
        <f t="shared" ca="1" si="87"/>
        <v/>
      </c>
      <c r="AF233" s="4" t="str">
        <f t="shared" ca="1" si="87"/>
        <v/>
      </c>
      <c r="AG233" s="4" t="str">
        <f t="shared" ca="1" si="88"/>
        <v/>
      </c>
      <c r="AH233" s="4" t="str">
        <f t="shared" ca="1" si="88"/>
        <v/>
      </c>
      <c r="AI233" s="4" t="str">
        <f t="shared" ca="1" si="88"/>
        <v/>
      </c>
      <c r="AJ233" s="4" t="str">
        <f t="shared" ca="1" si="88"/>
        <v/>
      </c>
      <c r="AK233" s="4" t="str">
        <f t="shared" ca="1" si="88"/>
        <v/>
      </c>
      <c r="AL233" s="4" t="str">
        <f t="shared" ca="1" si="88"/>
        <v/>
      </c>
      <c r="AM233" s="4" t="str">
        <f t="shared" ca="1" si="88"/>
        <v/>
      </c>
      <c r="AN233" s="4" t="str">
        <f t="shared" ca="1" si="88"/>
        <v/>
      </c>
      <c r="AO233" s="4" t="str">
        <f t="shared" ca="1" si="88"/>
        <v/>
      </c>
      <c r="AP233" s="4" t="str">
        <f t="shared" ca="1" si="88"/>
        <v/>
      </c>
      <c r="AQ233" s="4" t="str">
        <f t="shared" ca="1" si="89"/>
        <v/>
      </c>
      <c r="AR233" s="4" t="str">
        <f t="shared" ca="1" si="89"/>
        <v/>
      </c>
      <c r="AS233" s="4" t="str">
        <f t="shared" ca="1" si="89"/>
        <v/>
      </c>
      <c r="AT233" s="4" t="str">
        <f t="shared" ca="1" si="89"/>
        <v/>
      </c>
      <c r="AU233" s="4" t="str">
        <f t="shared" ca="1" si="89"/>
        <v/>
      </c>
      <c r="AV233" s="4" t="str">
        <f t="shared" ca="1" si="89"/>
        <v/>
      </c>
      <c r="AW233" s="4" t="str">
        <f t="shared" ca="1" si="89"/>
        <v/>
      </c>
      <c r="AX233" s="4" t="str">
        <f t="shared" ca="1" si="89"/>
        <v/>
      </c>
      <c r="AY233" s="4" t="str">
        <f t="shared" ca="1" si="89"/>
        <v/>
      </c>
      <c r="AZ233" s="4" t="str">
        <f t="shared" ca="1" si="89"/>
        <v/>
      </c>
      <c r="BA233" s="4" t="str">
        <f t="shared" si="90"/>
        <v/>
      </c>
    </row>
    <row r="234" spans="1:53">
      <c r="A234">
        <v>170</v>
      </c>
      <c r="C234" s="4" t="str">
        <f t="shared" ca="1" si="85"/>
        <v/>
      </c>
      <c r="D234" s="4" t="str">
        <f t="shared" ca="1" si="85"/>
        <v/>
      </c>
      <c r="E234" s="4" t="str">
        <f t="shared" ca="1" si="85"/>
        <v/>
      </c>
      <c r="F234" s="4" t="str">
        <f t="shared" ca="1" si="85"/>
        <v/>
      </c>
      <c r="G234" s="4" t="str">
        <f t="shared" ca="1" si="85"/>
        <v/>
      </c>
      <c r="H234" s="4" t="str">
        <f t="shared" ca="1" si="85"/>
        <v/>
      </c>
      <c r="I234" s="4" t="str">
        <f t="shared" ca="1" si="85"/>
        <v/>
      </c>
      <c r="J234" s="4" t="str">
        <f t="shared" ca="1" si="85"/>
        <v/>
      </c>
      <c r="K234" s="4" t="str">
        <f t="shared" ca="1" si="85"/>
        <v/>
      </c>
      <c r="L234" s="4" t="str">
        <f t="shared" ca="1" si="85"/>
        <v/>
      </c>
      <c r="M234" s="4" t="str">
        <f t="shared" ca="1" si="86"/>
        <v/>
      </c>
      <c r="N234" s="4" t="str">
        <f t="shared" ca="1" si="86"/>
        <v/>
      </c>
      <c r="O234" s="4" t="str">
        <f t="shared" ca="1" si="86"/>
        <v/>
      </c>
      <c r="P234" s="4" t="str">
        <f t="shared" ca="1" si="86"/>
        <v/>
      </c>
      <c r="Q234" s="4" t="str">
        <f t="shared" ca="1" si="86"/>
        <v/>
      </c>
      <c r="R234" s="4" t="str">
        <f t="shared" ca="1" si="86"/>
        <v/>
      </c>
      <c r="S234" s="4" t="str">
        <f t="shared" ca="1" si="86"/>
        <v/>
      </c>
      <c r="T234" s="4" t="str">
        <f t="shared" ca="1" si="86"/>
        <v/>
      </c>
      <c r="U234" s="4" t="str">
        <f t="shared" ca="1" si="86"/>
        <v/>
      </c>
      <c r="V234" s="4" t="str">
        <f t="shared" ca="1" si="86"/>
        <v/>
      </c>
      <c r="W234" s="4" t="str">
        <f t="shared" ca="1" si="87"/>
        <v/>
      </c>
      <c r="X234" s="4" t="str">
        <f t="shared" ca="1" si="87"/>
        <v/>
      </c>
      <c r="Y234" s="4" t="str">
        <f t="shared" ca="1" si="87"/>
        <v/>
      </c>
      <c r="Z234" s="4" t="str">
        <f t="shared" ca="1" si="87"/>
        <v/>
      </c>
      <c r="AA234" s="4" t="str">
        <f t="shared" ca="1" si="87"/>
        <v/>
      </c>
      <c r="AB234" s="4" t="str">
        <f t="shared" ca="1" si="87"/>
        <v/>
      </c>
      <c r="AC234" s="4" t="str">
        <f t="shared" ca="1" si="87"/>
        <v/>
      </c>
      <c r="AD234" s="4" t="str">
        <f t="shared" ca="1" si="87"/>
        <v/>
      </c>
      <c r="AE234" s="4" t="str">
        <f t="shared" ca="1" si="87"/>
        <v/>
      </c>
      <c r="AF234" s="4" t="str">
        <f t="shared" ca="1" si="87"/>
        <v/>
      </c>
      <c r="AG234" s="4" t="str">
        <f t="shared" ca="1" si="88"/>
        <v/>
      </c>
      <c r="AH234" s="4" t="str">
        <f t="shared" ca="1" si="88"/>
        <v/>
      </c>
      <c r="AI234" s="4" t="str">
        <f t="shared" ca="1" si="88"/>
        <v/>
      </c>
      <c r="AJ234" s="4" t="str">
        <f t="shared" ca="1" si="88"/>
        <v/>
      </c>
      <c r="AK234" s="4" t="str">
        <f t="shared" ca="1" si="88"/>
        <v/>
      </c>
      <c r="AL234" s="4" t="str">
        <f t="shared" ca="1" si="88"/>
        <v/>
      </c>
      <c r="AM234" s="4" t="str">
        <f t="shared" ca="1" si="88"/>
        <v/>
      </c>
      <c r="AN234" s="4" t="str">
        <f t="shared" ca="1" si="88"/>
        <v/>
      </c>
      <c r="AO234" s="4" t="str">
        <f t="shared" ca="1" si="88"/>
        <v/>
      </c>
      <c r="AP234" s="4" t="str">
        <f t="shared" ca="1" si="88"/>
        <v/>
      </c>
      <c r="AQ234" s="4" t="str">
        <f t="shared" ca="1" si="89"/>
        <v/>
      </c>
      <c r="AR234" s="4" t="str">
        <f t="shared" ca="1" si="89"/>
        <v/>
      </c>
      <c r="AS234" s="4" t="str">
        <f t="shared" ca="1" si="89"/>
        <v/>
      </c>
      <c r="AT234" s="4" t="str">
        <f t="shared" ca="1" si="89"/>
        <v/>
      </c>
      <c r="AU234" s="4" t="str">
        <f t="shared" ca="1" si="89"/>
        <v/>
      </c>
      <c r="AV234" s="4" t="str">
        <f t="shared" ca="1" si="89"/>
        <v/>
      </c>
      <c r="AW234" s="4" t="str">
        <f t="shared" ca="1" si="89"/>
        <v/>
      </c>
      <c r="AX234" s="4" t="str">
        <f t="shared" ca="1" si="89"/>
        <v/>
      </c>
      <c r="AY234" s="4" t="str">
        <f t="shared" ca="1" si="89"/>
        <v/>
      </c>
      <c r="AZ234" s="4" t="str">
        <f t="shared" ca="1" si="89"/>
        <v/>
      </c>
      <c r="BA234" s="4" t="str">
        <f t="shared" si="90"/>
        <v/>
      </c>
    </row>
    <row r="235" spans="1:53">
      <c r="A235">
        <v>171</v>
      </c>
      <c r="C235" s="4" t="str">
        <f t="shared" ref="C235:L244" ca="1" si="91">IF(COLUMN()-2&lt;=$E$3,INDEX($B$10:$B$59,RANDBETWEEN(1,$E$3)),"")</f>
        <v/>
      </c>
      <c r="D235" s="4" t="str">
        <f t="shared" ca="1" si="91"/>
        <v/>
      </c>
      <c r="E235" s="4" t="str">
        <f t="shared" ca="1" si="91"/>
        <v/>
      </c>
      <c r="F235" s="4" t="str">
        <f t="shared" ca="1" si="91"/>
        <v/>
      </c>
      <c r="G235" s="4" t="str">
        <f t="shared" ca="1" si="91"/>
        <v/>
      </c>
      <c r="H235" s="4" t="str">
        <f t="shared" ca="1" si="91"/>
        <v/>
      </c>
      <c r="I235" s="4" t="str">
        <f t="shared" ca="1" si="91"/>
        <v/>
      </c>
      <c r="J235" s="4" t="str">
        <f t="shared" ca="1" si="91"/>
        <v/>
      </c>
      <c r="K235" s="4" t="str">
        <f t="shared" ca="1" si="91"/>
        <v/>
      </c>
      <c r="L235" s="4" t="str">
        <f t="shared" ca="1" si="91"/>
        <v/>
      </c>
      <c r="M235" s="4" t="str">
        <f t="shared" ref="M235:V244" ca="1" si="92">IF(COLUMN()-2&lt;=$E$3,INDEX($B$10:$B$59,RANDBETWEEN(1,$E$3)),"")</f>
        <v/>
      </c>
      <c r="N235" s="4" t="str">
        <f t="shared" ca="1" si="92"/>
        <v/>
      </c>
      <c r="O235" s="4" t="str">
        <f t="shared" ca="1" si="92"/>
        <v/>
      </c>
      <c r="P235" s="4" t="str">
        <f t="shared" ca="1" si="92"/>
        <v/>
      </c>
      <c r="Q235" s="4" t="str">
        <f t="shared" ca="1" si="92"/>
        <v/>
      </c>
      <c r="R235" s="4" t="str">
        <f t="shared" ca="1" si="92"/>
        <v/>
      </c>
      <c r="S235" s="4" t="str">
        <f t="shared" ca="1" si="92"/>
        <v/>
      </c>
      <c r="T235" s="4" t="str">
        <f t="shared" ca="1" si="92"/>
        <v/>
      </c>
      <c r="U235" s="4" t="str">
        <f t="shared" ca="1" si="92"/>
        <v/>
      </c>
      <c r="V235" s="4" t="str">
        <f t="shared" ca="1" si="92"/>
        <v/>
      </c>
      <c r="W235" s="4" t="str">
        <f t="shared" ref="W235:AF244" ca="1" si="93">IF(COLUMN()-2&lt;=$E$3,INDEX($B$10:$B$59,RANDBETWEEN(1,$E$3)),"")</f>
        <v/>
      </c>
      <c r="X235" s="4" t="str">
        <f t="shared" ca="1" si="93"/>
        <v/>
      </c>
      <c r="Y235" s="4" t="str">
        <f t="shared" ca="1" si="93"/>
        <v/>
      </c>
      <c r="Z235" s="4" t="str">
        <f t="shared" ca="1" si="93"/>
        <v/>
      </c>
      <c r="AA235" s="4" t="str">
        <f t="shared" ca="1" si="93"/>
        <v/>
      </c>
      <c r="AB235" s="4" t="str">
        <f t="shared" ca="1" si="93"/>
        <v/>
      </c>
      <c r="AC235" s="4" t="str">
        <f t="shared" ca="1" si="93"/>
        <v/>
      </c>
      <c r="AD235" s="4" t="str">
        <f t="shared" ca="1" si="93"/>
        <v/>
      </c>
      <c r="AE235" s="4" t="str">
        <f t="shared" ca="1" si="93"/>
        <v/>
      </c>
      <c r="AF235" s="4" t="str">
        <f t="shared" ca="1" si="93"/>
        <v/>
      </c>
      <c r="AG235" s="4" t="str">
        <f t="shared" ref="AG235:AP244" ca="1" si="94">IF(COLUMN()-2&lt;=$E$3,INDEX($B$10:$B$59,RANDBETWEEN(1,$E$3)),"")</f>
        <v/>
      </c>
      <c r="AH235" s="4" t="str">
        <f t="shared" ca="1" si="94"/>
        <v/>
      </c>
      <c r="AI235" s="4" t="str">
        <f t="shared" ca="1" si="94"/>
        <v/>
      </c>
      <c r="AJ235" s="4" t="str">
        <f t="shared" ca="1" si="94"/>
        <v/>
      </c>
      <c r="AK235" s="4" t="str">
        <f t="shared" ca="1" si="94"/>
        <v/>
      </c>
      <c r="AL235" s="4" t="str">
        <f t="shared" ca="1" si="94"/>
        <v/>
      </c>
      <c r="AM235" s="4" t="str">
        <f t="shared" ca="1" si="94"/>
        <v/>
      </c>
      <c r="AN235" s="4" t="str">
        <f t="shared" ca="1" si="94"/>
        <v/>
      </c>
      <c r="AO235" s="4" t="str">
        <f t="shared" ca="1" si="94"/>
        <v/>
      </c>
      <c r="AP235" s="4" t="str">
        <f t="shared" ca="1" si="94"/>
        <v/>
      </c>
      <c r="AQ235" s="4" t="str">
        <f t="shared" ref="AQ235:AZ244" ca="1" si="95">IF(COLUMN()-2&lt;=$E$3,INDEX($B$10:$B$59,RANDBETWEEN(1,$E$3)),"")</f>
        <v/>
      </c>
      <c r="AR235" s="4" t="str">
        <f t="shared" ca="1" si="95"/>
        <v/>
      </c>
      <c r="AS235" s="4" t="str">
        <f t="shared" ca="1" si="95"/>
        <v/>
      </c>
      <c r="AT235" s="4" t="str">
        <f t="shared" ca="1" si="95"/>
        <v/>
      </c>
      <c r="AU235" s="4" t="str">
        <f t="shared" ca="1" si="95"/>
        <v/>
      </c>
      <c r="AV235" s="4" t="str">
        <f t="shared" ca="1" si="95"/>
        <v/>
      </c>
      <c r="AW235" s="4" t="str">
        <f t="shared" ca="1" si="95"/>
        <v/>
      </c>
      <c r="AX235" s="4" t="str">
        <f t="shared" ca="1" si="95"/>
        <v/>
      </c>
      <c r="AY235" s="4" t="str">
        <f t="shared" ca="1" si="95"/>
        <v/>
      </c>
      <c r="AZ235" s="4" t="str">
        <f t="shared" ca="1" si="95"/>
        <v/>
      </c>
      <c r="BA235" s="4" t="str">
        <f t="shared" si="90"/>
        <v/>
      </c>
    </row>
    <row r="236" spans="1:53">
      <c r="A236">
        <v>172</v>
      </c>
      <c r="C236" s="4" t="str">
        <f t="shared" ca="1" si="91"/>
        <v/>
      </c>
      <c r="D236" s="4" t="str">
        <f t="shared" ca="1" si="91"/>
        <v/>
      </c>
      <c r="E236" s="4" t="str">
        <f t="shared" ca="1" si="91"/>
        <v/>
      </c>
      <c r="F236" s="4" t="str">
        <f t="shared" ca="1" si="91"/>
        <v/>
      </c>
      <c r="G236" s="4" t="str">
        <f t="shared" ca="1" si="91"/>
        <v/>
      </c>
      <c r="H236" s="4" t="str">
        <f t="shared" ca="1" si="91"/>
        <v/>
      </c>
      <c r="I236" s="4" t="str">
        <f t="shared" ca="1" si="91"/>
        <v/>
      </c>
      <c r="J236" s="4" t="str">
        <f t="shared" ca="1" si="91"/>
        <v/>
      </c>
      <c r="K236" s="4" t="str">
        <f t="shared" ca="1" si="91"/>
        <v/>
      </c>
      <c r="L236" s="4" t="str">
        <f t="shared" ca="1" si="91"/>
        <v/>
      </c>
      <c r="M236" s="4" t="str">
        <f t="shared" ca="1" si="92"/>
        <v/>
      </c>
      <c r="N236" s="4" t="str">
        <f t="shared" ca="1" si="92"/>
        <v/>
      </c>
      <c r="O236" s="4" t="str">
        <f t="shared" ca="1" si="92"/>
        <v/>
      </c>
      <c r="P236" s="4" t="str">
        <f t="shared" ca="1" si="92"/>
        <v/>
      </c>
      <c r="Q236" s="4" t="str">
        <f t="shared" ca="1" si="92"/>
        <v/>
      </c>
      <c r="R236" s="4" t="str">
        <f t="shared" ca="1" si="92"/>
        <v/>
      </c>
      <c r="S236" s="4" t="str">
        <f t="shared" ca="1" si="92"/>
        <v/>
      </c>
      <c r="T236" s="4" t="str">
        <f t="shared" ca="1" si="92"/>
        <v/>
      </c>
      <c r="U236" s="4" t="str">
        <f t="shared" ca="1" si="92"/>
        <v/>
      </c>
      <c r="V236" s="4" t="str">
        <f t="shared" ca="1" si="92"/>
        <v/>
      </c>
      <c r="W236" s="4" t="str">
        <f t="shared" ca="1" si="93"/>
        <v/>
      </c>
      <c r="X236" s="4" t="str">
        <f t="shared" ca="1" si="93"/>
        <v/>
      </c>
      <c r="Y236" s="4" t="str">
        <f t="shared" ca="1" si="93"/>
        <v/>
      </c>
      <c r="Z236" s="4" t="str">
        <f t="shared" ca="1" si="93"/>
        <v/>
      </c>
      <c r="AA236" s="4" t="str">
        <f t="shared" ca="1" si="93"/>
        <v/>
      </c>
      <c r="AB236" s="4" t="str">
        <f t="shared" ca="1" si="93"/>
        <v/>
      </c>
      <c r="AC236" s="4" t="str">
        <f t="shared" ca="1" si="93"/>
        <v/>
      </c>
      <c r="AD236" s="4" t="str">
        <f t="shared" ca="1" si="93"/>
        <v/>
      </c>
      <c r="AE236" s="4" t="str">
        <f t="shared" ca="1" si="93"/>
        <v/>
      </c>
      <c r="AF236" s="4" t="str">
        <f t="shared" ca="1" si="93"/>
        <v/>
      </c>
      <c r="AG236" s="4" t="str">
        <f t="shared" ca="1" si="94"/>
        <v/>
      </c>
      <c r="AH236" s="4" t="str">
        <f t="shared" ca="1" si="94"/>
        <v/>
      </c>
      <c r="AI236" s="4" t="str">
        <f t="shared" ca="1" si="94"/>
        <v/>
      </c>
      <c r="AJ236" s="4" t="str">
        <f t="shared" ca="1" si="94"/>
        <v/>
      </c>
      <c r="AK236" s="4" t="str">
        <f t="shared" ca="1" si="94"/>
        <v/>
      </c>
      <c r="AL236" s="4" t="str">
        <f t="shared" ca="1" si="94"/>
        <v/>
      </c>
      <c r="AM236" s="4" t="str">
        <f t="shared" ca="1" si="94"/>
        <v/>
      </c>
      <c r="AN236" s="4" t="str">
        <f t="shared" ca="1" si="94"/>
        <v/>
      </c>
      <c r="AO236" s="4" t="str">
        <f t="shared" ca="1" si="94"/>
        <v/>
      </c>
      <c r="AP236" s="4" t="str">
        <f t="shared" ca="1" si="94"/>
        <v/>
      </c>
      <c r="AQ236" s="4" t="str">
        <f t="shared" ca="1" si="95"/>
        <v/>
      </c>
      <c r="AR236" s="4" t="str">
        <f t="shared" ca="1" si="95"/>
        <v/>
      </c>
      <c r="AS236" s="4" t="str">
        <f t="shared" ca="1" si="95"/>
        <v/>
      </c>
      <c r="AT236" s="4" t="str">
        <f t="shared" ca="1" si="95"/>
        <v/>
      </c>
      <c r="AU236" s="4" t="str">
        <f t="shared" ca="1" si="95"/>
        <v/>
      </c>
      <c r="AV236" s="4" t="str">
        <f t="shared" ca="1" si="95"/>
        <v/>
      </c>
      <c r="AW236" s="4" t="str">
        <f t="shared" ca="1" si="95"/>
        <v/>
      </c>
      <c r="AX236" s="4" t="str">
        <f t="shared" ca="1" si="95"/>
        <v/>
      </c>
      <c r="AY236" s="4" t="str">
        <f t="shared" ca="1" si="95"/>
        <v/>
      </c>
      <c r="AZ236" s="4" t="str">
        <f t="shared" ca="1" si="95"/>
        <v/>
      </c>
      <c r="BA236" s="4" t="str">
        <f t="shared" si="90"/>
        <v/>
      </c>
    </row>
    <row r="237" spans="1:53">
      <c r="A237">
        <v>173</v>
      </c>
      <c r="C237" s="4" t="str">
        <f t="shared" ca="1" si="91"/>
        <v/>
      </c>
      <c r="D237" s="4" t="str">
        <f t="shared" ca="1" si="91"/>
        <v/>
      </c>
      <c r="E237" s="4" t="str">
        <f t="shared" ca="1" si="91"/>
        <v/>
      </c>
      <c r="F237" s="4" t="str">
        <f t="shared" ca="1" si="91"/>
        <v/>
      </c>
      <c r="G237" s="4" t="str">
        <f t="shared" ca="1" si="91"/>
        <v/>
      </c>
      <c r="H237" s="4" t="str">
        <f t="shared" ca="1" si="91"/>
        <v/>
      </c>
      <c r="I237" s="4" t="str">
        <f t="shared" ca="1" si="91"/>
        <v/>
      </c>
      <c r="J237" s="4" t="str">
        <f t="shared" ca="1" si="91"/>
        <v/>
      </c>
      <c r="K237" s="4" t="str">
        <f t="shared" ca="1" si="91"/>
        <v/>
      </c>
      <c r="L237" s="4" t="str">
        <f t="shared" ca="1" si="91"/>
        <v/>
      </c>
      <c r="M237" s="4" t="str">
        <f t="shared" ca="1" si="92"/>
        <v/>
      </c>
      <c r="N237" s="4" t="str">
        <f t="shared" ca="1" si="92"/>
        <v/>
      </c>
      <c r="O237" s="4" t="str">
        <f t="shared" ca="1" si="92"/>
        <v/>
      </c>
      <c r="P237" s="4" t="str">
        <f t="shared" ca="1" si="92"/>
        <v/>
      </c>
      <c r="Q237" s="4" t="str">
        <f t="shared" ca="1" si="92"/>
        <v/>
      </c>
      <c r="R237" s="4" t="str">
        <f t="shared" ca="1" si="92"/>
        <v/>
      </c>
      <c r="S237" s="4" t="str">
        <f t="shared" ca="1" si="92"/>
        <v/>
      </c>
      <c r="T237" s="4" t="str">
        <f t="shared" ca="1" si="92"/>
        <v/>
      </c>
      <c r="U237" s="4" t="str">
        <f t="shared" ca="1" si="92"/>
        <v/>
      </c>
      <c r="V237" s="4" t="str">
        <f t="shared" ca="1" si="92"/>
        <v/>
      </c>
      <c r="W237" s="4" t="str">
        <f t="shared" ca="1" si="93"/>
        <v/>
      </c>
      <c r="X237" s="4" t="str">
        <f t="shared" ca="1" si="93"/>
        <v/>
      </c>
      <c r="Y237" s="4" t="str">
        <f t="shared" ca="1" si="93"/>
        <v/>
      </c>
      <c r="Z237" s="4" t="str">
        <f t="shared" ca="1" si="93"/>
        <v/>
      </c>
      <c r="AA237" s="4" t="str">
        <f t="shared" ca="1" si="93"/>
        <v/>
      </c>
      <c r="AB237" s="4" t="str">
        <f t="shared" ca="1" si="93"/>
        <v/>
      </c>
      <c r="AC237" s="4" t="str">
        <f t="shared" ca="1" si="93"/>
        <v/>
      </c>
      <c r="AD237" s="4" t="str">
        <f t="shared" ca="1" si="93"/>
        <v/>
      </c>
      <c r="AE237" s="4" t="str">
        <f t="shared" ca="1" si="93"/>
        <v/>
      </c>
      <c r="AF237" s="4" t="str">
        <f t="shared" ca="1" si="93"/>
        <v/>
      </c>
      <c r="AG237" s="4" t="str">
        <f t="shared" ca="1" si="94"/>
        <v/>
      </c>
      <c r="AH237" s="4" t="str">
        <f t="shared" ca="1" si="94"/>
        <v/>
      </c>
      <c r="AI237" s="4" t="str">
        <f t="shared" ca="1" si="94"/>
        <v/>
      </c>
      <c r="AJ237" s="4" t="str">
        <f t="shared" ca="1" si="94"/>
        <v/>
      </c>
      <c r="AK237" s="4" t="str">
        <f t="shared" ca="1" si="94"/>
        <v/>
      </c>
      <c r="AL237" s="4" t="str">
        <f t="shared" ca="1" si="94"/>
        <v/>
      </c>
      <c r="AM237" s="4" t="str">
        <f t="shared" ca="1" si="94"/>
        <v/>
      </c>
      <c r="AN237" s="4" t="str">
        <f t="shared" ca="1" si="94"/>
        <v/>
      </c>
      <c r="AO237" s="4" t="str">
        <f t="shared" ca="1" si="94"/>
        <v/>
      </c>
      <c r="AP237" s="4" t="str">
        <f t="shared" ca="1" si="94"/>
        <v/>
      </c>
      <c r="AQ237" s="4" t="str">
        <f t="shared" ca="1" si="95"/>
        <v/>
      </c>
      <c r="AR237" s="4" t="str">
        <f t="shared" ca="1" si="95"/>
        <v/>
      </c>
      <c r="AS237" s="4" t="str">
        <f t="shared" ca="1" si="95"/>
        <v/>
      </c>
      <c r="AT237" s="4" t="str">
        <f t="shared" ca="1" si="95"/>
        <v/>
      </c>
      <c r="AU237" s="4" t="str">
        <f t="shared" ca="1" si="95"/>
        <v/>
      </c>
      <c r="AV237" s="4" t="str">
        <f t="shared" ca="1" si="95"/>
        <v/>
      </c>
      <c r="AW237" s="4" t="str">
        <f t="shared" ca="1" si="95"/>
        <v/>
      </c>
      <c r="AX237" s="4" t="str">
        <f t="shared" ca="1" si="95"/>
        <v/>
      </c>
      <c r="AY237" s="4" t="str">
        <f t="shared" ca="1" si="95"/>
        <v/>
      </c>
      <c r="AZ237" s="4" t="str">
        <f t="shared" ca="1" si="95"/>
        <v/>
      </c>
      <c r="BA237" s="4" t="str">
        <f t="shared" si="90"/>
        <v/>
      </c>
    </row>
    <row r="238" spans="1:53">
      <c r="A238">
        <v>174</v>
      </c>
      <c r="C238" s="4" t="str">
        <f t="shared" ca="1" si="91"/>
        <v/>
      </c>
      <c r="D238" s="4" t="str">
        <f t="shared" ca="1" si="91"/>
        <v/>
      </c>
      <c r="E238" s="4" t="str">
        <f t="shared" ca="1" si="91"/>
        <v/>
      </c>
      <c r="F238" s="4" t="str">
        <f t="shared" ca="1" si="91"/>
        <v/>
      </c>
      <c r="G238" s="4" t="str">
        <f t="shared" ca="1" si="91"/>
        <v/>
      </c>
      <c r="H238" s="4" t="str">
        <f t="shared" ca="1" si="91"/>
        <v/>
      </c>
      <c r="I238" s="4" t="str">
        <f t="shared" ca="1" si="91"/>
        <v/>
      </c>
      <c r="J238" s="4" t="str">
        <f t="shared" ca="1" si="91"/>
        <v/>
      </c>
      <c r="K238" s="4" t="str">
        <f t="shared" ca="1" si="91"/>
        <v/>
      </c>
      <c r="L238" s="4" t="str">
        <f t="shared" ca="1" si="91"/>
        <v/>
      </c>
      <c r="M238" s="4" t="str">
        <f t="shared" ca="1" si="92"/>
        <v/>
      </c>
      <c r="N238" s="4" t="str">
        <f t="shared" ca="1" si="92"/>
        <v/>
      </c>
      <c r="O238" s="4" t="str">
        <f t="shared" ca="1" si="92"/>
        <v/>
      </c>
      <c r="P238" s="4" t="str">
        <f t="shared" ca="1" si="92"/>
        <v/>
      </c>
      <c r="Q238" s="4" t="str">
        <f t="shared" ca="1" si="92"/>
        <v/>
      </c>
      <c r="R238" s="4" t="str">
        <f t="shared" ca="1" si="92"/>
        <v/>
      </c>
      <c r="S238" s="4" t="str">
        <f t="shared" ca="1" si="92"/>
        <v/>
      </c>
      <c r="T238" s="4" t="str">
        <f t="shared" ca="1" si="92"/>
        <v/>
      </c>
      <c r="U238" s="4" t="str">
        <f t="shared" ca="1" si="92"/>
        <v/>
      </c>
      <c r="V238" s="4" t="str">
        <f t="shared" ca="1" si="92"/>
        <v/>
      </c>
      <c r="W238" s="4" t="str">
        <f t="shared" ca="1" si="93"/>
        <v/>
      </c>
      <c r="X238" s="4" t="str">
        <f t="shared" ca="1" si="93"/>
        <v/>
      </c>
      <c r="Y238" s="4" t="str">
        <f t="shared" ca="1" si="93"/>
        <v/>
      </c>
      <c r="Z238" s="4" t="str">
        <f t="shared" ca="1" si="93"/>
        <v/>
      </c>
      <c r="AA238" s="4" t="str">
        <f t="shared" ca="1" si="93"/>
        <v/>
      </c>
      <c r="AB238" s="4" t="str">
        <f t="shared" ca="1" si="93"/>
        <v/>
      </c>
      <c r="AC238" s="4" t="str">
        <f t="shared" ca="1" si="93"/>
        <v/>
      </c>
      <c r="AD238" s="4" t="str">
        <f t="shared" ca="1" si="93"/>
        <v/>
      </c>
      <c r="AE238" s="4" t="str">
        <f t="shared" ca="1" si="93"/>
        <v/>
      </c>
      <c r="AF238" s="4" t="str">
        <f t="shared" ca="1" si="93"/>
        <v/>
      </c>
      <c r="AG238" s="4" t="str">
        <f t="shared" ca="1" si="94"/>
        <v/>
      </c>
      <c r="AH238" s="4" t="str">
        <f t="shared" ca="1" si="94"/>
        <v/>
      </c>
      <c r="AI238" s="4" t="str">
        <f t="shared" ca="1" si="94"/>
        <v/>
      </c>
      <c r="AJ238" s="4" t="str">
        <f t="shared" ca="1" si="94"/>
        <v/>
      </c>
      <c r="AK238" s="4" t="str">
        <f t="shared" ca="1" si="94"/>
        <v/>
      </c>
      <c r="AL238" s="4" t="str">
        <f t="shared" ca="1" si="94"/>
        <v/>
      </c>
      <c r="AM238" s="4" t="str">
        <f t="shared" ca="1" si="94"/>
        <v/>
      </c>
      <c r="AN238" s="4" t="str">
        <f t="shared" ca="1" si="94"/>
        <v/>
      </c>
      <c r="AO238" s="4" t="str">
        <f t="shared" ca="1" si="94"/>
        <v/>
      </c>
      <c r="AP238" s="4" t="str">
        <f t="shared" ca="1" si="94"/>
        <v/>
      </c>
      <c r="AQ238" s="4" t="str">
        <f t="shared" ca="1" si="95"/>
        <v/>
      </c>
      <c r="AR238" s="4" t="str">
        <f t="shared" ca="1" si="95"/>
        <v/>
      </c>
      <c r="AS238" s="4" t="str">
        <f t="shared" ca="1" si="95"/>
        <v/>
      </c>
      <c r="AT238" s="4" t="str">
        <f t="shared" ca="1" si="95"/>
        <v/>
      </c>
      <c r="AU238" s="4" t="str">
        <f t="shared" ca="1" si="95"/>
        <v/>
      </c>
      <c r="AV238" s="4" t="str">
        <f t="shared" ca="1" si="95"/>
        <v/>
      </c>
      <c r="AW238" s="4" t="str">
        <f t="shared" ca="1" si="95"/>
        <v/>
      </c>
      <c r="AX238" s="4" t="str">
        <f t="shared" ca="1" si="95"/>
        <v/>
      </c>
      <c r="AY238" s="4" t="str">
        <f t="shared" ca="1" si="95"/>
        <v/>
      </c>
      <c r="AZ238" s="4" t="str">
        <f t="shared" ca="1" si="95"/>
        <v/>
      </c>
      <c r="BA238" s="4" t="str">
        <f t="shared" si="90"/>
        <v/>
      </c>
    </row>
    <row r="239" spans="1:53">
      <c r="A239">
        <v>175</v>
      </c>
      <c r="C239" s="4" t="str">
        <f t="shared" ca="1" si="91"/>
        <v/>
      </c>
      <c r="D239" s="4" t="str">
        <f t="shared" ca="1" si="91"/>
        <v/>
      </c>
      <c r="E239" s="4" t="str">
        <f t="shared" ca="1" si="91"/>
        <v/>
      </c>
      <c r="F239" s="4" t="str">
        <f t="shared" ca="1" si="91"/>
        <v/>
      </c>
      <c r="G239" s="4" t="str">
        <f t="shared" ca="1" si="91"/>
        <v/>
      </c>
      <c r="H239" s="4" t="str">
        <f t="shared" ca="1" si="91"/>
        <v/>
      </c>
      <c r="I239" s="4" t="str">
        <f t="shared" ca="1" si="91"/>
        <v/>
      </c>
      <c r="J239" s="4" t="str">
        <f t="shared" ca="1" si="91"/>
        <v/>
      </c>
      <c r="K239" s="4" t="str">
        <f t="shared" ca="1" si="91"/>
        <v/>
      </c>
      <c r="L239" s="4" t="str">
        <f t="shared" ca="1" si="91"/>
        <v/>
      </c>
      <c r="M239" s="4" t="str">
        <f t="shared" ca="1" si="92"/>
        <v/>
      </c>
      <c r="N239" s="4" t="str">
        <f t="shared" ca="1" si="92"/>
        <v/>
      </c>
      <c r="O239" s="4" t="str">
        <f t="shared" ca="1" si="92"/>
        <v/>
      </c>
      <c r="P239" s="4" t="str">
        <f t="shared" ca="1" si="92"/>
        <v/>
      </c>
      <c r="Q239" s="4" t="str">
        <f t="shared" ca="1" si="92"/>
        <v/>
      </c>
      <c r="R239" s="4" t="str">
        <f t="shared" ca="1" si="92"/>
        <v/>
      </c>
      <c r="S239" s="4" t="str">
        <f t="shared" ca="1" si="92"/>
        <v/>
      </c>
      <c r="T239" s="4" t="str">
        <f t="shared" ca="1" si="92"/>
        <v/>
      </c>
      <c r="U239" s="4" t="str">
        <f t="shared" ca="1" si="92"/>
        <v/>
      </c>
      <c r="V239" s="4" t="str">
        <f t="shared" ca="1" si="92"/>
        <v/>
      </c>
      <c r="W239" s="4" t="str">
        <f t="shared" ca="1" si="93"/>
        <v/>
      </c>
      <c r="X239" s="4" t="str">
        <f t="shared" ca="1" si="93"/>
        <v/>
      </c>
      <c r="Y239" s="4" t="str">
        <f t="shared" ca="1" si="93"/>
        <v/>
      </c>
      <c r="Z239" s="4" t="str">
        <f t="shared" ca="1" si="93"/>
        <v/>
      </c>
      <c r="AA239" s="4" t="str">
        <f t="shared" ca="1" si="93"/>
        <v/>
      </c>
      <c r="AB239" s="4" t="str">
        <f t="shared" ca="1" si="93"/>
        <v/>
      </c>
      <c r="AC239" s="4" t="str">
        <f t="shared" ca="1" si="93"/>
        <v/>
      </c>
      <c r="AD239" s="4" t="str">
        <f t="shared" ca="1" si="93"/>
        <v/>
      </c>
      <c r="AE239" s="4" t="str">
        <f t="shared" ca="1" si="93"/>
        <v/>
      </c>
      <c r="AF239" s="4" t="str">
        <f t="shared" ca="1" si="93"/>
        <v/>
      </c>
      <c r="AG239" s="4" t="str">
        <f t="shared" ca="1" si="94"/>
        <v/>
      </c>
      <c r="AH239" s="4" t="str">
        <f t="shared" ca="1" si="94"/>
        <v/>
      </c>
      <c r="AI239" s="4" t="str">
        <f t="shared" ca="1" si="94"/>
        <v/>
      </c>
      <c r="AJ239" s="4" t="str">
        <f t="shared" ca="1" si="94"/>
        <v/>
      </c>
      <c r="AK239" s="4" t="str">
        <f t="shared" ca="1" si="94"/>
        <v/>
      </c>
      <c r="AL239" s="4" t="str">
        <f t="shared" ca="1" si="94"/>
        <v/>
      </c>
      <c r="AM239" s="4" t="str">
        <f t="shared" ca="1" si="94"/>
        <v/>
      </c>
      <c r="AN239" s="4" t="str">
        <f t="shared" ca="1" si="94"/>
        <v/>
      </c>
      <c r="AO239" s="4" t="str">
        <f t="shared" ca="1" si="94"/>
        <v/>
      </c>
      <c r="AP239" s="4" t="str">
        <f t="shared" ca="1" si="94"/>
        <v/>
      </c>
      <c r="AQ239" s="4" t="str">
        <f t="shared" ca="1" si="95"/>
        <v/>
      </c>
      <c r="AR239" s="4" t="str">
        <f t="shared" ca="1" si="95"/>
        <v/>
      </c>
      <c r="AS239" s="4" t="str">
        <f t="shared" ca="1" si="95"/>
        <v/>
      </c>
      <c r="AT239" s="4" t="str">
        <f t="shared" ca="1" si="95"/>
        <v/>
      </c>
      <c r="AU239" s="4" t="str">
        <f t="shared" ca="1" si="95"/>
        <v/>
      </c>
      <c r="AV239" s="4" t="str">
        <f t="shared" ca="1" si="95"/>
        <v/>
      </c>
      <c r="AW239" s="4" t="str">
        <f t="shared" ca="1" si="95"/>
        <v/>
      </c>
      <c r="AX239" s="4" t="str">
        <f t="shared" ca="1" si="95"/>
        <v/>
      </c>
      <c r="AY239" s="4" t="str">
        <f t="shared" ca="1" si="95"/>
        <v/>
      </c>
      <c r="AZ239" s="4" t="str">
        <f t="shared" ca="1" si="95"/>
        <v/>
      </c>
      <c r="BA239" s="4" t="str">
        <f t="shared" si="90"/>
        <v/>
      </c>
    </row>
    <row r="240" spans="1:53">
      <c r="A240">
        <v>176</v>
      </c>
      <c r="C240" s="4" t="str">
        <f t="shared" ca="1" si="91"/>
        <v/>
      </c>
      <c r="D240" s="4" t="str">
        <f t="shared" ca="1" si="91"/>
        <v/>
      </c>
      <c r="E240" s="4" t="str">
        <f t="shared" ca="1" si="91"/>
        <v/>
      </c>
      <c r="F240" s="4" t="str">
        <f t="shared" ca="1" si="91"/>
        <v/>
      </c>
      <c r="G240" s="4" t="str">
        <f t="shared" ca="1" si="91"/>
        <v/>
      </c>
      <c r="H240" s="4" t="str">
        <f t="shared" ca="1" si="91"/>
        <v/>
      </c>
      <c r="I240" s="4" t="str">
        <f t="shared" ca="1" si="91"/>
        <v/>
      </c>
      <c r="J240" s="4" t="str">
        <f t="shared" ca="1" si="91"/>
        <v/>
      </c>
      <c r="K240" s="4" t="str">
        <f t="shared" ca="1" si="91"/>
        <v/>
      </c>
      <c r="L240" s="4" t="str">
        <f t="shared" ca="1" si="91"/>
        <v/>
      </c>
      <c r="M240" s="4" t="str">
        <f t="shared" ca="1" si="92"/>
        <v/>
      </c>
      <c r="N240" s="4" t="str">
        <f t="shared" ca="1" si="92"/>
        <v/>
      </c>
      <c r="O240" s="4" t="str">
        <f t="shared" ca="1" si="92"/>
        <v/>
      </c>
      <c r="P240" s="4" t="str">
        <f t="shared" ca="1" si="92"/>
        <v/>
      </c>
      <c r="Q240" s="4" t="str">
        <f t="shared" ca="1" si="92"/>
        <v/>
      </c>
      <c r="R240" s="4" t="str">
        <f t="shared" ca="1" si="92"/>
        <v/>
      </c>
      <c r="S240" s="4" t="str">
        <f t="shared" ca="1" si="92"/>
        <v/>
      </c>
      <c r="T240" s="4" t="str">
        <f t="shared" ca="1" si="92"/>
        <v/>
      </c>
      <c r="U240" s="4" t="str">
        <f t="shared" ca="1" si="92"/>
        <v/>
      </c>
      <c r="V240" s="4" t="str">
        <f t="shared" ca="1" si="92"/>
        <v/>
      </c>
      <c r="W240" s="4" t="str">
        <f t="shared" ca="1" si="93"/>
        <v/>
      </c>
      <c r="X240" s="4" t="str">
        <f t="shared" ca="1" si="93"/>
        <v/>
      </c>
      <c r="Y240" s="4" t="str">
        <f t="shared" ca="1" si="93"/>
        <v/>
      </c>
      <c r="Z240" s="4" t="str">
        <f t="shared" ca="1" si="93"/>
        <v/>
      </c>
      <c r="AA240" s="4" t="str">
        <f t="shared" ca="1" si="93"/>
        <v/>
      </c>
      <c r="AB240" s="4" t="str">
        <f t="shared" ca="1" si="93"/>
        <v/>
      </c>
      <c r="AC240" s="4" t="str">
        <f t="shared" ca="1" si="93"/>
        <v/>
      </c>
      <c r="AD240" s="4" t="str">
        <f t="shared" ca="1" si="93"/>
        <v/>
      </c>
      <c r="AE240" s="4" t="str">
        <f t="shared" ca="1" si="93"/>
        <v/>
      </c>
      <c r="AF240" s="4" t="str">
        <f t="shared" ca="1" si="93"/>
        <v/>
      </c>
      <c r="AG240" s="4" t="str">
        <f t="shared" ca="1" si="94"/>
        <v/>
      </c>
      <c r="AH240" s="4" t="str">
        <f t="shared" ca="1" si="94"/>
        <v/>
      </c>
      <c r="AI240" s="4" t="str">
        <f t="shared" ca="1" si="94"/>
        <v/>
      </c>
      <c r="AJ240" s="4" t="str">
        <f t="shared" ca="1" si="94"/>
        <v/>
      </c>
      <c r="AK240" s="4" t="str">
        <f t="shared" ca="1" si="94"/>
        <v/>
      </c>
      <c r="AL240" s="4" t="str">
        <f t="shared" ca="1" si="94"/>
        <v/>
      </c>
      <c r="AM240" s="4" t="str">
        <f t="shared" ca="1" si="94"/>
        <v/>
      </c>
      <c r="AN240" s="4" t="str">
        <f t="shared" ca="1" si="94"/>
        <v/>
      </c>
      <c r="AO240" s="4" t="str">
        <f t="shared" ca="1" si="94"/>
        <v/>
      </c>
      <c r="AP240" s="4" t="str">
        <f t="shared" ca="1" si="94"/>
        <v/>
      </c>
      <c r="AQ240" s="4" t="str">
        <f t="shared" ca="1" si="95"/>
        <v/>
      </c>
      <c r="AR240" s="4" t="str">
        <f t="shared" ca="1" si="95"/>
        <v/>
      </c>
      <c r="AS240" s="4" t="str">
        <f t="shared" ca="1" si="95"/>
        <v/>
      </c>
      <c r="AT240" s="4" t="str">
        <f t="shared" ca="1" si="95"/>
        <v/>
      </c>
      <c r="AU240" s="4" t="str">
        <f t="shared" ca="1" si="95"/>
        <v/>
      </c>
      <c r="AV240" s="4" t="str">
        <f t="shared" ca="1" si="95"/>
        <v/>
      </c>
      <c r="AW240" s="4" t="str">
        <f t="shared" ca="1" si="95"/>
        <v/>
      </c>
      <c r="AX240" s="4" t="str">
        <f t="shared" ca="1" si="95"/>
        <v/>
      </c>
      <c r="AY240" s="4" t="str">
        <f t="shared" ca="1" si="95"/>
        <v/>
      </c>
      <c r="AZ240" s="4" t="str">
        <f t="shared" ca="1" si="95"/>
        <v/>
      </c>
      <c r="BA240" s="4" t="str">
        <f t="shared" si="90"/>
        <v/>
      </c>
    </row>
    <row r="241" spans="1:53">
      <c r="A241">
        <v>177</v>
      </c>
      <c r="C241" s="4" t="str">
        <f t="shared" ca="1" si="91"/>
        <v/>
      </c>
      <c r="D241" s="4" t="str">
        <f t="shared" ca="1" si="91"/>
        <v/>
      </c>
      <c r="E241" s="4" t="str">
        <f t="shared" ca="1" si="91"/>
        <v/>
      </c>
      <c r="F241" s="4" t="str">
        <f t="shared" ca="1" si="91"/>
        <v/>
      </c>
      <c r="G241" s="4" t="str">
        <f t="shared" ca="1" si="91"/>
        <v/>
      </c>
      <c r="H241" s="4" t="str">
        <f t="shared" ca="1" si="91"/>
        <v/>
      </c>
      <c r="I241" s="4" t="str">
        <f t="shared" ca="1" si="91"/>
        <v/>
      </c>
      <c r="J241" s="4" t="str">
        <f t="shared" ca="1" si="91"/>
        <v/>
      </c>
      <c r="K241" s="4" t="str">
        <f t="shared" ca="1" si="91"/>
        <v/>
      </c>
      <c r="L241" s="4" t="str">
        <f t="shared" ca="1" si="91"/>
        <v/>
      </c>
      <c r="M241" s="4" t="str">
        <f t="shared" ca="1" si="92"/>
        <v/>
      </c>
      <c r="N241" s="4" t="str">
        <f t="shared" ca="1" si="92"/>
        <v/>
      </c>
      <c r="O241" s="4" t="str">
        <f t="shared" ca="1" si="92"/>
        <v/>
      </c>
      <c r="P241" s="4" t="str">
        <f t="shared" ca="1" si="92"/>
        <v/>
      </c>
      <c r="Q241" s="4" t="str">
        <f t="shared" ca="1" si="92"/>
        <v/>
      </c>
      <c r="R241" s="4" t="str">
        <f t="shared" ca="1" si="92"/>
        <v/>
      </c>
      <c r="S241" s="4" t="str">
        <f t="shared" ca="1" si="92"/>
        <v/>
      </c>
      <c r="T241" s="4" t="str">
        <f t="shared" ca="1" si="92"/>
        <v/>
      </c>
      <c r="U241" s="4" t="str">
        <f t="shared" ca="1" si="92"/>
        <v/>
      </c>
      <c r="V241" s="4" t="str">
        <f t="shared" ca="1" si="92"/>
        <v/>
      </c>
      <c r="W241" s="4" t="str">
        <f t="shared" ca="1" si="93"/>
        <v/>
      </c>
      <c r="X241" s="4" t="str">
        <f t="shared" ca="1" si="93"/>
        <v/>
      </c>
      <c r="Y241" s="4" t="str">
        <f t="shared" ca="1" si="93"/>
        <v/>
      </c>
      <c r="Z241" s="4" t="str">
        <f t="shared" ca="1" si="93"/>
        <v/>
      </c>
      <c r="AA241" s="4" t="str">
        <f t="shared" ca="1" si="93"/>
        <v/>
      </c>
      <c r="AB241" s="4" t="str">
        <f t="shared" ca="1" si="93"/>
        <v/>
      </c>
      <c r="AC241" s="4" t="str">
        <f t="shared" ca="1" si="93"/>
        <v/>
      </c>
      <c r="AD241" s="4" t="str">
        <f t="shared" ca="1" si="93"/>
        <v/>
      </c>
      <c r="AE241" s="4" t="str">
        <f t="shared" ca="1" si="93"/>
        <v/>
      </c>
      <c r="AF241" s="4" t="str">
        <f t="shared" ca="1" si="93"/>
        <v/>
      </c>
      <c r="AG241" s="4" t="str">
        <f t="shared" ca="1" si="94"/>
        <v/>
      </c>
      <c r="AH241" s="4" t="str">
        <f t="shared" ca="1" si="94"/>
        <v/>
      </c>
      <c r="AI241" s="4" t="str">
        <f t="shared" ca="1" si="94"/>
        <v/>
      </c>
      <c r="AJ241" s="4" t="str">
        <f t="shared" ca="1" si="94"/>
        <v/>
      </c>
      <c r="AK241" s="4" t="str">
        <f t="shared" ca="1" si="94"/>
        <v/>
      </c>
      <c r="AL241" s="4" t="str">
        <f t="shared" ca="1" si="94"/>
        <v/>
      </c>
      <c r="AM241" s="4" t="str">
        <f t="shared" ca="1" si="94"/>
        <v/>
      </c>
      <c r="AN241" s="4" t="str">
        <f t="shared" ca="1" si="94"/>
        <v/>
      </c>
      <c r="AO241" s="4" t="str">
        <f t="shared" ca="1" si="94"/>
        <v/>
      </c>
      <c r="AP241" s="4" t="str">
        <f t="shared" ca="1" si="94"/>
        <v/>
      </c>
      <c r="AQ241" s="4" t="str">
        <f t="shared" ca="1" si="95"/>
        <v/>
      </c>
      <c r="AR241" s="4" t="str">
        <f t="shared" ca="1" si="95"/>
        <v/>
      </c>
      <c r="AS241" s="4" t="str">
        <f t="shared" ca="1" si="95"/>
        <v/>
      </c>
      <c r="AT241" s="4" t="str">
        <f t="shared" ca="1" si="95"/>
        <v/>
      </c>
      <c r="AU241" s="4" t="str">
        <f t="shared" ca="1" si="95"/>
        <v/>
      </c>
      <c r="AV241" s="4" t="str">
        <f t="shared" ca="1" si="95"/>
        <v/>
      </c>
      <c r="AW241" s="4" t="str">
        <f t="shared" ca="1" si="95"/>
        <v/>
      </c>
      <c r="AX241" s="4" t="str">
        <f t="shared" ca="1" si="95"/>
        <v/>
      </c>
      <c r="AY241" s="4" t="str">
        <f t="shared" ca="1" si="95"/>
        <v/>
      </c>
      <c r="AZ241" s="4" t="str">
        <f t="shared" ca="1" si="95"/>
        <v/>
      </c>
      <c r="BA241" s="4" t="str">
        <f t="shared" si="90"/>
        <v/>
      </c>
    </row>
    <row r="242" spans="1:53">
      <c r="A242">
        <v>178</v>
      </c>
      <c r="C242" s="4" t="str">
        <f t="shared" ca="1" si="91"/>
        <v/>
      </c>
      <c r="D242" s="4" t="str">
        <f t="shared" ca="1" si="91"/>
        <v/>
      </c>
      <c r="E242" s="4" t="str">
        <f t="shared" ca="1" si="91"/>
        <v/>
      </c>
      <c r="F242" s="4" t="str">
        <f t="shared" ca="1" si="91"/>
        <v/>
      </c>
      <c r="G242" s="4" t="str">
        <f t="shared" ca="1" si="91"/>
        <v/>
      </c>
      <c r="H242" s="4" t="str">
        <f t="shared" ca="1" si="91"/>
        <v/>
      </c>
      <c r="I242" s="4" t="str">
        <f t="shared" ca="1" si="91"/>
        <v/>
      </c>
      <c r="J242" s="4" t="str">
        <f t="shared" ca="1" si="91"/>
        <v/>
      </c>
      <c r="K242" s="4" t="str">
        <f t="shared" ca="1" si="91"/>
        <v/>
      </c>
      <c r="L242" s="4" t="str">
        <f t="shared" ca="1" si="91"/>
        <v/>
      </c>
      <c r="M242" s="4" t="str">
        <f t="shared" ca="1" si="92"/>
        <v/>
      </c>
      <c r="N242" s="4" t="str">
        <f t="shared" ca="1" si="92"/>
        <v/>
      </c>
      <c r="O242" s="4" t="str">
        <f t="shared" ca="1" si="92"/>
        <v/>
      </c>
      <c r="P242" s="4" t="str">
        <f t="shared" ca="1" si="92"/>
        <v/>
      </c>
      <c r="Q242" s="4" t="str">
        <f t="shared" ca="1" si="92"/>
        <v/>
      </c>
      <c r="R242" s="4" t="str">
        <f t="shared" ca="1" si="92"/>
        <v/>
      </c>
      <c r="S242" s="4" t="str">
        <f t="shared" ca="1" si="92"/>
        <v/>
      </c>
      <c r="T242" s="4" t="str">
        <f t="shared" ca="1" si="92"/>
        <v/>
      </c>
      <c r="U242" s="4" t="str">
        <f t="shared" ca="1" si="92"/>
        <v/>
      </c>
      <c r="V242" s="4" t="str">
        <f t="shared" ca="1" si="92"/>
        <v/>
      </c>
      <c r="W242" s="4" t="str">
        <f t="shared" ca="1" si="93"/>
        <v/>
      </c>
      <c r="X242" s="4" t="str">
        <f t="shared" ca="1" si="93"/>
        <v/>
      </c>
      <c r="Y242" s="4" t="str">
        <f t="shared" ca="1" si="93"/>
        <v/>
      </c>
      <c r="Z242" s="4" t="str">
        <f t="shared" ca="1" si="93"/>
        <v/>
      </c>
      <c r="AA242" s="4" t="str">
        <f t="shared" ca="1" si="93"/>
        <v/>
      </c>
      <c r="AB242" s="4" t="str">
        <f t="shared" ca="1" si="93"/>
        <v/>
      </c>
      <c r="AC242" s="4" t="str">
        <f t="shared" ca="1" si="93"/>
        <v/>
      </c>
      <c r="AD242" s="4" t="str">
        <f t="shared" ca="1" si="93"/>
        <v/>
      </c>
      <c r="AE242" s="4" t="str">
        <f t="shared" ca="1" si="93"/>
        <v/>
      </c>
      <c r="AF242" s="4" t="str">
        <f t="shared" ca="1" si="93"/>
        <v/>
      </c>
      <c r="AG242" s="4" t="str">
        <f t="shared" ca="1" si="94"/>
        <v/>
      </c>
      <c r="AH242" s="4" t="str">
        <f t="shared" ca="1" si="94"/>
        <v/>
      </c>
      <c r="AI242" s="4" t="str">
        <f t="shared" ca="1" si="94"/>
        <v/>
      </c>
      <c r="AJ242" s="4" t="str">
        <f t="shared" ca="1" si="94"/>
        <v/>
      </c>
      <c r="AK242" s="4" t="str">
        <f t="shared" ca="1" si="94"/>
        <v/>
      </c>
      <c r="AL242" s="4" t="str">
        <f t="shared" ca="1" si="94"/>
        <v/>
      </c>
      <c r="AM242" s="4" t="str">
        <f t="shared" ca="1" si="94"/>
        <v/>
      </c>
      <c r="AN242" s="4" t="str">
        <f t="shared" ca="1" si="94"/>
        <v/>
      </c>
      <c r="AO242" s="4" t="str">
        <f t="shared" ca="1" si="94"/>
        <v/>
      </c>
      <c r="AP242" s="4" t="str">
        <f t="shared" ca="1" si="94"/>
        <v/>
      </c>
      <c r="AQ242" s="4" t="str">
        <f t="shared" ca="1" si="95"/>
        <v/>
      </c>
      <c r="AR242" s="4" t="str">
        <f t="shared" ca="1" si="95"/>
        <v/>
      </c>
      <c r="AS242" s="4" t="str">
        <f t="shared" ca="1" si="95"/>
        <v/>
      </c>
      <c r="AT242" s="4" t="str">
        <f t="shared" ca="1" si="95"/>
        <v/>
      </c>
      <c r="AU242" s="4" t="str">
        <f t="shared" ca="1" si="95"/>
        <v/>
      </c>
      <c r="AV242" s="4" t="str">
        <f t="shared" ca="1" si="95"/>
        <v/>
      </c>
      <c r="AW242" s="4" t="str">
        <f t="shared" ca="1" si="95"/>
        <v/>
      </c>
      <c r="AX242" s="4" t="str">
        <f t="shared" ca="1" si="95"/>
        <v/>
      </c>
      <c r="AY242" s="4" t="str">
        <f t="shared" ca="1" si="95"/>
        <v/>
      </c>
      <c r="AZ242" s="4" t="str">
        <f t="shared" ca="1" si="95"/>
        <v/>
      </c>
      <c r="BA242" s="4" t="str">
        <f t="shared" si="90"/>
        <v/>
      </c>
    </row>
    <row r="243" spans="1:53">
      <c r="A243">
        <v>179</v>
      </c>
      <c r="C243" s="4" t="str">
        <f t="shared" ca="1" si="91"/>
        <v/>
      </c>
      <c r="D243" s="4" t="str">
        <f t="shared" ca="1" si="91"/>
        <v/>
      </c>
      <c r="E243" s="4" t="str">
        <f t="shared" ca="1" si="91"/>
        <v/>
      </c>
      <c r="F243" s="4" t="str">
        <f t="shared" ca="1" si="91"/>
        <v/>
      </c>
      <c r="G243" s="4" t="str">
        <f t="shared" ca="1" si="91"/>
        <v/>
      </c>
      <c r="H243" s="4" t="str">
        <f t="shared" ca="1" si="91"/>
        <v/>
      </c>
      <c r="I243" s="4" t="str">
        <f t="shared" ca="1" si="91"/>
        <v/>
      </c>
      <c r="J243" s="4" t="str">
        <f t="shared" ca="1" si="91"/>
        <v/>
      </c>
      <c r="K243" s="4" t="str">
        <f t="shared" ca="1" si="91"/>
        <v/>
      </c>
      <c r="L243" s="4" t="str">
        <f t="shared" ca="1" si="91"/>
        <v/>
      </c>
      <c r="M243" s="4" t="str">
        <f t="shared" ca="1" si="92"/>
        <v/>
      </c>
      <c r="N243" s="4" t="str">
        <f t="shared" ca="1" si="92"/>
        <v/>
      </c>
      <c r="O243" s="4" t="str">
        <f t="shared" ca="1" si="92"/>
        <v/>
      </c>
      <c r="P243" s="4" t="str">
        <f t="shared" ca="1" si="92"/>
        <v/>
      </c>
      <c r="Q243" s="4" t="str">
        <f t="shared" ca="1" si="92"/>
        <v/>
      </c>
      <c r="R243" s="4" t="str">
        <f t="shared" ca="1" si="92"/>
        <v/>
      </c>
      <c r="S243" s="4" t="str">
        <f t="shared" ca="1" si="92"/>
        <v/>
      </c>
      <c r="T243" s="4" t="str">
        <f t="shared" ca="1" si="92"/>
        <v/>
      </c>
      <c r="U243" s="4" t="str">
        <f t="shared" ca="1" si="92"/>
        <v/>
      </c>
      <c r="V243" s="4" t="str">
        <f t="shared" ca="1" si="92"/>
        <v/>
      </c>
      <c r="W243" s="4" t="str">
        <f t="shared" ca="1" si="93"/>
        <v/>
      </c>
      <c r="X243" s="4" t="str">
        <f t="shared" ca="1" si="93"/>
        <v/>
      </c>
      <c r="Y243" s="4" t="str">
        <f t="shared" ca="1" si="93"/>
        <v/>
      </c>
      <c r="Z243" s="4" t="str">
        <f t="shared" ca="1" si="93"/>
        <v/>
      </c>
      <c r="AA243" s="4" t="str">
        <f t="shared" ca="1" si="93"/>
        <v/>
      </c>
      <c r="AB243" s="4" t="str">
        <f t="shared" ca="1" si="93"/>
        <v/>
      </c>
      <c r="AC243" s="4" t="str">
        <f t="shared" ca="1" si="93"/>
        <v/>
      </c>
      <c r="AD243" s="4" t="str">
        <f t="shared" ca="1" si="93"/>
        <v/>
      </c>
      <c r="AE243" s="4" t="str">
        <f t="shared" ca="1" si="93"/>
        <v/>
      </c>
      <c r="AF243" s="4" t="str">
        <f t="shared" ca="1" si="93"/>
        <v/>
      </c>
      <c r="AG243" s="4" t="str">
        <f t="shared" ca="1" si="94"/>
        <v/>
      </c>
      <c r="AH243" s="4" t="str">
        <f t="shared" ca="1" si="94"/>
        <v/>
      </c>
      <c r="AI243" s="4" t="str">
        <f t="shared" ca="1" si="94"/>
        <v/>
      </c>
      <c r="AJ243" s="4" t="str">
        <f t="shared" ca="1" si="94"/>
        <v/>
      </c>
      <c r="AK243" s="4" t="str">
        <f t="shared" ca="1" si="94"/>
        <v/>
      </c>
      <c r="AL243" s="4" t="str">
        <f t="shared" ca="1" si="94"/>
        <v/>
      </c>
      <c r="AM243" s="4" t="str">
        <f t="shared" ca="1" si="94"/>
        <v/>
      </c>
      <c r="AN243" s="4" t="str">
        <f t="shared" ca="1" si="94"/>
        <v/>
      </c>
      <c r="AO243" s="4" t="str">
        <f t="shared" ca="1" si="94"/>
        <v/>
      </c>
      <c r="AP243" s="4" t="str">
        <f t="shared" ca="1" si="94"/>
        <v/>
      </c>
      <c r="AQ243" s="4" t="str">
        <f t="shared" ca="1" si="95"/>
        <v/>
      </c>
      <c r="AR243" s="4" t="str">
        <f t="shared" ca="1" si="95"/>
        <v/>
      </c>
      <c r="AS243" s="4" t="str">
        <f t="shared" ca="1" si="95"/>
        <v/>
      </c>
      <c r="AT243" s="4" t="str">
        <f t="shared" ca="1" si="95"/>
        <v/>
      </c>
      <c r="AU243" s="4" t="str">
        <f t="shared" ca="1" si="95"/>
        <v/>
      </c>
      <c r="AV243" s="4" t="str">
        <f t="shared" ca="1" si="95"/>
        <v/>
      </c>
      <c r="AW243" s="4" t="str">
        <f t="shared" ca="1" si="95"/>
        <v/>
      </c>
      <c r="AX243" s="4" t="str">
        <f t="shared" ca="1" si="95"/>
        <v/>
      </c>
      <c r="AY243" s="4" t="str">
        <f t="shared" ca="1" si="95"/>
        <v/>
      </c>
      <c r="AZ243" s="4" t="str">
        <f t="shared" ca="1" si="95"/>
        <v/>
      </c>
      <c r="BA243" s="4" t="str">
        <f t="shared" si="90"/>
        <v/>
      </c>
    </row>
    <row r="244" spans="1:53">
      <c r="A244">
        <v>180</v>
      </c>
      <c r="C244" s="4" t="str">
        <f t="shared" ca="1" si="91"/>
        <v/>
      </c>
      <c r="D244" s="4" t="str">
        <f t="shared" ca="1" si="91"/>
        <v/>
      </c>
      <c r="E244" s="4" t="str">
        <f t="shared" ca="1" si="91"/>
        <v/>
      </c>
      <c r="F244" s="4" t="str">
        <f t="shared" ca="1" si="91"/>
        <v/>
      </c>
      <c r="G244" s="4" t="str">
        <f t="shared" ca="1" si="91"/>
        <v/>
      </c>
      <c r="H244" s="4" t="str">
        <f t="shared" ca="1" si="91"/>
        <v/>
      </c>
      <c r="I244" s="4" t="str">
        <f t="shared" ca="1" si="91"/>
        <v/>
      </c>
      <c r="J244" s="4" t="str">
        <f t="shared" ca="1" si="91"/>
        <v/>
      </c>
      <c r="K244" s="4" t="str">
        <f t="shared" ca="1" si="91"/>
        <v/>
      </c>
      <c r="L244" s="4" t="str">
        <f t="shared" ca="1" si="91"/>
        <v/>
      </c>
      <c r="M244" s="4" t="str">
        <f t="shared" ca="1" si="92"/>
        <v/>
      </c>
      <c r="N244" s="4" t="str">
        <f t="shared" ca="1" si="92"/>
        <v/>
      </c>
      <c r="O244" s="4" t="str">
        <f t="shared" ca="1" si="92"/>
        <v/>
      </c>
      <c r="P244" s="4" t="str">
        <f t="shared" ca="1" si="92"/>
        <v/>
      </c>
      <c r="Q244" s="4" t="str">
        <f t="shared" ca="1" si="92"/>
        <v/>
      </c>
      <c r="R244" s="4" t="str">
        <f t="shared" ca="1" si="92"/>
        <v/>
      </c>
      <c r="S244" s="4" t="str">
        <f t="shared" ca="1" si="92"/>
        <v/>
      </c>
      <c r="T244" s="4" t="str">
        <f t="shared" ca="1" si="92"/>
        <v/>
      </c>
      <c r="U244" s="4" t="str">
        <f t="shared" ca="1" si="92"/>
        <v/>
      </c>
      <c r="V244" s="4" t="str">
        <f t="shared" ca="1" si="92"/>
        <v/>
      </c>
      <c r="W244" s="4" t="str">
        <f t="shared" ca="1" si="93"/>
        <v/>
      </c>
      <c r="X244" s="4" t="str">
        <f t="shared" ca="1" si="93"/>
        <v/>
      </c>
      <c r="Y244" s="4" t="str">
        <f t="shared" ca="1" si="93"/>
        <v/>
      </c>
      <c r="Z244" s="4" t="str">
        <f t="shared" ca="1" si="93"/>
        <v/>
      </c>
      <c r="AA244" s="4" t="str">
        <f t="shared" ca="1" si="93"/>
        <v/>
      </c>
      <c r="AB244" s="4" t="str">
        <f t="shared" ca="1" si="93"/>
        <v/>
      </c>
      <c r="AC244" s="4" t="str">
        <f t="shared" ca="1" si="93"/>
        <v/>
      </c>
      <c r="AD244" s="4" t="str">
        <f t="shared" ca="1" si="93"/>
        <v/>
      </c>
      <c r="AE244" s="4" t="str">
        <f t="shared" ca="1" si="93"/>
        <v/>
      </c>
      <c r="AF244" s="4" t="str">
        <f t="shared" ca="1" si="93"/>
        <v/>
      </c>
      <c r="AG244" s="4" t="str">
        <f t="shared" ca="1" si="94"/>
        <v/>
      </c>
      <c r="AH244" s="4" t="str">
        <f t="shared" ca="1" si="94"/>
        <v/>
      </c>
      <c r="AI244" s="4" t="str">
        <f t="shared" ca="1" si="94"/>
        <v/>
      </c>
      <c r="AJ244" s="4" t="str">
        <f t="shared" ca="1" si="94"/>
        <v/>
      </c>
      <c r="AK244" s="4" t="str">
        <f t="shared" ca="1" si="94"/>
        <v/>
      </c>
      <c r="AL244" s="4" t="str">
        <f t="shared" ca="1" si="94"/>
        <v/>
      </c>
      <c r="AM244" s="4" t="str">
        <f t="shared" ca="1" si="94"/>
        <v/>
      </c>
      <c r="AN244" s="4" t="str">
        <f t="shared" ca="1" si="94"/>
        <v/>
      </c>
      <c r="AO244" s="4" t="str">
        <f t="shared" ca="1" si="94"/>
        <v/>
      </c>
      <c r="AP244" s="4" t="str">
        <f t="shared" ca="1" si="94"/>
        <v/>
      </c>
      <c r="AQ244" s="4" t="str">
        <f t="shared" ca="1" si="95"/>
        <v/>
      </c>
      <c r="AR244" s="4" t="str">
        <f t="shared" ca="1" si="95"/>
        <v/>
      </c>
      <c r="AS244" s="4" t="str">
        <f t="shared" ca="1" si="95"/>
        <v/>
      </c>
      <c r="AT244" s="4" t="str">
        <f t="shared" ca="1" si="95"/>
        <v/>
      </c>
      <c r="AU244" s="4" t="str">
        <f t="shared" ca="1" si="95"/>
        <v/>
      </c>
      <c r="AV244" s="4" t="str">
        <f t="shared" ca="1" si="95"/>
        <v/>
      </c>
      <c r="AW244" s="4" t="str">
        <f t="shared" ca="1" si="95"/>
        <v/>
      </c>
      <c r="AX244" s="4" t="str">
        <f t="shared" ca="1" si="95"/>
        <v/>
      </c>
      <c r="AY244" s="4" t="str">
        <f t="shared" ca="1" si="95"/>
        <v/>
      </c>
      <c r="AZ244" s="4" t="str">
        <f t="shared" ca="1" si="95"/>
        <v/>
      </c>
      <c r="BA244" s="4" t="str">
        <f t="shared" si="90"/>
        <v/>
      </c>
    </row>
    <row r="245" spans="1:53">
      <c r="A245">
        <v>181</v>
      </c>
      <c r="C245" s="4" t="str">
        <f t="shared" ref="C245:L254" ca="1" si="96">IF(COLUMN()-2&lt;=$E$3,INDEX($B$10:$B$59,RANDBETWEEN(1,$E$3)),"")</f>
        <v/>
      </c>
      <c r="D245" s="4" t="str">
        <f t="shared" ca="1" si="96"/>
        <v/>
      </c>
      <c r="E245" s="4" t="str">
        <f t="shared" ca="1" si="96"/>
        <v/>
      </c>
      <c r="F245" s="4" t="str">
        <f t="shared" ca="1" si="96"/>
        <v/>
      </c>
      <c r="G245" s="4" t="str">
        <f t="shared" ca="1" si="96"/>
        <v/>
      </c>
      <c r="H245" s="4" t="str">
        <f t="shared" ca="1" si="96"/>
        <v/>
      </c>
      <c r="I245" s="4" t="str">
        <f t="shared" ca="1" si="96"/>
        <v/>
      </c>
      <c r="J245" s="4" t="str">
        <f t="shared" ca="1" si="96"/>
        <v/>
      </c>
      <c r="K245" s="4" t="str">
        <f t="shared" ca="1" si="96"/>
        <v/>
      </c>
      <c r="L245" s="4" t="str">
        <f t="shared" ca="1" si="96"/>
        <v/>
      </c>
      <c r="M245" s="4" t="str">
        <f t="shared" ref="M245:V254" ca="1" si="97">IF(COLUMN()-2&lt;=$E$3,INDEX($B$10:$B$59,RANDBETWEEN(1,$E$3)),"")</f>
        <v/>
      </c>
      <c r="N245" s="4" t="str">
        <f t="shared" ca="1" si="97"/>
        <v/>
      </c>
      <c r="O245" s="4" t="str">
        <f t="shared" ca="1" si="97"/>
        <v/>
      </c>
      <c r="P245" s="4" t="str">
        <f t="shared" ca="1" si="97"/>
        <v/>
      </c>
      <c r="Q245" s="4" t="str">
        <f t="shared" ca="1" si="97"/>
        <v/>
      </c>
      <c r="R245" s="4" t="str">
        <f t="shared" ca="1" si="97"/>
        <v/>
      </c>
      <c r="S245" s="4" t="str">
        <f t="shared" ca="1" si="97"/>
        <v/>
      </c>
      <c r="T245" s="4" t="str">
        <f t="shared" ca="1" si="97"/>
        <v/>
      </c>
      <c r="U245" s="4" t="str">
        <f t="shared" ca="1" si="97"/>
        <v/>
      </c>
      <c r="V245" s="4" t="str">
        <f t="shared" ca="1" si="97"/>
        <v/>
      </c>
      <c r="W245" s="4" t="str">
        <f t="shared" ref="W245:AF254" ca="1" si="98">IF(COLUMN()-2&lt;=$E$3,INDEX($B$10:$B$59,RANDBETWEEN(1,$E$3)),"")</f>
        <v/>
      </c>
      <c r="X245" s="4" t="str">
        <f t="shared" ca="1" si="98"/>
        <v/>
      </c>
      <c r="Y245" s="4" t="str">
        <f t="shared" ca="1" si="98"/>
        <v/>
      </c>
      <c r="Z245" s="4" t="str">
        <f t="shared" ca="1" si="98"/>
        <v/>
      </c>
      <c r="AA245" s="4" t="str">
        <f t="shared" ca="1" si="98"/>
        <v/>
      </c>
      <c r="AB245" s="4" t="str">
        <f t="shared" ca="1" si="98"/>
        <v/>
      </c>
      <c r="AC245" s="4" t="str">
        <f t="shared" ca="1" si="98"/>
        <v/>
      </c>
      <c r="AD245" s="4" t="str">
        <f t="shared" ca="1" si="98"/>
        <v/>
      </c>
      <c r="AE245" s="4" t="str">
        <f t="shared" ca="1" si="98"/>
        <v/>
      </c>
      <c r="AF245" s="4" t="str">
        <f t="shared" ca="1" si="98"/>
        <v/>
      </c>
      <c r="AG245" s="4" t="str">
        <f t="shared" ref="AG245:AP254" ca="1" si="99">IF(COLUMN()-2&lt;=$E$3,INDEX($B$10:$B$59,RANDBETWEEN(1,$E$3)),"")</f>
        <v/>
      </c>
      <c r="AH245" s="4" t="str">
        <f t="shared" ca="1" si="99"/>
        <v/>
      </c>
      <c r="AI245" s="4" t="str">
        <f t="shared" ca="1" si="99"/>
        <v/>
      </c>
      <c r="AJ245" s="4" t="str">
        <f t="shared" ca="1" si="99"/>
        <v/>
      </c>
      <c r="AK245" s="4" t="str">
        <f t="shared" ca="1" si="99"/>
        <v/>
      </c>
      <c r="AL245" s="4" t="str">
        <f t="shared" ca="1" si="99"/>
        <v/>
      </c>
      <c r="AM245" s="4" t="str">
        <f t="shared" ca="1" si="99"/>
        <v/>
      </c>
      <c r="AN245" s="4" t="str">
        <f t="shared" ca="1" si="99"/>
        <v/>
      </c>
      <c r="AO245" s="4" t="str">
        <f t="shared" ca="1" si="99"/>
        <v/>
      </c>
      <c r="AP245" s="4" t="str">
        <f t="shared" ca="1" si="99"/>
        <v/>
      </c>
      <c r="AQ245" s="4" t="str">
        <f t="shared" ref="AQ245:AZ254" ca="1" si="100">IF(COLUMN()-2&lt;=$E$3,INDEX($B$10:$B$59,RANDBETWEEN(1,$E$3)),"")</f>
        <v/>
      </c>
      <c r="AR245" s="4" t="str">
        <f t="shared" ca="1" si="100"/>
        <v/>
      </c>
      <c r="AS245" s="4" t="str">
        <f t="shared" ca="1" si="100"/>
        <v/>
      </c>
      <c r="AT245" s="4" t="str">
        <f t="shared" ca="1" si="100"/>
        <v/>
      </c>
      <c r="AU245" s="4" t="str">
        <f t="shared" ca="1" si="100"/>
        <v/>
      </c>
      <c r="AV245" s="4" t="str">
        <f t="shared" ca="1" si="100"/>
        <v/>
      </c>
      <c r="AW245" s="4" t="str">
        <f t="shared" ca="1" si="100"/>
        <v/>
      </c>
      <c r="AX245" s="4" t="str">
        <f t="shared" ca="1" si="100"/>
        <v/>
      </c>
      <c r="AY245" s="4" t="str">
        <f t="shared" ca="1" si="100"/>
        <v/>
      </c>
      <c r="AZ245" s="4" t="str">
        <f t="shared" ca="1" si="100"/>
        <v/>
      </c>
      <c r="BA245" s="4" t="str">
        <f t="shared" si="90"/>
        <v/>
      </c>
    </row>
    <row r="246" spans="1:53">
      <c r="A246">
        <v>182</v>
      </c>
      <c r="C246" s="4" t="str">
        <f t="shared" ca="1" si="96"/>
        <v/>
      </c>
      <c r="D246" s="4" t="str">
        <f t="shared" ca="1" si="96"/>
        <v/>
      </c>
      <c r="E246" s="4" t="str">
        <f t="shared" ca="1" si="96"/>
        <v/>
      </c>
      <c r="F246" s="4" t="str">
        <f t="shared" ca="1" si="96"/>
        <v/>
      </c>
      <c r="G246" s="4" t="str">
        <f t="shared" ca="1" si="96"/>
        <v/>
      </c>
      <c r="H246" s="4" t="str">
        <f t="shared" ca="1" si="96"/>
        <v/>
      </c>
      <c r="I246" s="4" t="str">
        <f t="shared" ca="1" si="96"/>
        <v/>
      </c>
      <c r="J246" s="4" t="str">
        <f t="shared" ca="1" si="96"/>
        <v/>
      </c>
      <c r="K246" s="4" t="str">
        <f t="shared" ca="1" si="96"/>
        <v/>
      </c>
      <c r="L246" s="4" t="str">
        <f t="shared" ca="1" si="96"/>
        <v/>
      </c>
      <c r="M246" s="4" t="str">
        <f t="shared" ca="1" si="97"/>
        <v/>
      </c>
      <c r="N246" s="4" t="str">
        <f t="shared" ca="1" si="97"/>
        <v/>
      </c>
      <c r="O246" s="4" t="str">
        <f t="shared" ca="1" si="97"/>
        <v/>
      </c>
      <c r="P246" s="4" t="str">
        <f t="shared" ca="1" si="97"/>
        <v/>
      </c>
      <c r="Q246" s="4" t="str">
        <f t="shared" ca="1" si="97"/>
        <v/>
      </c>
      <c r="R246" s="4" t="str">
        <f t="shared" ca="1" si="97"/>
        <v/>
      </c>
      <c r="S246" s="4" t="str">
        <f t="shared" ca="1" si="97"/>
        <v/>
      </c>
      <c r="T246" s="4" t="str">
        <f t="shared" ca="1" si="97"/>
        <v/>
      </c>
      <c r="U246" s="4" t="str">
        <f t="shared" ca="1" si="97"/>
        <v/>
      </c>
      <c r="V246" s="4" t="str">
        <f t="shared" ca="1" si="97"/>
        <v/>
      </c>
      <c r="W246" s="4" t="str">
        <f t="shared" ca="1" si="98"/>
        <v/>
      </c>
      <c r="X246" s="4" t="str">
        <f t="shared" ca="1" si="98"/>
        <v/>
      </c>
      <c r="Y246" s="4" t="str">
        <f t="shared" ca="1" si="98"/>
        <v/>
      </c>
      <c r="Z246" s="4" t="str">
        <f t="shared" ca="1" si="98"/>
        <v/>
      </c>
      <c r="AA246" s="4" t="str">
        <f t="shared" ca="1" si="98"/>
        <v/>
      </c>
      <c r="AB246" s="4" t="str">
        <f t="shared" ca="1" si="98"/>
        <v/>
      </c>
      <c r="AC246" s="4" t="str">
        <f t="shared" ca="1" si="98"/>
        <v/>
      </c>
      <c r="AD246" s="4" t="str">
        <f t="shared" ca="1" si="98"/>
        <v/>
      </c>
      <c r="AE246" s="4" t="str">
        <f t="shared" ca="1" si="98"/>
        <v/>
      </c>
      <c r="AF246" s="4" t="str">
        <f t="shared" ca="1" si="98"/>
        <v/>
      </c>
      <c r="AG246" s="4" t="str">
        <f t="shared" ca="1" si="99"/>
        <v/>
      </c>
      <c r="AH246" s="4" t="str">
        <f t="shared" ca="1" si="99"/>
        <v/>
      </c>
      <c r="AI246" s="4" t="str">
        <f t="shared" ca="1" si="99"/>
        <v/>
      </c>
      <c r="AJ246" s="4" t="str">
        <f t="shared" ca="1" si="99"/>
        <v/>
      </c>
      <c r="AK246" s="4" t="str">
        <f t="shared" ca="1" si="99"/>
        <v/>
      </c>
      <c r="AL246" s="4" t="str">
        <f t="shared" ca="1" si="99"/>
        <v/>
      </c>
      <c r="AM246" s="4" t="str">
        <f t="shared" ca="1" si="99"/>
        <v/>
      </c>
      <c r="AN246" s="4" t="str">
        <f t="shared" ca="1" si="99"/>
        <v/>
      </c>
      <c r="AO246" s="4" t="str">
        <f t="shared" ca="1" si="99"/>
        <v/>
      </c>
      <c r="AP246" s="4" t="str">
        <f t="shared" ca="1" si="99"/>
        <v/>
      </c>
      <c r="AQ246" s="4" t="str">
        <f t="shared" ca="1" si="100"/>
        <v/>
      </c>
      <c r="AR246" s="4" t="str">
        <f t="shared" ca="1" si="100"/>
        <v/>
      </c>
      <c r="AS246" s="4" t="str">
        <f t="shared" ca="1" si="100"/>
        <v/>
      </c>
      <c r="AT246" s="4" t="str">
        <f t="shared" ca="1" si="100"/>
        <v/>
      </c>
      <c r="AU246" s="4" t="str">
        <f t="shared" ca="1" si="100"/>
        <v/>
      </c>
      <c r="AV246" s="4" t="str">
        <f t="shared" ca="1" si="100"/>
        <v/>
      </c>
      <c r="AW246" s="4" t="str">
        <f t="shared" ca="1" si="100"/>
        <v/>
      </c>
      <c r="AX246" s="4" t="str">
        <f t="shared" ca="1" si="100"/>
        <v/>
      </c>
      <c r="AY246" s="4" t="str">
        <f t="shared" ca="1" si="100"/>
        <v/>
      </c>
      <c r="AZ246" s="4" t="str">
        <f t="shared" ca="1" si="100"/>
        <v/>
      </c>
      <c r="BA246" s="4" t="str">
        <f t="shared" si="90"/>
        <v/>
      </c>
    </row>
    <row r="247" spans="1:53">
      <c r="A247">
        <v>183</v>
      </c>
      <c r="C247" s="4" t="str">
        <f t="shared" ca="1" si="96"/>
        <v/>
      </c>
      <c r="D247" s="4" t="str">
        <f t="shared" ca="1" si="96"/>
        <v/>
      </c>
      <c r="E247" s="4" t="str">
        <f t="shared" ca="1" si="96"/>
        <v/>
      </c>
      <c r="F247" s="4" t="str">
        <f t="shared" ca="1" si="96"/>
        <v/>
      </c>
      <c r="G247" s="4" t="str">
        <f t="shared" ca="1" si="96"/>
        <v/>
      </c>
      <c r="H247" s="4" t="str">
        <f t="shared" ca="1" si="96"/>
        <v/>
      </c>
      <c r="I247" s="4" t="str">
        <f t="shared" ca="1" si="96"/>
        <v/>
      </c>
      <c r="J247" s="4" t="str">
        <f t="shared" ca="1" si="96"/>
        <v/>
      </c>
      <c r="K247" s="4" t="str">
        <f t="shared" ca="1" si="96"/>
        <v/>
      </c>
      <c r="L247" s="4" t="str">
        <f t="shared" ca="1" si="96"/>
        <v/>
      </c>
      <c r="M247" s="4" t="str">
        <f t="shared" ca="1" si="97"/>
        <v/>
      </c>
      <c r="N247" s="4" t="str">
        <f t="shared" ca="1" si="97"/>
        <v/>
      </c>
      <c r="O247" s="4" t="str">
        <f t="shared" ca="1" si="97"/>
        <v/>
      </c>
      <c r="P247" s="4" t="str">
        <f t="shared" ca="1" si="97"/>
        <v/>
      </c>
      <c r="Q247" s="4" t="str">
        <f t="shared" ca="1" si="97"/>
        <v/>
      </c>
      <c r="R247" s="4" t="str">
        <f t="shared" ca="1" si="97"/>
        <v/>
      </c>
      <c r="S247" s="4" t="str">
        <f t="shared" ca="1" si="97"/>
        <v/>
      </c>
      <c r="T247" s="4" t="str">
        <f t="shared" ca="1" si="97"/>
        <v/>
      </c>
      <c r="U247" s="4" t="str">
        <f t="shared" ca="1" si="97"/>
        <v/>
      </c>
      <c r="V247" s="4" t="str">
        <f t="shared" ca="1" si="97"/>
        <v/>
      </c>
      <c r="W247" s="4" t="str">
        <f t="shared" ca="1" si="98"/>
        <v/>
      </c>
      <c r="X247" s="4" t="str">
        <f t="shared" ca="1" si="98"/>
        <v/>
      </c>
      <c r="Y247" s="4" t="str">
        <f t="shared" ca="1" si="98"/>
        <v/>
      </c>
      <c r="Z247" s="4" t="str">
        <f t="shared" ca="1" si="98"/>
        <v/>
      </c>
      <c r="AA247" s="4" t="str">
        <f t="shared" ca="1" si="98"/>
        <v/>
      </c>
      <c r="AB247" s="4" t="str">
        <f t="shared" ca="1" si="98"/>
        <v/>
      </c>
      <c r="AC247" s="4" t="str">
        <f t="shared" ca="1" si="98"/>
        <v/>
      </c>
      <c r="AD247" s="4" t="str">
        <f t="shared" ca="1" si="98"/>
        <v/>
      </c>
      <c r="AE247" s="4" t="str">
        <f t="shared" ca="1" si="98"/>
        <v/>
      </c>
      <c r="AF247" s="4" t="str">
        <f t="shared" ca="1" si="98"/>
        <v/>
      </c>
      <c r="AG247" s="4" t="str">
        <f t="shared" ca="1" si="99"/>
        <v/>
      </c>
      <c r="AH247" s="4" t="str">
        <f t="shared" ca="1" si="99"/>
        <v/>
      </c>
      <c r="AI247" s="4" t="str">
        <f t="shared" ca="1" si="99"/>
        <v/>
      </c>
      <c r="AJ247" s="4" t="str">
        <f t="shared" ca="1" si="99"/>
        <v/>
      </c>
      <c r="AK247" s="4" t="str">
        <f t="shared" ca="1" si="99"/>
        <v/>
      </c>
      <c r="AL247" s="4" t="str">
        <f t="shared" ca="1" si="99"/>
        <v/>
      </c>
      <c r="AM247" s="4" t="str">
        <f t="shared" ca="1" si="99"/>
        <v/>
      </c>
      <c r="AN247" s="4" t="str">
        <f t="shared" ca="1" si="99"/>
        <v/>
      </c>
      <c r="AO247" s="4" t="str">
        <f t="shared" ca="1" si="99"/>
        <v/>
      </c>
      <c r="AP247" s="4" t="str">
        <f t="shared" ca="1" si="99"/>
        <v/>
      </c>
      <c r="AQ247" s="4" t="str">
        <f t="shared" ca="1" si="100"/>
        <v/>
      </c>
      <c r="AR247" s="4" t="str">
        <f t="shared" ca="1" si="100"/>
        <v/>
      </c>
      <c r="AS247" s="4" t="str">
        <f t="shared" ca="1" si="100"/>
        <v/>
      </c>
      <c r="AT247" s="4" t="str">
        <f t="shared" ca="1" si="100"/>
        <v/>
      </c>
      <c r="AU247" s="4" t="str">
        <f t="shared" ca="1" si="100"/>
        <v/>
      </c>
      <c r="AV247" s="4" t="str">
        <f t="shared" ca="1" si="100"/>
        <v/>
      </c>
      <c r="AW247" s="4" t="str">
        <f t="shared" ca="1" si="100"/>
        <v/>
      </c>
      <c r="AX247" s="4" t="str">
        <f t="shared" ca="1" si="100"/>
        <v/>
      </c>
      <c r="AY247" s="4" t="str">
        <f t="shared" ca="1" si="100"/>
        <v/>
      </c>
      <c r="AZ247" s="4" t="str">
        <f t="shared" ca="1" si="100"/>
        <v/>
      </c>
      <c r="BA247" s="4" t="str">
        <f t="shared" si="90"/>
        <v/>
      </c>
    </row>
    <row r="248" spans="1:53">
      <c r="A248">
        <v>184</v>
      </c>
      <c r="C248" s="4" t="str">
        <f t="shared" ca="1" si="96"/>
        <v/>
      </c>
      <c r="D248" s="4" t="str">
        <f t="shared" ca="1" si="96"/>
        <v/>
      </c>
      <c r="E248" s="4" t="str">
        <f t="shared" ca="1" si="96"/>
        <v/>
      </c>
      <c r="F248" s="4" t="str">
        <f t="shared" ca="1" si="96"/>
        <v/>
      </c>
      <c r="G248" s="4" t="str">
        <f t="shared" ca="1" si="96"/>
        <v/>
      </c>
      <c r="H248" s="4" t="str">
        <f t="shared" ca="1" si="96"/>
        <v/>
      </c>
      <c r="I248" s="4" t="str">
        <f t="shared" ca="1" si="96"/>
        <v/>
      </c>
      <c r="J248" s="4" t="str">
        <f t="shared" ca="1" si="96"/>
        <v/>
      </c>
      <c r="K248" s="4" t="str">
        <f t="shared" ca="1" si="96"/>
        <v/>
      </c>
      <c r="L248" s="4" t="str">
        <f t="shared" ca="1" si="96"/>
        <v/>
      </c>
      <c r="M248" s="4" t="str">
        <f t="shared" ca="1" si="97"/>
        <v/>
      </c>
      <c r="N248" s="4" t="str">
        <f t="shared" ca="1" si="97"/>
        <v/>
      </c>
      <c r="O248" s="4" t="str">
        <f t="shared" ca="1" si="97"/>
        <v/>
      </c>
      <c r="P248" s="4" t="str">
        <f t="shared" ca="1" si="97"/>
        <v/>
      </c>
      <c r="Q248" s="4" t="str">
        <f t="shared" ca="1" si="97"/>
        <v/>
      </c>
      <c r="R248" s="4" t="str">
        <f t="shared" ca="1" si="97"/>
        <v/>
      </c>
      <c r="S248" s="4" t="str">
        <f t="shared" ca="1" si="97"/>
        <v/>
      </c>
      <c r="T248" s="4" t="str">
        <f t="shared" ca="1" si="97"/>
        <v/>
      </c>
      <c r="U248" s="4" t="str">
        <f t="shared" ca="1" si="97"/>
        <v/>
      </c>
      <c r="V248" s="4" t="str">
        <f t="shared" ca="1" si="97"/>
        <v/>
      </c>
      <c r="W248" s="4" t="str">
        <f t="shared" ca="1" si="98"/>
        <v/>
      </c>
      <c r="X248" s="4" t="str">
        <f t="shared" ca="1" si="98"/>
        <v/>
      </c>
      <c r="Y248" s="4" t="str">
        <f t="shared" ca="1" si="98"/>
        <v/>
      </c>
      <c r="Z248" s="4" t="str">
        <f t="shared" ca="1" si="98"/>
        <v/>
      </c>
      <c r="AA248" s="4" t="str">
        <f t="shared" ca="1" si="98"/>
        <v/>
      </c>
      <c r="AB248" s="4" t="str">
        <f t="shared" ca="1" si="98"/>
        <v/>
      </c>
      <c r="AC248" s="4" t="str">
        <f t="shared" ca="1" si="98"/>
        <v/>
      </c>
      <c r="AD248" s="4" t="str">
        <f t="shared" ca="1" si="98"/>
        <v/>
      </c>
      <c r="AE248" s="4" t="str">
        <f t="shared" ca="1" si="98"/>
        <v/>
      </c>
      <c r="AF248" s="4" t="str">
        <f t="shared" ca="1" si="98"/>
        <v/>
      </c>
      <c r="AG248" s="4" t="str">
        <f t="shared" ca="1" si="99"/>
        <v/>
      </c>
      <c r="AH248" s="4" t="str">
        <f t="shared" ca="1" si="99"/>
        <v/>
      </c>
      <c r="AI248" s="4" t="str">
        <f t="shared" ca="1" si="99"/>
        <v/>
      </c>
      <c r="AJ248" s="4" t="str">
        <f t="shared" ca="1" si="99"/>
        <v/>
      </c>
      <c r="AK248" s="4" t="str">
        <f t="shared" ca="1" si="99"/>
        <v/>
      </c>
      <c r="AL248" s="4" t="str">
        <f t="shared" ca="1" si="99"/>
        <v/>
      </c>
      <c r="AM248" s="4" t="str">
        <f t="shared" ca="1" si="99"/>
        <v/>
      </c>
      <c r="AN248" s="4" t="str">
        <f t="shared" ca="1" si="99"/>
        <v/>
      </c>
      <c r="AO248" s="4" t="str">
        <f t="shared" ca="1" si="99"/>
        <v/>
      </c>
      <c r="AP248" s="4" t="str">
        <f t="shared" ca="1" si="99"/>
        <v/>
      </c>
      <c r="AQ248" s="4" t="str">
        <f t="shared" ca="1" si="100"/>
        <v/>
      </c>
      <c r="AR248" s="4" t="str">
        <f t="shared" ca="1" si="100"/>
        <v/>
      </c>
      <c r="AS248" s="4" t="str">
        <f t="shared" ca="1" si="100"/>
        <v/>
      </c>
      <c r="AT248" s="4" t="str">
        <f t="shared" ca="1" si="100"/>
        <v/>
      </c>
      <c r="AU248" s="4" t="str">
        <f t="shared" ca="1" si="100"/>
        <v/>
      </c>
      <c r="AV248" s="4" t="str">
        <f t="shared" ca="1" si="100"/>
        <v/>
      </c>
      <c r="AW248" s="4" t="str">
        <f t="shared" ca="1" si="100"/>
        <v/>
      </c>
      <c r="AX248" s="4" t="str">
        <f t="shared" ca="1" si="100"/>
        <v/>
      </c>
      <c r="AY248" s="4" t="str">
        <f t="shared" ca="1" si="100"/>
        <v/>
      </c>
      <c r="AZ248" s="4" t="str">
        <f t="shared" ca="1" si="100"/>
        <v/>
      </c>
      <c r="BA248" s="4" t="str">
        <f t="shared" si="90"/>
        <v/>
      </c>
    </row>
    <row r="249" spans="1:53">
      <c r="A249">
        <v>185</v>
      </c>
      <c r="C249" s="4" t="str">
        <f t="shared" ca="1" si="96"/>
        <v/>
      </c>
      <c r="D249" s="4" t="str">
        <f t="shared" ca="1" si="96"/>
        <v/>
      </c>
      <c r="E249" s="4" t="str">
        <f t="shared" ca="1" si="96"/>
        <v/>
      </c>
      <c r="F249" s="4" t="str">
        <f t="shared" ca="1" si="96"/>
        <v/>
      </c>
      <c r="G249" s="4" t="str">
        <f t="shared" ca="1" si="96"/>
        <v/>
      </c>
      <c r="H249" s="4" t="str">
        <f t="shared" ca="1" si="96"/>
        <v/>
      </c>
      <c r="I249" s="4" t="str">
        <f t="shared" ca="1" si="96"/>
        <v/>
      </c>
      <c r="J249" s="4" t="str">
        <f t="shared" ca="1" si="96"/>
        <v/>
      </c>
      <c r="K249" s="4" t="str">
        <f t="shared" ca="1" si="96"/>
        <v/>
      </c>
      <c r="L249" s="4" t="str">
        <f t="shared" ca="1" si="96"/>
        <v/>
      </c>
      <c r="M249" s="4" t="str">
        <f t="shared" ca="1" si="97"/>
        <v/>
      </c>
      <c r="N249" s="4" t="str">
        <f t="shared" ca="1" si="97"/>
        <v/>
      </c>
      <c r="O249" s="4" t="str">
        <f t="shared" ca="1" si="97"/>
        <v/>
      </c>
      <c r="P249" s="4" t="str">
        <f t="shared" ca="1" si="97"/>
        <v/>
      </c>
      <c r="Q249" s="4" t="str">
        <f t="shared" ca="1" si="97"/>
        <v/>
      </c>
      <c r="R249" s="4" t="str">
        <f t="shared" ca="1" si="97"/>
        <v/>
      </c>
      <c r="S249" s="4" t="str">
        <f t="shared" ca="1" si="97"/>
        <v/>
      </c>
      <c r="T249" s="4" t="str">
        <f t="shared" ca="1" si="97"/>
        <v/>
      </c>
      <c r="U249" s="4" t="str">
        <f t="shared" ca="1" si="97"/>
        <v/>
      </c>
      <c r="V249" s="4" t="str">
        <f t="shared" ca="1" si="97"/>
        <v/>
      </c>
      <c r="W249" s="4" t="str">
        <f t="shared" ca="1" si="98"/>
        <v/>
      </c>
      <c r="X249" s="4" t="str">
        <f t="shared" ca="1" si="98"/>
        <v/>
      </c>
      <c r="Y249" s="4" t="str">
        <f t="shared" ca="1" si="98"/>
        <v/>
      </c>
      <c r="Z249" s="4" t="str">
        <f t="shared" ca="1" si="98"/>
        <v/>
      </c>
      <c r="AA249" s="4" t="str">
        <f t="shared" ca="1" si="98"/>
        <v/>
      </c>
      <c r="AB249" s="4" t="str">
        <f t="shared" ca="1" si="98"/>
        <v/>
      </c>
      <c r="AC249" s="4" t="str">
        <f t="shared" ca="1" si="98"/>
        <v/>
      </c>
      <c r="AD249" s="4" t="str">
        <f t="shared" ca="1" si="98"/>
        <v/>
      </c>
      <c r="AE249" s="4" t="str">
        <f t="shared" ca="1" si="98"/>
        <v/>
      </c>
      <c r="AF249" s="4" t="str">
        <f t="shared" ca="1" si="98"/>
        <v/>
      </c>
      <c r="AG249" s="4" t="str">
        <f t="shared" ca="1" si="99"/>
        <v/>
      </c>
      <c r="AH249" s="4" t="str">
        <f t="shared" ca="1" si="99"/>
        <v/>
      </c>
      <c r="AI249" s="4" t="str">
        <f t="shared" ca="1" si="99"/>
        <v/>
      </c>
      <c r="AJ249" s="4" t="str">
        <f t="shared" ca="1" si="99"/>
        <v/>
      </c>
      <c r="AK249" s="4" t="str">
        <f t="shared" ca="1" si="99"/>
        <v/>
      </c>
      <c r="AL249" s="4" t="str">
        <f t="shared" ca="1" si="99"/>
        <v/>
      </c>
      <c r="AM249" s="4" t="str">
        <f t="shared" ca="1" si="99"/>
        <v/>
      </c>
      <c r="AN249" s="4" t="str">
        <f t="shared" ca="1" si="99"/>
        <v/>
      </c>
      <c r="AO249" s="4" t="str">
        <f t="shared" ca="1" si="99"/>
        <v/>
      </c>
      <c r="AP249" s="4" t="str">
        <f t="shared" ca="1" si="99"/>
        <v/>
      </c>
      <c r="AQ249" s="4" t="str">
        <f t="shared" ca="1" si="100"/>
        <v/>
      </c>
      <c r="AR249" s="4" t="str">
        <f t="shared" ca="1" si="100"/>
        <v/>
      </c>
      <c r="AS249" s="4" t="str">
        <f t="shared" ca="1" si="100"/>
        <v/>
      </c>
      <c r="AT249" s="4" t="str">
        <f t="shared" ca="1" si="100"/>
        <v/>
      </c>
      <c r="AU249" s="4" t="str">
        <f t="shared" ca="1" si="100"/>
        <v/>
      </c>
      <c r="AV249" s="4" t="str">
        <f t="shared" ca="1" si="100"/>
        <v/>
      </c>
      <c r="AW249" s="4" t="str">
        <f t="shared" ca="1" si="100"/>
        <v/>
      </c>
      <c r="AX249" s="4" t="str">
        <f t="shared" ca="1" si="100"/>
        <v/>
      </c>
      <c r="AY249" s="4" t="str">
        <f t="shared" ca="1" si="100"/>
        <v/>
      </c>
      <c r="AZ249" s="4" t="str">
        <f t="shared" ca="1" si="100"/>
        <v/>
      </c>
      <c r="BA249" s="4" t="str">
        <f t="shared" si="90"/>
        <v/>
      </c>
    </row>
    <row r="250" spans="1:53">
      <c r="A250">
        <v>186</v>
      </c>
      <c r="C250" s="4" t="str">
        <f t="shared" ca="1" si="96"/>
        <v/>
      </c>
      <c r="D250" s="4" t="str">
        <f t="shared" ca="1" si="96"/>
        <v/>
      </c>
      <c r="E250" s="4" t="str">
        <f t="shared" ca="1" si="96"/>
        <v/>
      </c>
      <c r="F250" s="4" t="str">
        <f t="shared" ca="1" si="96"/>
        <v/>
      </c>
      <c r="G250" s="4" t="str">
        <f t="shared" ca="1" si="96"/>
        <v/>
      </c>
      <c r="H250" s="4" t="str">
        <f t="shared" ca="1" si="96"/>
        <v/>
      </c>
      <c r="I250" s="4" t="str">
        <f t="shared" ca="1" si="96"/>
        <v/>
      </c>
      <c r="J250" s="4" t="str">
        <f t="shared" ca="1" si="96"/>
        <v/>
      </c>
      <c r="K250" s="4" t="str">
        <f t="shared" ca="1" si="96"/>
        <v/>
      </c>
      <c r="L250" s="4" t="str">
        <f t="shared" ca="1" si="96"/>
        <v/>
      </c>
      <c r="M250" s="4" t="str">
        <f t="shared" ca="1" si="97"/>
        <v/>
      </c>
      <c r="N250" s="4" t="str">
        <f t="shared" ca="1" si="97"/>
        <v/>
      </c>
      <c r="O250" s="4" t="str">
        <f t="shared" ca="1" si="97"/>
        <v/>
      </c>
      <c r="P250" s="4" t="str">
        <f t="shared" ca="1" si="97"/>
        <v/>
      </c>
      <c r="Q250" s="4" t="str">
        <f t="shared" ca="1" si="97"/>
        <v/>
      </c>
      <c r="R250" s="4" t="str">
        <f t="shared" ca="1" si="97"/>
        <v/>
      </c>
      <c r="S250" s="4" t="str">
        <f t="shared" ca="1" si="97"/>
        <v/>
      </c>
      <c r="T250" s="4" t="str">
        <f t="shared" ca="1" si="97"/>
        <v/>
      </c>
      <c r="U250" s="4" t="str">
        <f t="shared" ca="1" si="97"/>
        <v/>
      </c>
      <c r="V250" s="4" t="str">
        <f t="shared" ca="1" si="97"/>
        <v/>
      </c>
      <c r="W250" s="4" t="str">
        <f t="shared" ca="1" si="98"/>
        <v/>
      </c>
      <c r="X250" s="4" t="str">
        <f t="shared" ca="1" si="98"/>
        <v/>
      </c>
      <c r="Y250" s="4" t="str">
        <f t="shared" ca="1" si="98"/>
        <v/>
      </c>
      <c r="Z250" s="4" t="str">
        <f t="shared" ca="1" si="98"/>
        <v/>
      </c>
      <c r="AA250" s="4" t="str">
        <f t="shared" ca="1" si="98"/>
        <v/>
      </c>
      <c r="AB250" s="4" t="str">
        <f t="shared" ca="1" si="98"/>
        <v/>
      </c>
      <c r="AC250" s="4" t="str">
        <f t="shared" ca="1" si="98"/>
        <v/>
      </c>
      <c r="AD250" s="4" t="str">
        <f t="shared" ca="1" si="98"/>
        <v/>
      </c>
      <c r="AE250" s="4" t="str">
        <f t="shared" ca="1" si="98"/>
        <v/>
      </c>
      <c r="AF250" s="4" t="str">
        <f t="shared" ca="1" si="98"/>
        <v/>
      </c>
      <c r="AG250" s="4" t="str">
        <f t="shared" ca="1" si="99"/>
        <v/>
      </c>
      <c r="AH250" s="4" t="str">
        <f t="shared" ca="1" si="99"/>
        <v/>
      </c>
      <c r="AI250" s="4" t="str">
        <f t="shared" ca="1" si="99"/>
        <v/>
      </c>
      <c r="AJ250" s="4" t="str">
        <f t="shared" ca="1" si="99"/>
        <v/>
      </c>
      <c r="AK250" s="4" t="str">
        <f t="shared" ca="1" si="99"/>
        <v/>
      </c>
      <c r="AL250" s="4" t="str">
        <f t="shared" ca="1" si="99"/>
        <v/>
      </c>
      <c r="AM250" s="4" t="str">
        <f t="shared" ca="1" si="99"/>
        <v/>
      </c>
      <c r="AN250" s="4" t="str">
        <f t="shared" ca="1" si="99"/>
        <v/>
      </c>
      <c r="AO250" s="4" t="str">
        <f t="shared" ca="1" si="99"/>
        <v/>
      </c>
      <c r="AP250" s="4" t="str">
        <f t="shared" ca="1" si="99"/>
        <v/>
      </c>
      <c r="AQ250" s="4" t="str">
        <f t="shared" ca="1" si="100"/>
        <v/>
      </c>
      <c r="AR250" s="4" t="str">
        <f t="shared" ca="1" si="100"/>
        <v/>
      </c>
      <c r="AS250" s="4" t="str">
        <f t="shared" ca="1" si="100"/>
        <v/>
      </c>
      <c r="AT250" s="4" t="str">
        <f t="shared" ca="1" si="100"/>
        <v/>
      </c>
      <c r="AU250" s="4" t="str">
        <f t="shared" ca="1" si="100"/>
        <v/>
      </c>
      <c r="AV250" s="4" t="str">
        <f t="shared" ca="1" si="100"/>
        <v/>
      </c>
      <c r="AW250" s="4" t="str">
        <f t="shared" ca="1" si="100"/>
        <v/>
      </c>
      <c r="AX250" s="4" t="str">
        <f t="shared" ca="1" si="100"/>
        <v/>
      </c>
      <c r="AY250" s="4" t="str">
        <f t="shared" ca="1" si="100"/>
        <v/>
      </c>
      <c r="AZ250" s="4" t="str">
        <f t="shared" ca="1" si="100"/>
        <v/>
      </c>
      <c r="BA250" s="4" t="str">
        <f t="shared" si="90"/>
        <v/>
      </c>
    </row>
    <row r="251" spans="1:53">
      <c r="A251">
        <v>187</v>
      </c>
      <c r="C251" s="4" t="str">
        <f t="shared" ca="1" si="96"/>
        <v/>
      </c>
      <c r="D251" s="4" t="str">
        <f t="shared" ca="1" si="96"/>
        <v/>
      </c>
      <c r="E251" s="4" t="str">
        <f t="shared" ca="1" si="96"/>
        <v/>
      </c>
      <c r="F251" s="4" t="str">
        <f t="shared" ca="1" si="96"/>
        <v/>
      </c>
      <c r="G251" s="4" t="str">
        <f t="shared" ca="1" si="96"/>
        <v/>
      </c>
      <c r="H251" s="4" t="str">
        <f t="shared" ca="1" si="96"/>
        <v/>
      </c>
      <c r="I251" s="4" t="str">
        <f t="shared" ca="1" si="96"/>
        <v/>
      </c>
      <c r="J251" s="4" t="str">
        <f t="shared" ca="1" si="96"/>
        <v/>
      </c>
      <c r="K251" s="4" t="str">
        <f t="shared" ca="1" si="96"/>
        <v/>
      </c>
      <c r="L251" s="4" t="str">
        <f t="shared" ca="1" si="96"/>
        <v/>
      </c>
      <c r="M251" s="4" t="str">
        <f t="shared" ca="1" si="97"/>
        <v/>
      </c>
      <c r="N251" s="4" t="str">
        <f t="shared" ca="1" si="97"/>
        <v/>
      </c>
      <c r="O251" s="4" t="str">
        <f t="shared" ca="1" si="97"/>
        <v/>
      </c>
      <c r="P251" s="4" t="str">
        <f t="shared" ca="1" si="97"/>
        <v/>
      </c>
      <c r="Q251" s="4" t="str">
        <f t="shared" ca="1" si="97"/>
        <v/>
      </c>
      <c r="R251" s="4" t="str">
        <f t="shared" ca="1" si="97"/>
        <v/>
      </c>
      <c r="S251" s="4" t="str">
        <f t="shared" ca="1" si="97"/>
        <v/>
      </c>
      <c r="T251" s="4" t="str">
        <f t="shared" ca="1" si="97"/>
        <v/>
      </c>
      <c r="U251" s="4" t="str">
        <f t="shared" ca="1" si="97"/>
        <v/>
      </c>
      <c r="V251" s="4" t="str">
        <f t="shared" ca="1" si="97"/>
        <v/>
      </c>
      <c r="W251" s="4" t="str">
        <f t="shared" ca="1" si="98"/>
        <v/>
      </c>
      <c r="X251" s="4" t="str">
        <f t="shared" ca="1" si="98"/>
        <v/>
      </c>
      <c r="Y251" s="4" t="str">
        <f t="shared" ca="1" si="98"/>
        <v/>
      </c>
      <c r="Z251" s="4" t="str">
        <f t="shared" ca="1" si="98"/>
        <v/>
      </c>
      <c r="AA251" s="4" t="str">
        <f t="shared" ca="1" si="98"/>
        <v/>
      </c>
      <c r="AB251" s="4" t="str">
        <f t="shared" ca="1" si="98"/>
        <v/>
      </c>
      <c r="AC251" s="4" t="str">
        <f t="shared" ca="1" si="98"/>
        <v/>
      </c>
      <c r="AD251" s="4" t="str">
        <f t="shared" ca="1" si="98"/>
        <v/>
      </c>
      <c r="AE251" s="4" t="str">
        <f t="shared" ca="1" si="98"/>
        <v/>
      </c>
      <c r="AF251" s="4" t="str">
        <f t="shared" ca="1" si="98"/>
        <v/>
      </c>
      <c r="AG251" s="4" t="str">
        <f t="shared" ca="1" si="99"/>
        <v/>
      </c>
      <c r="AH251" s="4" t="str">
        <f t="shared" ca="1" si="99"/>
        <v/>
      </c>
      <c r="AI251" s="4" t="str">
        <f t="shared" ca="1" si="99"/>
        <v/>
      </c>
      <c r="AJ251" s="4" t="str">
        <f t="shared" ca="1" si="99"/>
        <v/>
      </c>
      <c r="AK251" s="4" t="str">
        <f t="shared" ca="1" si="99"/>
        <v/>
      </c>
      <c r="AL251" s="4" t="str">
        <f t="shared" ca="1" si="99"/>
        <v/>
      </c>
      <c r="AM251" s="4" t="str">
        <f t="shared" ca="1" si="99"/>
        <v/>
      </c>
      <c r="AN251" s="4" t="str">
        <f t="shared" ca="1" si="99"/>
        <v/>
      </c>
      <c r="AO251" s="4" t="str">
        <f t="shared" ca="1" si="99"/>
        <v/>
      </c>
      <c r="AP251" s="4" t="str">
        <f t="shared" ca="1" si="99"/>
        <v/>
      </c>
      <c r="AQ251" s="4" t="str">
        <f t="shared" ca="1" si="100"/>
        <v/>
      </c>
      <c r="AR251" s="4" t="str">
        <f t="shared" ca="1" si="100"/>
        <v/>
      </c>
      <c r="AS251" s="4" t="str">
        <f t="shared" ca="1" si="100"/>
        <v/>
      </c>
      <c r="AT251" s="4" t="str">
        <f t="shared" ca="1" si="100"/>
        <v/>
      </c>
      <c r="AU251" s="4" t="str">
        <f t="shared" ca="1" si="100"/>
        <v/>
      </c>
      <c r="AV251" s="4" t="str">
        <f t="shared" ca="1" si="100"/>
        <v/>
      </c>
      <c r="AW251" s="4" t="str">
        <f t="shared" ca="1" si="100"/>
        <v/>
      </c>
      <c r="AX251" s="4" t="str">
        <f t="shared" ca="1" si="100"/>
        <v/>
      </c>
      <c r="AY251" s="4" t="str">
        <f t="shared" ca="1" si="100"/>
        <v/>
      </c>
      <c r="AZ251" s="4" t="str">
        <f t="shared" ca="1" si="100"/>
        <v/>
      </c>
      <c r="BA251" s="4" t="str">
        <f t="shared" si="90"/>
        <v/>
      </c>
    </row>
    <row r="252" spans="1:53">
      <c r="A252">
        <v>188</v>
      </c>
      <c r="C252" s="4" t="str">
        <f t="shared" ca="1" si="96"/>
        <v/>
      </c>
      <c r="D252" s="4" t="str">
        <f t="shared" ca="1" si="96"/>
        <v/>
      </c>
      <c r="E252" s="4" t="str">
        <f t="shared" ca="1" si="96"/>
        <v/>
      </c>
      <c r="F252" s="4" t="str">
        <f t="shared" ca="1" si="96"/>
        <v/>
      </c>
      <c r="G252" s="4" t="str">
        <f t="shared" ca="1" si="96"/>
        <v/>
      </c>
      <c r="H252" s="4" t="str">
        <f t="shared" ca="1" si="96"/>
        <v/>
      </c>
      <c r="I252" s="4" t="str">
        <f t="shared" ca="1" si="96"/>
        <v/>
      </c>
      <c r="J252" s="4" t="str">
        <f t="shared" ca="1" si="96"/>
        <v/>
      </c>
      <c r="K252" s="4" t="str">
        <f t="shared" ca="1" si="96"/>
        <v/>
      </c>
      <c r="L252" s="4" t="str">
        <f t="shared" ca="1" si="96"/>
        <v/>
      </c>
      <c r="M252" s="4" t="str">
        <f t="shared" ca="1" si="97"/>
        <v/>
      </c>
      <c r="N252" s="4" t="str">
        <f t="shared" ca="1" si="97"/>
        <v/>
      </c>
      <c r="O252" s="4" t="str">
        <f t="shared" ca="1" si="97"/>
        <v/>
      </c>
      <c r="P252" s="4" t="str">
        <f t="shared" ca="1" si="97"/>
        <v/>
      </c>
      <c r="Q252" s="4" t="str">
        <f t="shared" ca="1" si="97"/>
        <v/>
      </c>
      <c r="R252" s="4" t="str">
        <f t="shared" ca="1" si="97"/>
        <v/>
      </c>
      <c r="S252" s="4" t="str">
        <f t="shared" ca="1" si="97"/>
        <v/>
      </c>
      <c r="T252" s="4" t="str">
        <f t="shared" ca="1" si="97"/>
        <v/>
      </c>
      <c r="U252" s="4" t="str">
        <f t="shared" ca="1" si="97"/>
        <v/>
      </c>
      <c r="V252" s="4" t="str">
        <f t="shared" ca="1" si="97"/>
        <v/>
      </c>
      <c r="W252" s="4" t="str">
        <f t="shared" ca="1" si="98"/>
        <v/>
      </c>
      <c r="X252" s="4" t="str">
        <f t="shared" ca="1" si="98"/>
        <v/>
      </c>
      <c r="Y252" s="4" t="str">
        <f t="shared" ca="1" si="98"/>
        <v/>
      </c>
      <c r="Z252" s="4" t="str">
        <f t="shared" ca="1" si="98"/>
        <v/>
      </c>
      <c r="AA252" s="4" t="str">
        <f t="shared" ca="1" si="98"/>
        <v/>
      </c>
      <c r="AB252" s="4" t="str">
        <f t="shared" ca="1" si="98"/>
        <v/>
      </c>
      <c r="AC252" s="4" t="str">
        <f t="shared" ca="1" si="98"/>
        <v/>
      </c>
      <c r="AD252" s="4" t="str">
        <f t="shared" ca="1" si="98"/>
        <v/>
      </c>
      <c r="AE252" s="4" t="str">
        <f t="shared" ca="1" si="98"/>
        <v/>
      </c>
      <c r="AF252" s="4" t="str">
        <f t="shared" ca="1" si="98"/>
        <v/>
      </c>
      <c r="AG252" s="4" t="str">
        <f t="shared" ca="1" si="99"/>
        <v/>
      </c>
      <c r="AH252" s="4" t="str">
        <f t="shared" ca="1" si="99"/>
        <v/>
      </c>
      <c r="AI252" s="4" t="str">
        <f t="shared" ca="1" si="99"/>
        <v/>
      </c>
      <c r="AJ252" s="4" t="str">
        <f t="shared" ca="1" si="99"/>
        <v/>
      </c>
      <c r="AK252" s="4" t="str">
        <f t="shared" ca="1" si="99"/>
        <v/>
      </c>
      <c r="AL252" s="4" t="str">
        <f t="shared" ca="1" si="99"/>
        <v/>
      </c>
      <c r="AM252" s="4" t="str">
        <f t="shared" ca="1" si="99"/>
        <v/>
      </c>
      <c r="AN252" s="4" t="str">
        <f t="shared" ca="1" si="99"/>
        <v/>
      </c>
      <c r="AO252" s="4" t="str">
        <f t="shared" ca="1" si="99"/>
        <v/>
      </c>
      <c r="AP252" s="4" t="str">
        <f t="shared" ca="1" si="99"/>
        <v/>
      </c>
      <c r="AQ252" s="4" t="str">
        <f t="shared" ca="1" si="100"/>
        <v/>
      </c>
      <c r="AR252" s="4" t="str">
        <f t="shared" ca="1" si="100"/>
        <v/>
      </c>
      <c r="AS252" s="4" t="str">
        <f t="shared" ca="1" si="100"/>
        <v/>
      </c>
      <c r="AT252" s="4" t="str">
        <f t="shared" ca="1" si="100"/>
        <v/>
      </c>
      <c r="AU252" s="4" t="str">
        <f t="shared" ca="1" si="100"/>
        <v/>
      </c>
      <c r="AV252" s="4" t="str">
        <f t="shared" ca="1" si="100"/>
        <v/>
      </c>
      <c r="AW252" s="4" t="str">
        <f t="shared" ca="1" si="100"/>
        <v/>
      </c>
      <c r="AX252" s="4" t="str">
        <f t="shared" ca="1" si="100"/>
        <v/>
      </c>
      <c r="AY252" s="4" t="str">
        <f t="shared" ca="1" si="100"/>
        <v/>
      </c>
      <c r="AZ252" s="4" t="str">
        <f t="shared" ca="1" si="100"/>
        <v/>
      </c>
      <c r="BA252" s="4" t="str">
        <f t="shared" si="90"/>
        <v/>
      </c>
    </row>
    <row r="253" spans="1:53">
      <c r="A253">
        <v>189</v>
      </c>
      <c r="C253" s="4" t="str">
        <f t="shared" ca="1" si="96"/>
        <v/>
      </c>
      <c r="D253" s="4" t="str">
        <f t="shared" ca="1" si="96"/>
        <v/>
      </c>
      <c r="E253" s="4" t="str">
        <f t="shared" ca="1" si="96"/>
        <v/>
      </c>
      <c r="F253" s="4" t="str">
        <f t="shared" ca="1" si="96"/>
        <v/>
      </c>
      <c r="G253" s="4" t="str">
        <f t="shared" ca="1" si="96"/>
        <v/>
      </c>
      <c r="H253" s="4" t="str">
        <f t="shared" ca="1" si="96"/>
        <v/>
      </c>
      <c r="I253" s="4" t="str">
        <f t="shared" ca="1" si="96"/>
        <v/>
      </c>
      <c r="J253" s="4" t="str">
        <f t="shared" ca="1" si="96"/>
        <v/>
      </c>
      <c r="K253" s="4" t="str">
        <f t="shared" ca="1" si="96"/>
        <v/>
      </c>
      <c r="L253" s="4" t="str">
        <f t="shared" ca="1" si="96"/>
        <v/>
      </c>
      <c r="M253" s="4" t="str">
        <f t="shared" ca="1" si="97"/>
        <v/>
      </c>
      <c r="N253" s="4" t="str">
        <f t="shared" ca="1" si="97"/>
        <v/>
      </c>
      <c r="O253" s="4" t="str">
        <f t="shared" ca="1" si="97"/>
        <v/>
      </c>
      <c r="P253" s="4" t="str">
        <f t="shared" ca="1" si="97"/>
        <v/>
      </c>
      <c r="Q253" s="4" t="str">
        <f t="shared" ca="1" si="97"/>
        <v/>
      </c>
      <c r="R253" s="4" t="str">
        <f t="shared" ca="1" si="97"/>
        <v/>
      </c>
      <c r="S253" s="4" t="str">
        <f t="shared" ca="1" si="97"/>
        <v/>
      </c>
      <c r="T253" s="4" t="str">
        <f t="shared" ca="1" si="97"/>
        <v/>
      </c>
      <c r="U253" s="4" t="str">
        <f t="shared" ca="1" si="97"/>
        <v/>
      </c>
      <c r="V253" s="4" t="str">
        <f t="shared" ca="1" si="97"/>
        <v/>
      </c>
      <c r="W253" s="4" t="str">
        <f t="shared" ca="1" si="98"/>
        <v/>
      </c>
      <c r="X253" s="4" t="str">
        <f t="shared" ca="1" si="98"/>
        <v/>
      </c>
      <c r="Y253" s="4" t="str">
        <f t="shared" ca="1" si="98"/>
        <v/>
      </c>
      <c r="Z253" s="4" t="str">
        <f t="shared" ca="1" si="98"/>
        <v/>
      </c>
      <c r="AA253" s="4" t="str">
        <f t="shared" ca="1" si="98"/>
        <v/>
      </c>
      <c r="AB253" s="4" t="str">
        <f t="shared" ca="1" si="98"/>
        <v/>
      </c>
      <c r="AC253" s="4" t="str">
        <f t="shared" ca="1" si="98"/>
        <v/>
      </c>
      <c r="AD253" s="4" t="str">
        <f t="shared" ca="1" si="98"/>
        <v/>
      </c>
      <c r="AE253" s="4" t="str">
        <f t="shared" ca="1" si="98"/>
        <v/>
      </c>
      <c r="AF253" s="4" t="str">
        <f t="shared" ca="1" si="98"/>
        <v/>
      </c>
      <c r="AG253" s="4" t="str">
        <f t="shared" ca="1" si="99"/>
        <v/>
      </c>
      <c r="AH253" s="4" t="str">
        <f t="shared" ca="1" si="99"/>
        <v/>
      </c>
      <c r="AI253" s="4" t="str">
        <f t="shared" ca="1" si="99"/>
        <v/>
      </c>
      <c r="AJ253" s="4" t="str">
        <f t="shared" ca="1" si="99"/>
        <v/>
      </c>
      <c r="AK253" s="4" t="str">
        <f t="shared" ca="1" si="99"/>
        <v/>
      </c>
      <c r="AL253" s="4" t="str">
        <f t="shared" ca="1" si="99"/>
        <v/>
      </c>
      <c r="AM253" s="4" t="str">
        <f t="shared" ca="1" si="99"/>
        <v/>
      </c>
      <c r="AN253" s="4" t="str">
        <f t="shared" ca="1" si="99"/>
        <v/>
      </c>
      <c r="AO253" s="4" t="str">
        <f t="shared" ca="1" si="99"/>
        <v/>
      </c>
      <c r="AP253" s="4" t="str">
        <f t="shared" ca="1" si="99"/>
        <v/>
      </c>
      <c r="AQ253" s="4" t="str">
        <f t="shared" ca="1" si="100"/>
        <v/>
      </c>
      <c r="AR253" s="4" t="str">
        <f t="shared" ca="1" si="100"/>
        <v/>
      </c>
      <c r="AS253" s="4" t="str">
        <f t="shared" ca="1" si="100"/>
        <v/>
      </c>
      <c r="AT253" s="4" t="str">
        <f t="shared" ca="1" si="100"/>
        <v/>
      </c>
      <c r="AU253" s="4" t="str">
        <f t="shared" ca="1" si="100"/>
        <v/>
      </c>
      <c r="AV253" s="4" t="str">
        <f t="shared" ca="1" si="100"/>
        <v/>
      </c>
      <c r="AW253" s="4" t="str">
        <f t="shared" ca="1" si="100"/>
        <v/>
      </c>
      <c r="AX253" s="4" t="str">
        <f t="shared" ca="1" si="100"/>
        <v/>
      </c>
      <c r="AY253" s="4" t="str">
        <f t="shared" ca="1" si="100"/>
        <v/>
      </c>
      <c r="AZ253" s="4" t="str">
        <f t="shared" ca="1" si="100"/>
        <v/>
      </c>
      <c r="BA253" s="4" t="str">
        <f t="shared" si="90"/>
        <v/>
      </c>
    </row>
    <row r="254" spans="1:53">
      <c r="A254">
        <v>190</v>
      </c>
      <c r="C254" s="4" t="str">
        <f t="shared" ca="1" si="96"/>
        <v/>
      </c>
      <c r="D254" s="4" t="str">
        <f t="shared" ca="1" si="96"/>
        <v/>
      </c>
      <c r="E254" s="4" t="str">
        <f t="shared" ca="1" si="96"/>
        <v/>
      </c>
      <c r="F254" s="4" t="str">
        <f t="shared" ca="1" si="96"/>
        <v/>
      </c>
      <c r="G254" s="4" t="str">
        <f t="shared" ca="1" si="96"/>
        <v/>
      </c>
      <c r="H254" s="4" t="str">
        <f t="shared" ca="1" si="96"/>
        <v/>
      </c>
      <c r="I254" s="4" t="str">
        <f t="shared" ca="1" si="96"/>
        <v/>
      </c>
      <c r="J254" s="4" t="str">
        <f t="shared" ca="1" si="96"/>
        <v/>
      </c>
      <c r="K254" s="4" t="str">
        <f t="shared" ca="1" si="96"/>
        <v/>
      </c>
      <c r="L254" s="4" t="str">
        <f t="shared" ca="1" si="96"/>
        <v/>
      </c>
      <c r="M254" s="4" t="str">
        <f t="shared" ca="1" si="97"/>
        <v/>
      </c>
      <c r="N254" s="4" t="str">
        <f t="shared" ca="1" si="97"/>
        <v/>
      </c>
      <c r="O254" s="4" t="str">
        <f t="shared" ca="1" si="97"/>
        <v/>
      </c>
      <c r="P254" s="4" t="str">
        <f t="shared" ca="1" si="97"/>
        <v/>
      </c>
      <c r="Q254" s="4" t="str">
        <f t="shared" ca="1" si="97"/>
        <v/>
      </c>
      <c r="R254" s="4" t="str">
        <f t="shared" ca="1" si="97"/>
        <v/>
      </c>
      <c r="S254" s="4" t="str">
        <f t="shared" ca="1" si="97"/>
        <v/>
      </c>
      <c r="T254" s="4" t="str">
        <f t="shared" ca="1" si="97"/>
        <v/>
      </c>
      <c r="U254" s="4" t="str">
        <f t="shared" ca="1" si="97"/>
        <v/>
      </c>
      <c r="V254" s="4" t="str">
        <f t="shared" ca="1" si="97"/>
        <v/>
      </c>
      <c r="W254" s="4" t="str">
        <f t="shared" ca="1" si="98"/>
        <v/>
      </c>
      <c r="X254" s="4" t="str">
        <f t="shared" ca="1" si="98"/>
        <v/>
      </c>
      <c r="Y254" s="4" t="str">
        <f t="shared" ca="1" si="98"/>
        <v/>
      </c>
      <c r="Z254" s="4" t="str">
        <f t="shared" ca="1" si="98"/>
        <v/>
      </c>
      <c r="AA254" s="4" t="str">
        <f t="shared" ca="1" si="98"/>
        <v/>
      </c>
      <c r="AB254" s="4" t="str">
        <f t="shared" ca="1" si="98"/>
        <v/>
      </c>
      <c r="AC254" s="4" t="str">
        <f t="shared" ca="1" si="98"/>
        <v/>
      </c>
      <c r="AD254" s="4" t="str">
        <f t="shared" ca="1" si="98"/>
        <v/>
      </c>
      <c r="AE254" s="4" t="str">
        <f t="shared" ca="1" si="98"/>
        <v/>
      </c>
      <c r="AF254" s="4" t="str">
        <f t="shared" ca="1" si="98"/>
        <v/>
      </c>
      <c r="AG254" s="4" t="str">
        <f t="shared" ca="1" si="99"/>
        <v/>
      </c>
      <c r="AH254" s="4" t="str">
        <f t="shared" ca="1" si="99"/>
        <v/>
      </c>
      <c r="AI254" s="4" t="str">
        <f t="shared" ca="1" si="99"/>
        <v/>
      </c>
      <c r="AJ254" s="4" t="str">
        <f t="shared" ca="1" si="99"/>
        <v/>
      </c>
      <c r="AK254" s="4" t="str">
        <f t="shared" ca="1" si="99"/>
        <v/>
      </c>
      <c r="AL254" s="4" t="str">
        <f t="shared" ca="1" si="99"/>
        <v/>
      </c>
      <c r="AM254" s="4" t="str">
        <f t="shared" ca="1" si="99"/>
        <v/>
      </c>
      <c r="AN254" s="4" t="str">
        <f t="shared" ca="1" si="99"/>
        <v/>
      </c>
      <c r="AO254" s="4" t="str">
        <f t="shared" ca="1" si="99"/>
        <v/>
      </c>
      <c r="AP254" s="4" t="str">
        <f t="shared" ca="1" si="99"/>
        <v/>
      </c>
      <c r="AQ254" s="4" t="str">
        <f t="shared" ca="1" si="100"/>
        <v/>
      </c>
      <c r="AR254" s="4" t="str">
        <f t="shared" ca="1" si="100"/>
        <v/>
      </c>
      <c r="AS254" s="4" t="str">
        <f t="shared" ca="1" si="100"/>
        <v/>
      </c>
      <c r="AT254" s="4" t="str">
        <f t="shared" ca="1" si="100"/>
        <v/>
      </c>
      <c r="AU254" s="4" t="str">
        <f t="shared" ca="1" si="100"/>
        <v/>
      </c>
      <c r="AV254" s="4" t="str">
        <f t="shared" ca="1" si="100"/>
        <v/>
      </c>
      <c r="AW254" s="4" t="str">
        <f t="shared" ca="1" si="100"/>
        <v/>
      </c>
      <c r="AX254" s="4" t="str">
        <f t="shared" ca="1" si="100"/>
        <v/>
      </c>
      <c r="AY254" s="4" t="str">
        <f t="shared" ca="1" si="100"/>
        <v/>
      </c>
      <c r="AZ254" s="4" t="str">
        <f t="shared" ca="1" si="100"/>
        <v/>
      </c>
      <c r="BA254" s="4" t="str">
        <f t="shared" si="90"/>
        <v/>
      </c>
    </row>
    <row r="255" spans="1:53">
      <c r="A255">
        <v>191</v>
      </c>
      <c r="C255" s="4" t="str">
        <f t="shared" ref="C255:L264" ca="1" si="101">IF(COLUMN()-2&lt;=$E$3,INDEX($B$10:$B$59,RANDBETWEEN(1,$E$3)),"")</f>
        <v/>
      </c>
      <c r="D255" s="4" t="str">
        <f t="shared" ca="1" si="101"/>
        <v/>
      </c>
      <c r="E255" s="4" t="str">
        <f t="shared" ca="1" si="101"/>
        <v/>
      </c>
      <c r="F255" s="4" t="str">
        <f t="shared" ca="1" si="101"/>
        <v/>
      </c>
      <c r="G255" s="4" t="str">
        <f t="shared" ca="1" si="101"/>
        <v/>
      </c>
      <c r="H255" s="4" t="str">
        <f t="shared" ca="1" si="101"/>
        <v/>
      </c>
      <c r="I255" s="4" t="str">
        <f t="shared" ca="1" si="101"/>
        <v/>
      </c>
      <c r="J255" s="4" t="str">
        <f t="shared" ca="1" si="101"/>
        <v/>
      </c>
      <c r="K255" s="4" t="str">
        <f t="shared" ca="1" si="101"/>
        <v/>
      </c>
      <c r="L255" s="4" t="str">
        <f t="shared" ca="1" si="101"/>
        <v/>
      </c>
      <c r="M255" s="4" t="str">
        <f t="shared" ref="M255:V264" ca="1" si="102">IF(COLUMN()-2&lt;=$E$3,INDEX($B$10:$B$59,RANDBETWEEN(1,$E$3)),"")</f>
        <v/>
      </c>
      <c r="N255" s="4" t="str">
        <f t="shared" ca="1" si="102"/>
        <v/>
      </c>
      <c r="O255" s="4" t="str">
        <f t="shared" ca="1" si="102"/>
        <v/>
      </c>
      <c r="P255" s="4" t="str">
        <f t="shared" ca="1" si="102"/>
        <v/>
      </c>
      <c r="Q255" s="4" t="str">
        <f t="shared" ca="1" si="102"/>
        <v/>
      </c>
      <c r="R255" s="4" t="str">
        <f t="shared" ca="1" si="102"/>
        <v/>
      </c>
      <c r="S255" s="4" t="str">
        <f t="shared" ca="1" si="102"/>
        <v/>
      </c>
      <c r="T255" s="4" t="str">
        <f t="shared" ca="1" si="102"/>
        <v/>
      </c>
      <c r="U255" s="4" t="str">
        <f t="shared" ca="1" si="102"/>
        <v/>
      </c>
      <c r="V255" s="4" t="str">
        <f t="shared" ca="1" si="102"/>
        <v/>
      </c>
      <c r="W255" s="4" t="str">
        <f t="shared" ref="W255:AF264" ca="1" si="103">IF(COLUMN()-2&lt;=$E$3,INDEX($B$10:$B$59,RANDBETWEEN(1,$E$3)),"")</f>
        <v/>
      </c>
      <c r="X255" s="4" t="str">
        <f t="shared" ca="1" si="103"/>
        <v/>
      </c>
      <c r="Y255" s="4" t="str">
        <f t="shared" ca="1" si="103"/>
        <v/>
      </c>
      <c r="Z255" s="4" t="str">
        <f t="shared" ca="1" si="103"/>
        <v/>
      </c>
      <c r="AA255" s="4" t="str">
        <f t="shared" ca="1" si="103"/>
        <v/>
      </c>
      <c r="AB255" s="4" t="str">
        <f t="shared" ca="1" si="103"/>
        <v/>
      </c>
      <c r="AC255" s="4" t="str">
        <f t="shared" ca="1" si="103"/>
        <v/>
      </c>
      <c r="AD255" s="4" t="str">
        <f t="shared" ca="1" si="103"/>
        <v/>
      </c>
      <c r="AE255" s="4" t="str">
        <f t="shared" ca="1" si="103"/>
        <v/>
      </c>
      <c r="AF255" s="4" t="str">
        <f t="shared" ca="1" si="103"/>
        <v/>
      </c>
      <c r="AG255" s="4" t="str">
        <f t="shared" ref="AG255:AP264" ca="1" si="104">IF(COLUMN()-2&lt;=$E$3,INDEX($B$10:$B$59,RANDBETWEEN(1,$E$3)),"")</f>
        <v/>
      </c>
      <c r="AH255" s="4" t="str">
        <f t="shared" ca="1" si="104"/>
        <v/>
      </c>
      <c r="AI255" s="4" t="str">
        <f t="shared" ca="1" si="104"/>
        <v/>
      </c>
      <c r="AJ255" s="4" t="str">
        <f t="shared" ca="1" si="104"/>
        <v/>
      </c>
      <c r="AK255" s="4" t="str">
        <f t="shared" ca="1" si="104"/>
        <v/>
      </c>
      <c r="AL255" s="4" t="str">
        <f t="shared" ca="1" si="104"/>
        <v/>
      </c>
      <c r="AM255" s="4" t="str">
        <f t="shared" ca="1" si="104"/>
        <v/>
      </c>
      <c r="AN255" s="4" t="str">
        <f t="shared" ca="1" si="104"/>
        <v/>
      </c>
      <c r="AO255" s="4" t="str">
        <f t="shared" ca="1" si="104"/>
        <v/>
      </c>
      <c r="AP255" s="4" t="str">
        <f t="shared" ca="1" si="104"/>
        <v/>
      </c>
      <c r="AQ255" s="4" t="str">
        <f t="shared" ref="AQ255:AZ264" ca="1" si="105">IF(COLUMN()-2&lt;=$E$3,INDEX($B$10:$B$59,RANDBETWEEN(1,$E$3)),"")</f>
        <v/>
      </c>
      <c r="AR255" s="4" t="str">
        <f t="shared" ca="1" si="105"/>
        <v/>
      </c>
      <c r="AS255" s="4" t="str">
        <f t="shared" ca="1" si="105"/>
        <v/>
      </c>
      <c r="AT255" s="4" t="str">
        <f t="shared" ca="1" si="105"/>
        <v/>
      </c>
      <c r="AU255" s="4" t="str">
        <f t="shared" ca="1" si="105"/>
        <v/>
      </c>
      <c r="AV255" s="4" t="str">
        <f t="shared" ca="1" si="105"/>
        <v/>
      </c>
      <c r="AW255" s="4" t="str">
        <f t="shared" ca="1" si="105"/>
        <v/>
      </c>
      <c r="AX255" s="4" t="str">
        <f t="shared" ca="1" si="105"/>
        <v/>
      </c>
      <c r="AY255" s="4" t="str">
        <f t="shared" ca="1" si="105"/>
        <v/>
      </c>
      <c r="AZ255" s="4" t="str">
        <f t="shared" ca="1" si="105"/>
        <v/>
      </c>
      <c r="BA255" s="4" t="str">
        <f t="shared" si="90"/>
        <v/>
      </c>
    </row>
    <row r="256" spans="1:53">
      <c r="A256">
        <v>192</v>
      </c>
      <c r="C256" s="4" t="str">
        <f t="shared" ca="1" si="101"/>
        <v/>
      </c>
      <c r="D256" s="4" t="str">
        <f t="shared" ca="1" si="101"/>
        <v/>
      </c>
      <c r="E256" s="4" t="str">
        <f t="shared" ca="1" si="101"/>
        <v/>
      </c>
      <c r="F256" s="4" t="str">
        <f t="shared" ca="1" si="101"/>
        <v/>
      </c>
      <c r="G256" s="4" t="str">
        <f t="shared" ca="1" si="101"/>
        <v/>
      </c>
      <c r="H256" s="4" t="str">
        <f t="shared" ca="1" si="101"/>
        <v/>
      </c>
      <c r="I256" s="4" t="str">
        <f t="shared" ca="1" si="101"/>
        <v/>
      </c>
      <c r="J256" s="4" t="str">
        <f t="shared" ca="1" si="101"/>
        <v/>
      </c>
      <c r="K256" s="4" t="str">
        <f t="shared" ca="1" si="101"/>
        <v/>
      </c>
      <c r="L256" s="4" t="str">
        <f t="shared" ca="1" si="101"/>
        <v/>
      </c>
      <c r="M256" s="4" t="str">
        <f t="shared" ca="1" si="102"/>
        <v/>
      </c>
      <c r="N256" s="4" t="str">
        <f t="shared" ca="1" si="102"/>
        <v/>
      </c>
      <c r="O256" s="4" t="str">
        <f t="shared" ca="1" si="102"/>
        <v/>
      </c>
      <c r="P256" s="4" t="str">
        <f t="shared" ca="1" si="102"/>
        <v/>
      </c>
      <c r="Q256" s="4" t="str">
        <f t="shared" ca="1" si="102"/>
        <v/>
      </c>
      <c r="R256" s="4" t="str">
        <f t="shared" ca="1" si="102"/>
        <v/>
      </c>
      <c r="S256" s="4" t="str">
        <f t="shared" ca="1" si="102"/>
        <v/>
      </c>
      <c r="T256" s="4" t="str">
        <f t="shared" ca="1" si="102"/>
        <v/>
      </c>
      <c r="U256" s="4" t="str">
        <f t="shared" ca="1" si="102"/>
        <v/>
      </c>
      <c r="V256" s="4" t="str">
        <f t="shared" ca="1" si="102"/>
        <v/>
      </c>
      <c r="W256" s="4" t="str">
        <f t="shared" ca="1" si="103"/>
        <v/>
      </c>
      <c r="X256" s="4" t="str">
        <f t="shared" ca="1" si="103"/>
        <v/>
      </c>
      <c r="Y256" s="4" t="str">
        <f t="shared" ca="1" si="103"/>
        <v/>
      </c>
      <c r="Z256" s="4" t="str">
        <f t="shared" ca="1" si="103"/>
        <v/>
      </c>
      <c r="AA256" s="4" t="str">
        <f t="shared" ca="1" si="103"/>
        <v/>
      </c>
      <c r="AB256" s="4" t="str">
        <f t="shared" ca="1" si="103"/>
        <v/>
      </c>
      <c r="AC256" s="4" t="str">
        <f t="shared" ca="1" si="103"/>
        <v/>
      </c>
      <c r="AD256" s="4" t="str">
        <f t="shared" ca="1" si="103"/>
        <v/>
      </c>
      <c r="AE256" s="4" t="str">
        <f t="shared" ca="1" si="103"/>
        <v/>
      </c>
      <c r="AF256" s="4" t="str">
        <f t="shared" ca="1" si="103"/>
        <v/>
      </c>
      <c r="AG256" s="4" t="str">
        <f t="shared" ca="1" si="104"/>
        <v/>
      </c>
      <c r="AH256" s="4" t="str">
        <f t="shared" ca="1" si="104"/>
        <v/>
      </c>
      <c r="AI256" s="4" t="str">
        <f t="shared" ca="1" si="104"/>
        <v/>
      </c>
      <c r="AJ256" s="4" t="str">
        <f t="shared" ca="1" si="104"/>
        <v/>
      </c>
      <c r="AK256" s="4" t="str">
        <f t="shared" ca="1" si="104"/>
        <v/>
      </c>
      <c r="AL256" s="4" t="str">
        <f t="shared" ca="1" si="104"/>
        <v/>
      </c>
      <c r="AM256" s="4" t="str">
        <f t="shared" ca="1" si="104"/>
        <v/>
      </c>
      <c r="AN256" s="4" t="str">
        <f t="shared" ca="1" si="104"/>
        <v/>
      </c>
      <c r="AO256" s="4" t="str">
        <f t="shared" ca="1" si="104"/>
        <v/>
      </c>
      <c r="AP256" s="4" t="str">
        <f t="shared" ca="1" si="104"/>
        <v/>
      </c>
      <c r="AQ256" s="4" t="str">
        <f t="shared" ca="1" si="105"/>
        <v/>
      </c>
      <c r="AR256" s="4" t="str">
        <f t="shared" ca="1" si="105"/>
        <v/>
      </c>
      <c r="AS256" s="4" t="str">
        <f t="shared" ca="1" si="105"/>
        <v/>
      </c>
      <c r="AT256" s="4" t="str">
        <f t="shared" ca="1" si="105"/>
        <v/>
      </c>
      <c r="AU256" s="4" t="str">
        <f t="shared" ca="1" si="105"/>
        <v/>
      </c>
      <c r="AV256" s="4" t="str">
        <f t="shared" ca="1" si="105"/>
        <v/>
      </c>
      <c r="AW256" s="4" t="str">
        <f t="shared" ca="1" si="105"/>
        <v/>
      </c>
      <c r="AX256" s="4" t="str">
        <f t="shared" ca="1" si="105"/>
        <v/>
      </c>
      <c r="AY256" s="4" t="str">
        <f t="shared" ca="1" si="105"/>
        <v/>
      </c>
      <c r="AZ256" s="4" t="str">
        <f t="shared" ca="1" si="105"/>
        <v/>
      </c>
      <c r="BA256" s="4" t="str">
        <f t="shared" si="90"/>
        <v/>
      </c>
    </row>
    <row r="257" spans="1:53">
      <c r="A257">
        <v>193</v>
      </c>
      <c r="C257" s="4" t="str">
        <f t="shared" ca="1" si="101"/>
        <v/>
      </c>
      <c r="D257" s="4" t="str">
        <f t="shared" ca="1" si="101"/>
        <v/>
      </c>
      <c r="E257" s="4" t="str">
        <f t="shared" ca="1" si="101"/>
        <v/>
      </c>
      <c r="F257" s="4" t="str">
        <f t="shared" ca="1" si="101"/>
        <v/>
      </c>
      <c r="G257" s="4" t="str">
        <f t="shared" ca="1" si="101"/>
        <v/>
      </c>
      <c r="H257" s="4" t="str">
        <f t="shared" ca="1" si="101"/>
        <v/>
      </c>
      <c r="I257" s="4" t="str">
        <f t="shared" ca="1" si="101"/>
        <v/>
      </c>
      <c r="J257" s="4" t="str">
        <f t="shared" ca="1" si="101"/>
        <v/>
      </c>
      <c r="K257" s="4" t="str">
        <f t="shared" ca="1" si="101"/>
        <v/>
      </c>
      <c r="L257" s="4" t="str">
        <f t="shared" ca="1" si="101"/>
        <v/>
      </c>
      <c r="M257" s="4" t="str">
        <f t="shared" ca="1" si="102"/>
        <v/>
      </c>
      <c r="N257" s="4" t="str">
        <f t="shared" ca="1" si="102"/>
        <v/>
      </c>
      <c r="O257" s="4" t="str">
        <f t="shared" ca="1" si="102"/>
        <v/>
      </c>
      <c r="P257" s="4" t="str">
        <f t="shared" ca="1" si="102"/>
        <v/>
      </c>
      <c r="Q257" s="4" t="str">
        <f t="shared" ca="1" si="102"/>
        <v/>
      </c>
      <c r="R257" s="4" t="str">
        <f t="shared" ca="1" si="102"/>
        <v/>
      </c>
      <c r="S257" s="4" t="str">
        <f t="shared" ca="1" si="102"/>
        <v/>
      </c>
      <c r="T257" s="4" t="str">
        <f t="shared" ca="1" si="102"/>
        <v/>
      </c>
      <c r="U257" s="4" t="str">
        <f t="shared" ca="1" si="102"/>
        <v/>
      </c>
      <c r="V257" s="4" t="str">
        <f t="shared" ca="1" si="102"/>
        <v/>
      </c>
      <c r="W257" s="4" t="str">
        <f t="shared" ca="1" si="103"/>
        <v/>
      </c>
      <c r="X257" s="4" t="str">
        <f t="shared" ca="1" si="103"/>
        <v/>
      </c>
      <c r="Y257" s="4" t="str">
        <f t="shared" ca="1" si="103"/>
        <v/>
      </c>
      <c r="Z257" s="4" t="str">
        <f t="shared" ca="1" si="103"/>
        <v/>
      </c>
      <c r="AA257" s="4" t="str">
        <f t="shared" ca="1" si="103"/>
        <v/>
      </c>
      <c r="AB257" s="4" t="str">
        <f t="shared" ca="1" si="103"/>
        <v/>
      </c>
      <c r="AC257" s="4" t="str">
        <f t="shared" ca="1" si="103"/>
        <v/>
      </c>
      <c r="AD257" s="4" t="str">
        <f t="shared" ca="1" si="103"/>
        <v/>
      </c>
      <c r="AE257" s="4" t="str">
        <f t="shared" ca="1" si="103"/>
        <v/>
      </c>
      <c r="AF257" s="4" t="str">
        <f t="shared" ca="1" si="103"/>
        <v/>
      </c>
      <c r="AG257" s="4" t="str">
        <f t="shared" ca="1" si="104"/>
        <v/>
      </c>
      <c r="AH257" s="4" t="str">
        <f t="shared" ca="1" si="104"/>
        <v/>
      </c>
      <c r="AI257" s="4" t="str">
        <f t="shared" ca="1" si="104"/>
        <v/>
      </c>
      <c r="AJ257" s="4" t="str">
        <f t="shared" ca="1" si="104"/>
        <v/>
      </c>
      <c r="AK257" s="4" t="str">
        <f t="shared" ca="1" si="104"/>
        <v/>
      </c>
      <c r="AL257" s="4" t="str">
        <f t="shared" ca="1" si="104"/>
        <v/>
      </c>
      <c r="AM257" s="4" t="str">
        <f t="shared" ca="1" si="104"/>
        <v/>
      </c>
      <c r="AN257" s="4" t="str">
        <f t="shared" ca="1" si="104"/>
        <v/>
      </c>
      <c r="AO257" s="4" t="str">
        <f t="shared" ca="1" si="104"/>
        <v/>
      </c>
      <c r="AP257" s="4" t="str">
        <f t="shared" ca="1" si="104"/>
        <v/>
      </c>
      <c r="AQ257" s="4" t="str">
        <f t="shared" ca="1" si="105"/>
        <v/>
      </c>
      <c r="AR257" s="4" t="str">
        <f t="shared" ca="1" si="105"/>
        <v/>
      </c>
      <c r="AS257" s="4" t="str">
        <f t="shared" ca="1" si="105"/>
        <v/>
      </c>
      <c r="AT257" s="4" t="str">
        <f t="shared" ca="1" si="105"/>
        <v/>
      </c>
      <c r="AU257" s="4" t="str">
        <f t="shared" ca="1" si="105"/>
        <v/>
      </c>
      <c r="AV257" s="4" t="str">
        <f t="shared" ca="1" si="105"/>
        <v/>
      </c>
      <c r="AW257" s="4" t="str">
        <f t="shared" ca="1" si="105"/>
        <v/>
      </c>
      <c r="AX257" s="4" t="str">
        <f t="shared" ca="1" si="105"/>
        <v/>
      </c>
      <c r="AY257" s="4" t="str">
        <f t="shared" ca="1" si="105"/>
        <v/>
      </c>
      <c r="AZ257" s="4" t="str">
        <f t="shared" ca="1" si="105"/>
        <v/>
      </c>
      <c r="BA257" s="4" t="str">
        <f t="shared" ref="BA257:BA264" si="106">IF($E$3=0,"",AVERAGE(C257:AZ257))</f>
        <v/>
      </c>
    </row>
    <row r="258" spans="1:53">
      <c r="A258">
        <v>194</v>
      </c>
      <c r="C258" s="4" t="str">
        <f t="shared" ca="1" si="101"/>
        <v/>
      </c>
      <c r="D258" s="4" t="str">
        <f t="shared" ca="1" si="101"/>
        <v/>
      </c>
      <c r="E258" s="4" t="str">
        <f t="shared" ca="1" si="101"/>
        <v/>
      </c>
      <c r="F258" s="4" t="str">
        <f t="shared" ca="1" si="101"/>
        <v/>
      </c>
      <c r="G258" s="4" t="str">
        <f t="shared" ca="1" si="101"/>
        <v/>
      </c>
      <c r="H258" s="4" t="str">
        <f t="shared" ca="1" si="101"/>
        <v/>
      </c>
      <c r="I258" s="4" t="str">
        <f t="shared" ca="1" si="101"/>
        <v/>
      </c>
      <c r="J258" s="4" t="str">
        <f t="shared" ca="1" si="101"/>
        <v/>
      </c>
      <c r="K258" s="4" t="str">
        <f t="shared" ca="1" si="101"/>
        <v/>
      </c>
      <c r="L258" s="4" t="str">
        <f t="shared" ca="1" si="101"/>
        <v/>
      </c>
      <c r="M258" s="4" t="str">
        <f t="shared" ca="1" si="102"/>
        <v/>
      </c>
      <c r="N258" s="4" t="str">
        <f t="shared" ca="1" si="102"/>
        <v/>
      </c>
      <c r="O258" s="4" t="str">
        <f t="shared" ca="1" si="102"/>
        <v/>
      </c>
      <c r="P258" s="4" t="str">
        <f t="shared" ca="1" si="102"/>
        <v/>
      </c>
      <c r="Q258" s="4" t="str">
        <f t="shared" ca="1" si="102"/>
        <v/>
      </c>
      <c r="R258" s="4" t="str">
        <f t="shared" ca="1" si="102"/>
        <v/>
      </c>
      <c r="S258" s="4" t="str">
        <f t="shared" ca="1" si="102"/>
        <v/>
      </c>
      <c r="T258" s="4" t="str">
        <f t="shared" ca="1" si="102"/>
        <v/>
      </c>
      <c r="U258" s="4" t="str">
        <f t="shared" ca="1" si="102"/>
        <v/>
      </c>
      <c r="V258" s="4" t="str">
        <f t="shared" ca="1" si="102"/>
        <v/>
      </c>
      <c r="W258" s="4" t="str">
        <f t="shared" ca="1" si="103"/>
        <v/>
      </c>
      <c r="X258" s="4" t="str">
        <f t="shared" ca="1" si="103"/>
        <v/>
      </c>
      <c r="Y258" s="4" t="str">
        <f t="shared" ca="1" si="103"/>
        <v/>
      </c>
      <c r="Z258" s="4" t="str">
        <f t="shared" ca="1" si="103"/>
        <v/>
      </c>
      <c r="AA258" s="4" t="str">
        <f t="shared" ca="1" si="103"/>
        <v/>
      </c>
      <c r="AB258" s="4" t="str">
        <f t="shared" ca="1" si="103"/>
        <v/>
      </c>
      <c r="AC258" s="4" t="str">
        <f t="shared" ca="1" si="103"/>
        <v/>
      </c>
      <c r="AD258" s="4" t="str">
        <f t="shared" ca="1" si="103"/>
        <v/>
      </c>
      <c r="AE258" s="4" t="str">
        <f t="shared" ca="1" si="103"/>
        <v/>
      </c>
      <c r="AF258" s="4" t="str">
        <f t="shared" ca="1" si="103"/>
        <v/>
      </c>
      <c r="AG258" s="4" t="str">
        <f t="shared" ca="1" si="104"/>
        <v/>
      </c>
      <c r="AH258" s="4" t="str">
        <f t="shared" ca="1" si="104"/>
        <v/>
      </c>
      <c r="AI258" s="4" t="str">
        <f t="shared" ca="1" si="104"/>
        <v/>
      </c>
      <c r="AJ258" s="4" t="str">
        <f t="shared" ca="1" si="104"/>
        <v/>
      </c>
      <c r="AK258" s="4" t="str">
        <f t="shared" ca="1" si="104"/>
        <v/>
      </c>
      <c r="AL258" s="4" t="str">
        <f t="shared" ca="1" si="104"/>
        <v/>
      </c>
      <c r="AM258" s="4" t="str">
        <f t="shared" ca="1" si="104"/>
        <v/>
      </c>
      <c r="AN258" s="4" t="str">
        <f t="shared" ca="1" si="104"/>
        <v/>
      </c>
      <c r="AO258" s="4" t="str">
        <f t="shared" ca="1" si="104"/>
        <v/>
      </c>
      <c r="AP258" s="4" t="str">
        <f t="shared" ca="1" si="104"/>
        <v/>
      </c>
      <c r="AQ258" s="4" t="str">
        <f t="shared" ca="1" si="105"/>
        <v/>
      </c>
      <c r="AR258" s="4" t="str">
        <f t="shared" ca="1" si="105"/>
        <v/>
      </c>
      <c r="AS258" s="4" t="str">
        <f t="shared" ca="1" si="105"/>
        <v/>
      </c>
      <c r="AT258" s="4" t="str">
        <f t="shared" ca="1" si="105"/>
        <v/>
      </c>
      <c r="AU258" s="4" t="str">
        <f t="shared" ca="1" si="105"/>
        <v/>
      </c>
      <c r="AV258" s="4" t="str">
        <f t="shared" ca="1" si="105"/>
        <v/>
      </c>
      <c r="AW258" s="4" t="str">
        <f t="shared" ca="1" si="105"/>
        <v/>
      </c>
      <c r="AX258" s="4" t="str">
        <f t="shared" ca="1" si="105"/>
        <v/>
      </c>
      <c r="AY258" s="4" t="str">
        <f t="shared" ca="1" si="105"/>
        <v/>
      </c>
      <c r="AZ258" s="4" t="str">
        <f t="shared" ca="1" si="105"/>
        <v/>
      </c>
      <c r="BA258" s="4" t="str">
        <f t="shared" si="106"/>
        <v/>
      </c>
    </row>
    <row r="259" spans="1:53">
      <c r="A259">
        <v>195</v>
      </c>
      <c r="C259" s="4" t="str">
        <f t="shared" ca="1" si="101"/>
        <v/>
      </c>
      <c r="D259" s="4" t="str">
        <f t="shared" ca="1" si="101"/>
        <v/>
      </c>
      <c r="E259" s="4" t="str">
        <f t="shared" ca="1" si="101"/>
        <v/>
      </c>
      <c r="F259" s="4" t="str">
        <f t="shared" ca="1" si="101"/>
        <v/>
      </c>
      <c r="G259" s="4" t="str">
        <f t="shared" ca="1" si="101"/>
        <v/>
      </c>
      <c r="H259" s="4" t="str">
        <f t="shared" ca="1" si="101"/>
        <v/>
      </c>
      <c r="I259" s="4" t="str">
        <f t="shared" ca="1" si="101"/>
        <v/>
      </c>
      <c r="J259" s="4" t="str">
        <f t="shared" ca="1" si="101"/>
        <v/>
      </c>
      <c r="K259" s="4" t="str">
        <f t="shared" ca="1" si="101"/>
        <v/>
      </c>
      <c r="L259" s="4" t="str">
        <f t="shared" ca="1" si="101"/>
        <v/>
      </c>
      <c r="M259" s="4" t="str">
        <f t="shared" ca="1" si="102"/>
        <v/>
      </c>
      <c r="N259" s="4" t="str">
        <f t="shared" ca="1" si="102"/>
        <v/>
      </c>
      <c r="O259" s="4" t="str">
        <f t="shared" ca="1" si="102"/>
        <v/>
      </c>
      <c r="P259" s="4" t="str">
        <f t="shared" ca="1" si="102"/>
        <v/>
      </c>
      <c r="Q259" s="4" t="str">
        <f t="shared" ca="1" si="102"/>
        <v/>
      </c>
      <c r="R259" s="4" t="str">
        <f t="shared" ca="1" si="102"/>
        <v/>
      </c>
      <c r="S259" s="4" t="str">
        <f t="shared" ca="1" si="102"/>
        <v/>
      </c>
      <c r="T259" s="4" t="str">
        <f t="shared" ca="1" si="102"/>
        <v/>
      </c>
      <c r="U259" s="4" t="str">
        <f t="shared" ca="1" si="102"/>
        <v/>
      </c>
      <c r="V259" s="4" t="str">
        <f t="shared" ca="1" si="102"/>
        <v/>
      </c>
      <c r="W259" s="4" t="str">
        <f t="shared" ca="1" si="103"/>
        <v/>
      </c>
      <c r="X259" s="4" t="str">
        <f t="shared" ca="1" si="103"/>
        <v/>
      </c>
      <c r="Y259" s="4" t="str">
        <f t="shared" ca="1" si="103"/>
        <v/>
      </c>
      <c r="Z259" s="4" t="str">
        <f t="shared" ca="1" si="103"/>
        <v/>
      </c>
      <c r="AA259" s="4" t="str">
        <f t="shared" ca="1" si="103"/>
        <v/>
      </c>
      <c r="AB259" s="4" t="str">
        <f t="shared" ca="1" si="103"/>
        <v/>
      </c>
      <c r="AC259" s="4" t="str">
        <f t="shared" ca="1" si="103"/>
        <v/>
      </c>
      <c r="AD259" s="4" t="str">
        <f t="shared" ca="1" si="103"/>
        <v/>
      </c>
      <c r="AE259" s="4" t="str">
        <f t="shared" ca="1" si="103"/>
        <v/>
      </c>
      <c r="AF259" s="4" t="str">
        <f t="shared" ca="1" si="103"/>
        <v/>
      </c>
      <c r="AG259" s="4" t="str">
        <f t="shared" ca="1" si="104"/>
        <v/>
      </c>
      <c r="AH259" s="4" t="str">
        <f t="shared" ca="1" si="104"/>
        <v/>
      </c>
      <c r="AI259" s="4" t="str">
        <f t="shared" ca="1" si="104"/>
        <v/>
      </c>
      <c r="AJ259" s="4" t="str">
        <f t="shared" ca="1" si="104"/>
        <v/>
      </c>
      <c r="AK259" s="4" t="str">
        <f t="shared" ca="1" si="104"/>
        <v/>
      </c>
      <c r="AL259" s="4" t="str">
        <f t="shared" ca="1" si="104"/>
        <v/>
      </c>
      <c r="AM259" s="4" t="str">
        <f t="shared" ca="1" si="104"/>
        <v/>
      </c>
      <c r="AN259" s="4" t="str">
        <f t="shared" ca="1" si="104"/>
        <v/>
      </c>
      <c r="AO259" s="4" t="str">
        <f t="shared" ca="1" si="104"/>
        <v/>
      </c>
      <c r="AP259" s="4" t="str">
        <f t="shared" ca="1" si="104"/>
        <v/>
      </c>
      <c r="AQ259" s="4" t="str">
        <f t="shared" ca="1" si="105"/>
        <v/>
      </c>
      <c r="AR259" s="4" t="str">
        <f t="shared" ca="1" si="105"/>
        <v/>
      </c>
      <c r="AS259" s="4" t="str">
        <f t="shared" ca="1" si="105"/>
        <v/>
      </c>
      <c r="AT259" s="4" t="str">
        <f t="shared" ca="1" si="105"/>
        <v/>
      </c>
      <c r="AU259" s="4" t="str">
        <f t="shared" ca="1" si="105"/>
        <v/>
      </c>
      <c r="AV259" s="4" t="str">
        <f t="shared" ca="1" si="105"/>
        <v/>
      </c>
      <c r="AW259" s="4" t="str">
        <f t="shared" ca="1" si="105"/>
        <v/>
      </c>
      <c r="AX259" s="4" t="str">
        <f t="shared" ca="1" si="105"/>
        <v/>
      </c>
      <c r="AY259" s="4" t="str">
        <f t="shared" ca="1" si="105"/>
        <v/>
      </c>
      <c r="AZ259" s="4" t="str">
        <f t="shared" ca="1" si="105"/>
        <v/>
      </c>
      <c r="BA259" s="4" t="str">
        <f t="shared" si="106"/>
        <v/>
      </c>
    </row>
    <row r="260" spans="1:53">
      <c r="A260">
        <v>196</v>
      </c>
      <c r="C260" s="4" t="str">
        <f t="shared" ca="1" si="101"/>
        <v/>
      </c>
      <c r="D260" s="4" t="str">
        <f t="shared" ca="1" si="101"/>
        <v/>
      </c>
      <c r="E260" s="4" t="str">
        <f t="shared" ca="1" si="101"/>
        <v/>
      </c>
      <c r="F260" s="4" t="str">
        <f t="shared" ca="1" si="101"/>
        <v/>
      </c>
      <c r="G260" s="4" t="str">
        <f t="shared" ca="1" si="101"/>
        <v/>
      </c>
      <c r="H260" s="4" t="str">
        <f t="shared" ca="1" si="101"/>
        <v/>
      </c>
      <c r="I260" s="4" t="str">
        <f t="shared" ca="1" si="101"/>
        <v/>
      </c>
      <c r="J260" s="4" t="str">
        <f t="shared" ca="1" si="101"/>
        <v/>
      </c>
      <c r="K260" s="4" t="str">
        <f t="shared" ca="1" si="101"/>
        <v/>
      </c>
      <c r="L260" s="4" t="str">
        <f t="shared" ca="1" si="101"/>
        <v/>
      </c>
      <c r="M260" s="4" t="str">
        <f t="shared" ca="1" si="102"/>
        <v/>
      </c>
      <c r="N260" s="4" t="str">
        <f t="shared" ca="1" si="102"/>
        <v/>
      </c>
      <c r="O260" s="4" t="str">
        <f t="shared" ca="1" si="102"/>
        <v/>
      </c>
      <c r="P260" s="4" t="str">
        <f t="shared" ca="1" si="102"/>
        <v/>
      </c>
      <c r="Q260" s="4" t="str">
        <f t="shared" ca="1" si="102"/>
        <v/>
      </c>
      <c r="R260" s="4" t="str">
        <f t="shared" ca="1" si="102"/>
        <v/>
      </c>
      <c r="S260" s="4" t="str">
        <f t="shared" ca="1" si="102"/>
        <v/>
      </c>
      <c r="T260" s="4" t="str">
        <f t="shared" ca="1" si="102"/>
        <v/>
      </c>
      <c r="U260" s="4" t="str">
        <f t="shared" ca="1" si="102"/>
        <v/>
      </c>
      <c r="V260" s="4" t="str">
        <f t="shared" ca="1" si="102"/>
        <v/>
      </c>
      <c r="W260" s="4" t="str">
        <f t="shared" ca="1" si="103"/>
        <v/>
      </c>
      <c r="X260" s="4" t="str">
        <f t="shared" ca="1" si="103"/>
        <v/>
      </c>
      <c r="Y260" s="4" t="str">
        <f t="shared" ca="1" si="103"/>
        <v/>
      </c>
      <c r="Z260" s="4" t="str">
        <f t="shared" ca="1" si="103"/>
        <v/>
      </c>
      <c r="AA260" s="4" t="str">
        <f t="shared" ca="1" si="103"/>
        <v/>
      </c>
      <c r="AB260" s="4" t="str">
        <f t="shared" ca="1" si="103"/>
        <v/>
      </c>
      <c r="AC260" s="4" t="str">
        <f t="shared" ca="1" si="103"/>
        <v/>
      </c>
      <c r="AD260" s="4" t="str">
        <f t="shared" ca="1" si="103"/>
        <v/>
      </c>
      <c r="AE260" s="4" t="str">
        <f t="shared" ca="1" si="103"/>
        <v/>
      </c>
      <c r="AF260" s="4" t="str">
        <f t="shared" ca="1" si="103"/>
        <v/>
      </c>
      <c r="AG260" s="4" t="str">
        <f t="shared" ca="1" si="104"/>
        <v/>
      </c>
      <c r="AH260" s="4" t="str">
        <f t="shared" ca="1" si="104"/>
        <v/>
      </c>
      <c r="AI260" s="4" t="str">
        <f t="shared" ca="1" si="104"/>
        <v/>
      </c>
      <c r="AJ260" s="4" t="str">
        <f t="shared" ca="1" si="104"/>
        <v/>
      </c>
      <c r="AK260" s="4" t="str">
        <f t="shared" ca="1" si="104"/>
        <v/>
      </c>
      <c r="AL260" s="4" t="str">
        <f t="shared" ca="1" si="104"/>
        <v/>
      </c>
      <c r="AM260" s="4" t="str">
        <f t="shared" ca="1" si="104"/>
        <v/>
      </c>
      <c r="AN260" s="4" t="str">
        <f t="shared" ca="1" si="104"/>
        <v/>
      </c>
      <c r="AO260" s="4" t="str">
        <f t="shared" ca="1" si="104"/>
        <v/>
      </c>
      <c r="AP260" s="4" t="str">
        <f t="shared" ca="1" si="104"/>
        <v/>
      </c>
      <c r="AQ260" s="4" t="str">
        <f t="shared" ca="1" si="105"/>
        <v/>
      </c>
      <c r="AR260" s="4" t="str">
        <f t="shared" ca="1" si="105"/>
        <v/>
      </c>
      <c r="AS260" s="4" t="str">
        <f t="shared" ca="1" si="105"/>
        <v/>
      </c>
      <c r="AT260" s="4" t="str">
        <f t="shared" ca="1" si="105"/>
        <v/>
      </c>
      <c r="AU260" s="4" t="str">
        <f t="shared" ca="1" si="105"/>
        <v/>
      </c>
      <c r="AV260" s="4" t="str">
        <f t="shared" ca="1" si="105"/>
        <v/>
      </c>
      <c r="AW260" s="4" t="str">
        <f t="shared" ca="1" si="105"/>
        <v/>
      </c>
      <c r="AX260" s="4" t="str">
        <f t="shared" ca="1" si="105"/>
        <v/>
      </c>
      <c r="AY260" s="4" t="str">
        <f t="shared" ca="1" si="105"/>
        <v/>
      </c>
      <c r="AZ260" s="4" t="str">
        <f t="shared" ca="1" si="105"/>
        <v/>
      </c>
      <c r="BA260" s="4" t="str">
        <f t="shared" si="106"/>
        <v/>
      </c>
    </row>
    <row r="261" spans="1:53">
      <c r="A261">
        <v>197</v>
      </c>
      <c r="C261" s="4" t="str">
        <f t="shared" ca="1" si="101"/>
        <v/>
      </c>
      <c r="D261" s="4" t="str">
        <f t="shared" ca="1" si="101"/>
        <v/>
      </c>
      <c r="E261" s="4" t="str">
        <f t="shared" ca="1" si="101"/>
        <v/>
      </c>
      <c r="F261" s="4" t="str">
        <f t="shared" ca="1" si="101"/>
        <v/>
      </c>
      <c r="G261" s="4" t="str">
        <f t="shared" ca="1" si="101"/>
        <v/>
      </c>
      <c r="H261" s="4" t="str">
        <f t="shared" ca="1" si="101"/>
        <v/>
      </c>
      <c r="I261" s="4" t="str">
        <f t="shared" ca="1" si="101"/>
        <v/>
      </c>
      <c r="J261" s="4" t="str">
        <f t="shared" ca="1" si="101"/>
        <v/>
      </c>
      <c r="K261" s="4" t="str">
        <f t="shared" ca="1" si="101"/>
        <v/>
      </c>
      <c r="L261" s="4" t="str">
        <f t="shared" ca="1" si="101"/>
        <v/>
      </c>
      <c r="M261" s="4" t="str">
        <f t="shared" ca="1" si="102"/>
        <v/>
      </c>
      <c r="N261" s="4" t="str">
        <f t="shared" ca="1" si="102"/>
        <v/>
      </c>
      <c r="O261" s="4" t="str">
        <f t="shared" ca="1" si="102"/>
        <v/>
      </c>
      <c r="P261" s="4" t="str">
        <f t="shared" ca="1" si="102"/>
        <v/>
      </c>
      <c r="Q261" s="4" t="str">
        <f t="shared" ca="1" si="102"/>
        <v/>
      </c>
      <c r="R261" s="4" t="str">
        <f t="shared" ca="1" si="102"/>
        <v/>
      </c>
      <c r="S261" s="4" t="str">
        <f t="shared" ca="1" si="102"/>
        <v/>
      </c>
      <c r="T261" s="4" t="str">
        <f t="shared" ca="1" si="102"/>
        <v/>
      </c>
      <c r="U261" s="4" t="str">
        <f t="shared" ca="1" si="102"/>
        <v/>
      </c>
      <c r="V261" s="4" t="str">
        <f t="shared" ca="1" si="102"/>
        <v/>
      </c>
      <c r="W261" s="4" t="str">
        <f t="shared" ca="1" si="103"/>
        <v/>
      </c>
      <c r="X261" s="4" t="str">
        <f t="shared" ca="1" si="103"/>
        <v/>
      </c>
      <c r="Y261" s="4" t="str">
        <f t="shared" ca="1" si="103"/>
        <v/>
      </c>
      <c r="Z261" s="4" t="str">
        <f t="shared" ca="1" si="103"/>
        <v/>
      </c>
      <c r="AA261" s="4" t="str">
        <f t="shared" ca="1" si="103"/>
        <v/>
      </c>
      <c r="AB261" s="4" t="str">
        <f t="shared" ca="1" si="103"/>
        <v/>
      </c>
      <c r="AC261" s="4" t="str">
        <f t="shared" ca="1" si="103"/>
        <v/>
      </c>
      <c r="AD261" s="4" t="str">
        <f t="shared" ca="1" si="103"/>
        <v/>
      </c>
      <c r="AE261" s="4" t="str">
        <f t="shared" ca="1" si="103"/>
        <v/>
      </c>
      <c r="AF261" s="4" t="str">
        <f t="shared" ca="1" si="103"/>
        <v/>
      </c>
      <c r="AG261" s="4" t="str">
        <f t="shared" ca="1" si="104"/>
        <v/>
      </c>
      <c r="AH261" s="4" t="str">
        <f t="shared" ca="1" si="104"/>
        <v/>
      </c>
      <c r="AI261" s="4" t="str">
        <f t="shared" ca="1" si="104"/>
        <v/>
      </c>
      <c r="AJ261" s="4" t="str">
        <f t="shared" ca="1" si="104"/>
        <v/>
      </c>
      <c r="AK261" s="4" t="str">
        <f t="shared" ca="1" si="104"/>
        <v/>
      </c>
      <c r="AL261" s="4" t="str">
        <f t="shared" ca="1" si="104"/>
        <v/>
      </c>
      <c r="AM261" s="4" t="str">
        <f t="shared" ca="1" si="104"/>
        <v/>
      </c>
      <c r="AN261" s="4" t="str">
        <f t="shared" ca="1" si="104"/>
        <v/>
      </c>
      <c r="AO261" s="4" t="str">
        <f t="shared" ca="1" si="104"/>
        <v/>
      </c>
      <c r="AP261" s="4" t="str">
        <f t="shared" ca="1" si="104"/>
        <v/>
      </c>
      <c r="AQ261" s="4" t="str">
        <f t="shared" ca="1" si="105"/>
        <v/>
      </c>
      <c r="AR261" s="4" t="str">
        <f t="shared" ca="1" si="105"/>
        <v/>
      </c>
      <c r="AS261" s="4" t="str">
        <f t="shared" ca="1" si="105"/>
        <v/>
      </c>
      <c r="AT261" s="4" t="str">
        <f t="shared" ca="1" si="105"/>
        <v/>
      </c>
      <c r="AU261" s="4" t="str">
        <f t="shared" ca="1" si="105"/>
        <v/>
      </c>
      <c r="AV261" s="4" t="str">
        <f t="shared" ca="1" si="105"/>
        <v/>
      </c>
      <c r="AW261" s="4" t="str">
        <f t="shared" ca="1" si="105"/>
        <v/>
      </c>
      <c r="AX261" s="4" t="str">
        <f t="shared" ca="1" si="105"/>
        <v/>
      </c>
      <c r="AY261" s="4" t="str">
        <f t="shared" ca="1" si="105"/>
        <v/>
      </c>
      <c r="AZ261" s="4" t="str">
        <f t="shared" ca="1" si="105"/>
        <v/>
      </c>
      <c r="BA261" s="4" t="str">
        <f t="shared" si="106"/>
        <v/>
      </c>
    </row>
    <row r="262" spans="1:53">
      <c r="A262">
        <v>198</v>
      </c>
      <c r="C262" s="4" t="str">
        <f t="shared" ca="1" si="101"/>
        <v/>
      </c>
      <c r="D262" s="4" t="str">
        <f t="shared" ca="1" si="101"/>
        <v/>
      </c>
      <c r="E262" s="4" t="str">
        <f t="shared" ca="1" si="101"/>
        <v/>
      </c>
      <c r="F262" s="4" t="str">
        <f t="shared" ca="1" si="101"/>
        <v/>
      </c>
      <c r="G262" s="4" t="str">
        <f t="shared" ca="1" si="101"/>
        <v/>
      </c>
      <c r="H262" s="4" t="str">
        <f t="shared" ca="1" si="101"/>
        <v/>
      </c>
      <c r="I262" s="4" t="str">
        <f t="shared" ca="1" si="101"/>
        <v/>
      </c>
      <c r="J262" s="4" t="str">
        <f t="shared" ca="1" si="101"/>
        <v/>
      </c>
      <c r="K262" s="4" t="str">
        <f t="shared" ca="1" si="101"/>
        <v/>
      </c>
      <c r="L262" s="4" t="str">
        <f t="shared" ca="1" si="101"/>
        <v/>
      </c>
      <c r="M262" s="4" t="str">
        <f t="shared" ca="1" si="102"/>
        <v/>
      </c>
      <c r="N262" s="4" t="str">
        <f t="shared" ca="1" si="102"/>
        <v/>
      </c>
      <c r="O262" s="4" t="str">
        <f t="shared" ca="1" si="102"/>
        <v/>
      </c>
      <c r="P262" s="4" t="str">
        <f t="shared" ca="1" si="102"/>
        <v/>
      </c>
      <c r="Q262" s="4" t="str">
        <f t="shared" ca="1" si="102"/>
        <v/>
      </c>
      <c r="R262" s="4" t="str">
        <f t="shared" ca="1" si="102"/>
        <v/>
      </c>
      <c r="S262" s="4" t="str">
        <f t="shared" ca="1" si="102"/>
        <v/>
      </c>
      <c r="T262" s="4" t="str">
        <f t="shared" ca="1" si="102"/>
        <v/>
      </c>
      <c r="U262" s="4" t="str">
        <f t="shared" ca="1" si="102"/>
        <v/>
      </c>
      <c r="V262" s="4" t="str">
        <f t="shared" ca="1" si="102"/>
        <v/>
      </c>
      <c r="W262" s="4" t="str">
        <f t="shared" ca="1" si="103"/>
        <v/>
      </c>
      <c r="X262" s="4" t="str">
        <f t="shared" ca="1" si="103"/>
        <v/>
      </c>
      <c r="Y262" s="4" t="str">
        <f t="shared" ca="1" si="103"/>
        <v/>
      </c>
      <c r="Z262" s="4" t="str">
        <f t="shared" ca="1" si="103"/>
        <v/>
      </c>
      <c r="AA262" s="4" t="str">
        <f t="shared" ca="1" si="103"/>
        <v/>
      </c>
      <c r="AB262" s="4" t="str">
        <f t="shared" ca="1" si="103"/>
        <v/>
      </c>
      <c r="AC262" s="4" t="str">
        <f t="shared" ca="1" si="103"/>
        <v/>
      </c>
      <c r="AD262" s="4" t="str">
        <f t="shared" ca="1" si="103"/>
        <v/>
      </c>
      <c r="AE262" s="4" t="str">
        <f t="shared" ca="1" si="103"/>
        <v/>
      </c>
      <c r="AF262" s="4" t="str">
        <f t="shared" ca="1" si="103"/>
        <v/>
      </c>
      <c r="AG262" s="4" t="str">
        <f t="shared" ca="1" si="104"/>
        <v/>
      </c>
      <c r="AH262" s="4" t="str">
        <f t="shared" ca="1" si="104"/>
        <v/>
      </c>
      <c r="AI262" s="4" t="str">
        <f t="shared" ca="1" si="104"/>
        <v/>
      </c>
      <c r="AJ262" s="4" t="str">
        <f t="shared" ca="1" si="104"/>
        <v/>
      </c>
      <c r="AK262" s="4" t="str">
        <f t="shared" ca="1" si="104"/>
        <v/>
      </c>
      <c r="AL262" s="4" t="str">
        <f t="shared" ca="1" si="104"/>
        <v/>
      </c>
      <c r="AM262" s="4" t="str">
        <f t="shared" ca="1" si="104"/>
        <v/>
      </c>
      <c r="AN262" s="4" t="str">
        <f t="shared" ca="1" si="104"/>
        <v/>
      </c>
      <c r="AO262" s="4" t="str">
        <f t="shared" ca="1" si="104"/>
        <v/>
      </c>
      <c r="AP262" s="4" t="str">
        <f t="shared" ca="1" si="104"/>
        <v/>
      </c>
      <c r="AQ262" s="4" t="str">
        <f t="shared" ca="1" si="105"/>
        <v/>
      </c>
      <c r="AR262" s="4" t="str">
        <f t="shared" ca="1" si="105"/>
        <v/>
      </c>
      <c r="AS262" s="4" t="str">
        <f t="shared" ca="1" si="105"/>
        <v/>
      </c>
      <c r="AT262" s="4" t="str">
        <f t="shared" ca="1" si="105"/>
        <v/>
      </c>
      <c r="AU262" s="4" t="str">
        <f t="shared" ca="1" si="105"/>
        <v/>
      </c>
      <c r="AV262" s="4" t="str">
        <f t="shared" ca="1" si="105"/>
        <v/>
      </c>
      <c r="AW262" s="4" t="str">
        <f t="shared" ca="1" si="105"/>
        <v/>
      </c>
      <c r="AX262" s="4" t="str">
        <f t="shared" ca="1" si="105"/>
        <v/>
      </c>
      <c r="AY262" s="4" t="str">
        <f t="shared" ca="1" si="105"/>
        <v/>
      </c>
      <c r="AZ262" s="4" t="str">
        <f t="shared" ca="1" si="105"/>
        <v/>
      </c>
      <c r="BA262" s="4" t="str">
        <f t="shared" si="106"/>
        <v/>
      </c>
    </row>
    <row r="263" spans="1:53">
      <c r="A263">
        <v>199</v>
      </c>
      <c r="C263" s="4" t="str">
        <f t="shared" ca="1" si="101"/>
        <v/>
      </c>
      <c r="D263" s="4" t="str">
        <f t="shared" ca="1" si="101"/>
        <v/>
      </c>
      <c r="E263" s="4" t="str">
        <f t="shared" ca="1" si="101"/>
        <v/>
      </c>
      <c r="F263" s="4" t="str">
        <f t="shared" ca="1" si="101"/>
        <v/>
      </c>
      <c r="G263" s="4" t="str">
        <f t="shared" ca="1" si="101"/>
        <v/>
      </c>
      <c r="H263" s="4" t="str">
        <f t="shared" ca="1" si="101"/>
        <v/>
      </c>
      <c r="I263" s="4" t="str">
        <f t="shared" ca="1" si="101"/>
        <v/>
      </c>
      <c r="J263" s="4" t="str">
        <f t="shared" ca="1" si="101"/>
        <v/>
      </c>
      <c r="K263" s="4" t="str">
        <f t="shared" ca="1" si="101"/>
        <v/>
      </c>
      <c r="L263" s="4" t="str">
        <f t="shared" ca="1" si="101"/>
        <v/>
      </c>
      <c r="M263" s="4" t="str">
        <f t="shared" ca="1" si="102"/>
        <v/>
      </c>
      <c r="N263" s="4" t="str">
        <f t="shared" ca="1" si="102"/>
        <v/>
      </c>
      <c r="O263" s="4" t="str">
        <f t="shared" ca="1" si="102"/>
        <v/>
      </c>
      <c r="P263" s="4" t="str">
        <f t="shared" ca="1" si="102"/>
        <v/>
      </c>
      <c r="Q263" s="4" t="str">
        <f t="shared" ca="1" si="102"/>
        <v/>
      </c>
      <c r="R263" s="4" t="str">
        <f t="shared" ca="1" si="102"/>
        <v/>
      </c>
      <c r="S263" s="4" t="str">
        <f t="shared" ca="1" si="102"/>
        <v/>
      </c>
      <c r="T263" s="4" t="str">
        <f t="shared" ca="1" si="102"/>
        <v/>
      </c>
      <c r="U263" s="4" t="str">
        <f t="shared" ca="1" si="102"/>
        <v/>
      </c>
      <c r="V263" s="4" t="str">
        <f t="shared" ca="1" si="102"/>
        <v/>
      </c>
      <c r="W263" s="4" t="str">
        <f t="shared" ca="1" si="103"/>
        <v/>
      </c>
      <c r="X263" s="4" t="str">
        <f t="shared" ca="1" si="103"/>
        <v/>
      </c>
      <c r="Y263" s="4" t="str">
        <f t="shared" ca="1" si="103"/>
        <v/>
      </c>
      <c r="Z263" s="4" t="str">
        <f t="shared" ca="1" si="103"/>
        <v/>
      </c>
      <c r="AA263" s="4" t="str">
        <f t="shared" ca="1" si="103"/>
        <v/>
      </c>
      <c r="AB263" s="4" t="str">
        <f t="shared" ca="1" si="103"/>
        <v/>
      </c>
      <c r="AC263" s="4" t="str">
        <f t="shared" ca="1" si="103"/>
        <v/>
      </c>
      <c r="AD263" s="4" t="str">
        <f t="shared" ca="1" si="103"/>
        <v/>
      </c>
      <c r="AE263" s="4" t="str">
        <f t="shared" ca="1" si="103"/>
        <v/>
      </c>
      <c r="AF263" s="4" t="str">
        <f t="shared" ca="1" si="103"/>
        <v/>
      </c>
      <c r="AG263" s="4" t="str">
        <f t="shared" ca="1" si="104"/>
        <v/>
      </c>
      <c r="AH263" s="4" t="str">
        <f t="shared" ca="1" si="104"/>
        <v/>
      </c>
      <c r="AI263" s="4" t="str">
        <f t="shared" ca="1" si="104"/>
        <v/>
      </c>
      <c r="AJ263" s="4" t="str">
        <f t="shared" ca="1" si="104"/>
        <v/>
      </c>
      <c r="AK263" s="4" t="str">
        <f t="shared" ca="1" si="104"/>
        <v/>
      </c>
      <c r="AL263" s="4" t="str">
        <f t="shared" ca="1" si="104"/>
        <v/>
      </c>
      <c r="AM263" s="4" t="str">
        <f t="shared" ca="1" si="104"/>
        <v/>
      </c>
      <c r="AN263" s="4" t="str">
        <f t="shared" ca="1" si="104"/>
        <v/>
      </c>
      <c r="AO263" s="4" t="str">
        <f t="shared" ca="1" si="104"/>
        <v/>
      </c>
      <c r="AP263" s="4" t="str">
        <f t="shared" ca="1" si="104"/>
        <v/>
      </c>
      <c r="AQ263" s="4" t="str">
        <f t="shared" ca="1" si="105"/>
        <v/>
      </c>
      <c r="AR263" s="4" t="str">
        <f t="shared" ca="1" si="105"/>
        <v/>
      </c>
      <c r="AS263" s="4" t="str">
        <f t="shared" ca="1" si="105"/>
        <v/>
      </c>
      <c r="AT263" s="4" t="str">
        <f t="shared" ca="1" si="105"/>
        <v/>
      </c>
      <c r="AU263" s="4" t="str">
        <f t="shared" ca="1" si="105"/>
        <v/>
      </c>
      <c r="AV263" s="4" t="str">
        <f t="shared" ca="1" si="105"/>
        <v/>
      </c>
      <c r="AW263" s="4" t="str">
        <f t="shared" ca="1" si="105"/>
        <v/>
      </c>
      <c r="AX263" s="4" t="str">
        <f t="shared" ca="1" si="105"/>
        <v/>
      </c>
      <c r="AY263" s="4" t="str">
        <f t="shared" ca="1" si="105"/>
        <v/>
      </c>
      <c r="AZ263" s="4" t="str">
        <f t="shared" ca="1" si="105"/>
        <v/>
      </c>
      <c r="BA263" s="4" t="str">
        <f t="shared" si="106"/>
        <v/>
      </c>
    </row>
    <row r="264" spans="1:53">
      <c r="A264">
        <v>200</v>
      </c>
      <c r="C264" s="4" t="str">
        <f t="shared" ca="1" si="101"/>
        <v/>
      </c>
      <c r="D264" s="4" t="str">
        <f t="shared" ca="1" si="101"/>
        <v/>
      </c>
      <c r="E264" s="4" t="str">
        <f t="shared" ca="1" si="101"/>
        <v/>
      </c>
      <c r="F264" s="4" t="str">
        <f t="shared" ca="1" si="101"/>
        <v/>
      </c>
      <c r="G264" s="4" t="str">
        <f t="shared" ca="1" si="101"/>
        <v/>
      </c>
      <c r="H264" s="4" t="str">
        <f t="shared" ca="1" si="101"/>
        <v/>
      </c>
      <c r="I264" s="4" t="str">
        <f t="shared" ca="1" si="101"/>
        <v/>
      </c>
      <c r="J264" s="4" t="str">
        <f t="shared" ca="1" si="101"/>
        <v/>
      </c>
      <c r="K264" s="4" t="str">
        <f t="shared" ca="1" si="101"/>
        <v/>
      </c>
      <c r="L264" s="4" t="str">
        <f t="shared" ca="1" si="101"/>
        <v/>
      </c>
      <c r="M264" s="4" t="str">
        <f t="shared" ca="1" si="102"/>
        <v/>
      </c>
      <c r="N264" s="4" t="str">
        <f t="shared" ca="1" si="102"/>
        <v/>
      </c>
      <c r="O264" s="4" t="str">
        <f t="shared" ca="1" si="102"/>
        <v/>
      </c>
      <c r="P264" s="4" t="str">
        <f t="shared" ca="1" si="102"/>
        <v/>
      </c>
      <c r="Q264" s="4" t="str">
        <f t="shared" ca="1" si="102"/>
        <v/>
      </c>
      <c r="R264" s="4" t="str">
        <f t="shared" ca="1" si="102"/>
        <v/>
      </c>
      <c r="S264" s="4" t="str">
        <f t="shared" ca="1" si="102"/>
        <v/>
      </c>
      <c r="T264" s="4" t="str">
        <f t="shared" ca="1" si="102"/>
        <v/>
      </c>
      <c r="U264" s="4" t="str">
        <f t="shared" ca="1" si="102"/>
        <v/>
      </c>
      <c r="V264" s="4" t="str">
        <f t="shared" ca="1" si="102"/>
        <v/>
      </c>
      <c r="W264" s="4" t="str">
        <f t="shared" ca="1" si="103"/>
        <v/>
      </c>
      <c r="X264" s="4" t="str">
        <f t="shared" ca="1" si="103"/>
        <v/>
      </c>
      <c r="Y264" s="4" t="str">
        <f t="shared" ca="1" si="103"/>
        <v/>
      </c>
      <c r="Z264" s="4" t="str">
        <f t="shared" ca="1" si="103"/>
        <v/>
      </c>
      <c r="AA264" s="4" t="str">
        <f t="shared" ca="1" si="103"/>
        <v/>
      </c>
      <c r="AB264" s="4" t="str">
        <f t="shared" ca="1" si="103"/>
        <v/>
      </c>
      <c r="AC264" s="4" t="str">
        <f t="shared" ca="1" si="103"/>
        <v/>
      </c>
      <c r="AD264" s="4" t="str">
        <f t="shared" ca="1" si="103"/>
        <v/>
      </c>
      <c r="AE264" s="4" t="str">
        <f t="shared" ca="1" si="103"/>
        <v/>
      </c>
      <c r="AF264" s="4" t="str">
        <f t="shared" ca="1" si="103"/>
        <v/>
      </c>
      <c r="AG264" s="4" t="str">
        <f t="shared" ca="1" si="104"/>
        <v/>
      </c>
      <c r="AH264" s="4" t="str">
        <f t="shared" ca="1" si="104"/>
        <v/>
      </c>
      <c r="AI264" s="4" t="str">
        <f t="shared" ca="1" si="104"/>
        <v/>
      </c>
      <c r="AJ264" s="4" t="str">
        <f t="shared" ca="1" si="104"/>
        <v/>
      </c>
      <c r="AK264" s="4" t="str">
        <f t="shared" ca="1" si="104"/>
        <v/>
      </c>
      <c r="AL264" s="4" t="str">
        <f t="shared" ca="1" si="104"/>
        <v/>
      </c>
      <c r="AM264" s="4" t="str">
        <f t="shared" ca="1" si="104"/>
        <v/>
      </c>
      <c r="AN264" s="4" t="str">
        <f t="shared" ca="1" si="104"/>
        <v/>
      </c>
      <c r="AO264" s="4" t="str">
        <f t="shared" ca="1" si="104"/>
        <v/>
      </c>
      <c r="AP264" s="4" t="str">
        <f t="shared" ca="1" si="104"/>
        <v/>
      </c>
      <c r="AQ264" s="4" t="str">
        <f t="shared" ca="1" si="105"/>
        <v/>
      </c>
      <c r="AR264" s="4" t="str">
        <f t="shared" ca="1" si="105"/>
        <v/>
      </c>
      <c r="AS264" s="4" t="str">
        <f t="shared" ca="1" si="105"/>
        <v/>
      </c>
      <c r="AT264" s="4" t="str">
        <f t="shared" ca="1" si="105"/>
        <v/>
      </c>
      <c r="AU264" s="4" t="str">
        <f t="shared" ca="1" si="105"/>
        <v/>
      </c>
      <c r="AV264" s="4" t="str">
        <f t="shared" ca="1" si="105"/>
        <v/>
      </c>
      <c r="AW264" s="4" t="str">
        <f t="shared" ca="1" si="105"/>
        <v/>
      </c>
      <c r="AX264" s="4" t="str">
        <f t="shared" ca="1" si="105"/>
        <v/>
      </c>
      <c r="AY264" s="4" t="str">
        <f t="shared" ca="1" si="105"/>
        <v/>
      </c>
      <c r="AZ264" s="4" t="str">
        <f t="shared" ca="1" si="105"/>
        <v/>
      </c>
      <c r="BA264" s="4" t="str">
        <f t="shared" si="106"/>
        <v/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80"/>
  <sheetViews>
    <sheetView topLeftCell="A2" zoomScale="132" workbookViewId="0">
      <selection activeCell="E7" sqref="E7"/>
    </sheetView>
  </sheetViews>
  <sheetFormatPr baseColWidth="10" defaultColWidth="8.83203125" defaultRowHeight="15"/>
  <cols>
    <col min="1" max="1" width="9" customWidth="1"/>
    <col min="2" max="2" width="28" customWidth="1"/>
    <col min="3" max="3" width="38" customWidth="1"/>
    <col min="4" max="4" width="27" customWidth="1"/>
    <col min="5" max="5" width="25" customWidth="1"/>
    <col min="6" max="10" width="18" customWidth="1"/>
  </cols>
  <sheetData>
    <row r="1" spans="1:10" ht="37.25" customHeight="1">
      <c r="A1" s="22" t="s">
        <v>288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50.75" customHeight="1">
      <c r="A2" s="23" t="s">
        <v>289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6">
      <c r="A4" s="6" t="s">
        <v>61</v>
      </c>
      <c r="B4" s="6" t="s">
        <v>290</v>
      </c>
      <c r="C4" s="6" t="s">
        <v>291</v>
      </c>
      <c r="D4" s="6" t="s">
        <v>292</v>
      </c>
      <c r="E4" s="6" t="s">
        <v>293</v>
      </c>
      <c r="F4" s="5"/>
      <c r="G4" s="5"/>
      <c r="H4" s="5"/>
      <c r="I4" s="5"/>
      <c r="J4" s="5"/>
    </row>
    <row r="5" spans="1:10" ht="32">
      <c r="A5" s="7">
        <v>1</v>
      </c>
      <c r="B5" s="8" t="s">
        <v>294</v>
      </c>
      <c r="C5" s="8" t="s">
        <v>295</v>
      </c>
      <c r="D5" s="8" t="s">
        <v>296</v>
      </c>
      <c r="E5" s="8" t="s">
        <v>297</v>
      </c>
      <c r="F5" s="5"/>
      <c r="G5" s="5"/>
      <c r="H5" s="5"/>
      <c r="I5" s="5"/>
      <c r="J5" s="5"/>
    </row>
    <row r="6" spans="1:10" ht="32">
      <c r="A6" s="7">
        <v>2</v>
      </c>
      <c r="B6" s="8" t="s">
        <v>298</v>
      </c>
      <c r="C6" s="8" t="s">
        <v>299</v>
      </c>
      <c r="D6" s="8" t="s">
        <v>296</v>
      </c>
      <c r="E6" s="8" t="s">
        <v>300</v>
      </c>
      <c r="F6" s="5"/>
      <c r="G6" s="5"/>
      <c r="H6" s="5"/>
      <c r="I6" s="5"/>
      <c r="J6" s="5"/>
    </row>
    <row r="7" spans="1:10" ht="32">
      <c r="A7" s="7">
        <v>3</v>
      </c>
      <c r="B7" s="8" t="s">
        <v>301</v>
      </c>
      <c r="C7" s="8" t="s">
        <v>302</v>
      </c>
      <c r="D7" s="8" t="s">
        <v>296</v>
      </c>
      <c r="E7" s="8" t="s">
        <v>303</v>
      </c>
      <c r="F7" s="5"/>
      <c r="G7" s="5"/>
      <c r="H7" s="5"/>
      <c r="I7" s="5"/>
      <c r="J7" s="5"/>
    </row>
    <row r="8" spans="1:10" ht="32">
      <c r="A8" s="7">
        <v>4</v>
      </c>
      <c r="B8" s="8" t="s">
        <v>304</v>
      </c>
      <c r="C8" s="8" t="s">
        <v>305</v>
      </c>
      <c r="D8" s="8" t="s">
        <v>34</v>
      </c>
      <c r="E8" s="8" t="s">
        <v>306</v>
      </c>
      <c r="F8" s="5"/>
      <c r="G8" s="5"/>
      <c r="H8" s="5"/>
      <c r="I8" s="5"/>
      <c r="J8" s="5"/>
    </row>
    <row r="9" spans="1:10" ht="48">
      <c r="A9" s="7">
        <v>7</v>
      </c>
      <c r="B9" s="8" t="s">
        <v>307</v>
      </c>
      <c r="C9" s="8" t="s">
        <v>308</v>
      </c>
      <c r="D9" s="8" t="s">
        <v>34</v>
      </c>
      <c r="E9" s="8" t="s">
        <v>309</v>
      </c>
      <c r="F9" s="5"/>
      <c r="G9" s="5"/>
      <c r="H9" s="5"/>
      <c r="I9" s="5"/>
      <c r="J9" s="5"/>
    </row>
    <row r="10" spans="1:10" ht="48">
      <c r="A10" s="7">
        <v>8</v>
      </c>
      <c r="B10" s="8" t="s">
        <v>307</v>
      </c>
      <c r="C10" s="8" t="s">
        <v>310</v>
      </c>
      <c r="D10" s="8" t="s">
        <v>34</v>
      </c>
      <c r="E10" s="8" t="s">
        <v>309</v>
      </c>
      <c r="F10" s="5"/>
      <c r="G10" s="5"/>
      <c r="H10" s="5"/>
      <c r="I10" s="5"/>
      <c r="J10" s="5"/>
    </row>
    <row r="11" spans="1:10" ht="32">
      <c r="A11" s="7">
        <v>10</v>
      </c>
      <c r="B11" s="8" t="s">
        <v>311</v>
      </c>
      <c r="C11" s="8" t="s">
        <v>312</v>
      </c>
      <c r="D11" s="8" t="s">
        <v>34</v>
      </c>
      <c r="E11" s="8" t="s">
        <v>313</v>
      </c>
      <c r="F11" s="5"/>
      <c r="G11" s="5"/>
      <c r="H11" s="5"/>
      <c r="I11" s="5"/>
      <c r="J11" s="5"/>
    </row>
    <row r="12" spans="1:10" ht="32">
      <c r="A12" s="7">
        <v>14</v>
      </c>
      <c r="B12" s="8" t="s">
        <v>314</v>
      </c>
      <c r="C12" s="8" t="s">
        <v>315</v>
      </c>
      <c r="D12" s="8" t="s">
        <v>316</v>
      </c>
      <c r="E12" s="8" t="s">
        <v>317</v>
      </c>
      <c r="F12" s="5"/>
      <c r="G12" s="5"/>
      <c r="H12" s="5"/>
      <c r="I12" s="5"/>
      <c r="J12" s="5"/>
    </row>
    <row r="13" spans="1:10" ht="16">
      <c r="A13" s="7">
        <v>15</v>
      </c>
      <c r="B13" s="8" t="s">
        <v>318</v>
      </c>
      <c r="C13" s="8" t="s">
        <v>319</v>
      </c>
      <c r="D13" s="8" t="s">
        <v>29</v>
      </c>
      <c r="E13" s="8" t="s">
        <v>320</v>
      </c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21" t="s">
        <v>321</v>
      </c>
      <c r="B15" s="21"/>
      <c r="C15" s="21"/>
      <c r="D15" s="21"/>
      <c r="E15" s="21"/>
      <c r="F15" s="21"/>
      <c r="G15" s="21"/>
      <c r="H15" s="21"/>
      <c r="I15" s="21"/>
      <c r="J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  <c r="J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  <c r="J17" s="21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mergeCells count="3">
    <mergeCell ref="A1:J1"/>
    <mergeCell ref="A2:J2"/>
    <mergeCell ref="A15:J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80"/>
  <sheetViews>
    <sheetView tabSelected="1" topLeftCell="A2" zoomScale="125" workbookViewId="0">
      <selection activeCell="D17" sqref="D17:J19"/>
    </sheetView>
  </sheetViews>
  <sheetFormatPr baseColWidth="10" defaultColWidth="8.83203125" defaultRowHeight="15"/>
  <cols>
    <col min="1" max="1" width="10" customWidth="1"/>
    <col min="2" max="2" width="14" customWidth="1"/>
    <col min="3" max="3" width="4" customWidth="1"/>
    <col min="4" max="4" width="30" customWidth="1"/>
    <col min="5" max="5" width="20" customWidth="1"/>
    <col min="6" max="6" width="4" customWidth="1"/>
    <col min="7" max="7" width="28" customWidth="1"/>
    <col min="8" max="8" width="20" customWidth="1"/>
    <col min="9" max="10" width="18" customWidth="1"/>
  </cols>
  <sheetData>
    <row r="1" spans="1:10" ht="37.25" customHeight="1">
      <c r="A1" s="22" t="s">
        <v>322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50.75" customHeight="1">
      <c r="A2" s="23" t="s">
        <v>323</v>
      </c>
      <c r="B2" s="23"/>
      <c r="C2" s="23"/>
      <c r="D2" s="23"/>
      <c r="E2" s="23"/>
      <c r="F2" s="23"/>
      <c r="G2" s="23"/>
      <c r="H2" s="23"/>
      <c r="I2" s="23"/>
      <c r="J2" s="23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6">
      <c r="A4" s="6" t="s">
        <v>324</v>
      </c>
      <c r="B4" s="6" t="s">
        <v>325</v>
      </c>
      <c r="C4" s="5"/>
      <c r="D4" s="6" t="s">
        <v>326</v>
      </c>
      <c r="E4" s="6" t="s">
        <v>327</v>
      </c>
      <c r="F4" s="5"/>
      <c r="G4" s="5"/>
      <c r="H4" s="5"/>
      <c r="I4" s="5"/>
      <c r="J4" s="5"/>
    </row>
    <row r="5" spans="1:10" ht="16">
      <c r="A5" s="5">
        <v>1</v>
      </c>
      <c r="B5" s="19">
        <v>2.109</v>
      </c>
      <c r="C5" s="5"/>
      <c r="D5" s="7" t="s">
        <v>230</v>
      </c>
      <c r="E5" s="15">
        <f>COUNT(B5:B54)</f>
        <v>50</v>
      </c>
      <c r="F5" s="5"/>
      <c r="G5" s="5"/>
      <c r="H5" s="5"/>
      <c r="I5" s="5"/>
      <c r="J5" s="5"/>
    </row>
    <row r="6" spans="1:10" ht="16">
      <c r="A6" s="5">
        <v>2</v>
      </c>
      <c r="B6" s="19">
        <v>2.0859999999999999</v>
      </c>
      <c r="C6" s="5"/>
      <c r="D6" s="7" t="s">
        <v>328</v>
      </c>
      <c r="E6" s="20">
        <f>AVERAGE(B5:B54)</f>
        <v>2.0007199999999994</v>
      </c>
      <c r="F6" s="5"/>
      <c r="G6" s="5"/>
      <c r="H6" s="5"/>
      <c r="I6" s="5"/>
      <c r="J6" s="5"/>
    </row>
    <row r="7" spans="1:10" ht="16">
      <c r="A7" s="5">
        <v>3</v>
      </c>
      <c r="B7" s="19">
        <v>2.0659999999999998</v>
      </c>
      <c r="C7" s="5"/>
      <c r="D7" s="7" t="s">
        <v>329</v>
      </c>
      <c r="E7" s="20" t="e">
        <f ca="1">_xludf.STDEV.S(B5:B54)</f>
        <v>#NAME?</v>
      </c>
      <c r="F7" s="5"/>
      <c r="G7" s="5"/>
      <c r="H7" s="5"/>
      <c r="I7" s="5"/>
      <c r="J7" s="5"/>
    </row>
    <row r="8" spans="1:10" ht="16">
      <c r="A8" s="5">
        <v>4</v>
      </c>
      <c r="B8" s="19">
        <v>2.0750000000000002</v>
      </c>
      <c r="C8" s="5"/>
      <c r="D8" s="7" t="s">
        <v>330</v>
      </c>
      <c r="E8" s="20">
        <f>2</f>
        <v>2</v>
      </c>
      <c r="F8" s="5"/>
      <c r="G8" s="5"/>
      <c r="H8" s="5"/>
      <c r="I8" s="5"/>
      <c r="J8" s="5"/>
    </row>
    <row r="9" spans="1:10" ht="16">
      <c r="A9" s="5">
        <v>5</v>
      </c>
      <c r="B9" s="19">
        <v>2.0649999999999999</v>
      </c>
      <c r="C9" s="5"/>
      <c r="D9" s="7" t="s">
        <v>164</v>
      </c>
      <c r="E9" s="11">
        <f>0.05</f>
        <v>0.05</v>
      </c>
      <c r="F9" s="5"/>
      <c r="G9" s="5"/>
      <c r="H9" s="5"/>
      <c r="I9" s="5"/>
      <c r="J9" s="5"/>
    </row>
    <row r="10" spans="1:10" ht="16">
      <c r="A10" s="5">
        <v>6</v>
      </c>
      <c r="B10" s="19">
        <v>2.0569999999999999</v>
      </c>
      <c r="C10" s="5"/>
      <c r="D10" s="7" t="s">
        <v>171</v>
      </c>
      <c r="E10" s="15">
        <f>E5-1</f>
        <v>49</v>
      </c>
      <c r="F10" s="5"/>
      <c r="G10" s="5"/>
      <c r="H10" s="5"/>
      <c r="I10" s="5"/>
      <c r="J10" s="5"/>
    </row>
    <row r="11" spans="1:10" ht="16">
      <c r="A11" s="5">
        <v>7</v>
      </c>
      <c r="B11" s="19">
        <v>2.052</v>
      </c>
      <c r="C11" s="5"/>
      <c r="D11" s="7" t="s">
        <v>126</v>
      </c>
      <c r="E11" s="20" t="e">
        <f ca="1">E7/SQRT(E5)</f>
        <v>#NAME?</v>
      </c>
      <c r="F11" s="5"/>
      <c r="G11" s="5"/>
      <c r="H11" s="5"/>
      <c r="I11" s="5"/>
      <c r="J11" s="5"/>
    </row>
    <row r="12" spans="1:10" ht="16">
      <c r="A12" s="5">
        <v>8</v>
      </c>
      <c r="B12" s="19">
        <v>2.044</v>
      </c>
      <c r="C12" s="5"/>
      <c r="D12" s="7" t="s">
        <v>210</v>
      </c>
      <c r="E12" s="11" t="e">
        <f ca="1">(E6-E8)/E11</f>
        <v>#NAME?</v>
      </c>
      <c r="F12" s="5"/>
      <c r="G12" s="5"/>
      <c r="H12" s="5"/>
      <c r="I12" s="5"/>
      <c r="J12" s="5"/>
    </row>
    <row r="13" spans="1:10" ht="16">
      <c r="A13" s="5">
        <v>9</v>
      </c>
      <c r="B13" s="19">
        <v>2.036</v>
      </c>
      <c r="C13" s="5"/>
      <c r="D13" s="7" t="s">
        <v>331</v>
      </c>
      <c r="E13" s="11" t="str">
        <f ca="1">IFERROR(_xludf.T.DIST.2T(ABS(E12),E10),"")</f>
        <v/>
      </c>
      <c r="F13" s="5"/>
      <c r="G13" s="5"/>
      <c r="H13" s="5"/>
      <c r="I13" s="5"/>
      <c r="J13" s="5"/>
    </row>
    <row r="14" spans="1:10" ht="16">
      <c r="A14" s="5">
        <v>10</v>
      </c>
      <c r="B14" s="19">
        <v>2.0379999999999998</v>
      </c>
      <c r="C14" s="5"/>
      <c r="D14" s="7" t="s">
        <v>173</v>
      </c>
      <c r="E14" s="11" t="e">
        <f ca="1">_xludf.T.INV(1-E9/2,E10)</f>
        <v>#NAME?</v>
      </c>
      <c r="F14" s="5"/>
      <c r="G14" s="5"/>
      <c r="H14" s="5"/>
      <c r="I14" s="5"/>
      <c r="J14" s="5"/>
    </row>
    <row r="15" spans="1:10" ht="16">
      <c r="A15" s="5">
        <v>11</v>
      </c>
      <c r="B15" s="19">
        <v>2.0310000000000001</v>
      </c>
      <c r="C15" s="5"/>
      <c r="D15" s="7" t="s">
        <v>201</v>
      </c>
      <c r="E15" s="14" t="str">
        <f ca="1">IF(E13="","",IF(E13&lt;=E9,"Reject H0","Do not reject H0"))</f>
        <v/>
      </c>
      <c r="F15" s="5"/>
      <c r="G15" s="5"/>
      <c r="H15" s="5"/>
      <c r="I15" s="5"/>
      <c r="J15" s="5"/>
    </row>
    <row r="16" spans="1:10">
      <c r="A16" s="5">
        <v>12</v>
      </c>
      <c r="B16" s="19">
        <v>2.0289999999999999</v>
      </c>
      <c r="C16" s="5"/>
      <c r="D16" s="5"/>
      <c r="E16" s="5"/>
      <c r="F16" s="5"/>
      <c r="G16" s="5"/>
      <c r="H16" s="5"/>
      <c r="I16" s="5"/>
      <c r="J16" s="5"/>
    </row>
    <row r="17" spans="1:10">
      <c r="A17" s="5">
        <v>13</v>
      </c>
      <c r="B17" s="19">
        <v>2.0249999999999999</v>
      </c>
      <c r="C17" s="5"/>
      <c r="D17" s="23" t="s">
        <v>332</v>
      </c>
      <c r="E17" s="23"/>
      <c r="F17" s="23"/>
      <c r="G17" s="23"/>
      <c r="H17" s="23"/>
      <c r="I17" s="23"/>
      <c r="J17" s="23"/>
    </row>
    <row r="18" spans="1:10">
      <c r="A18" s="5">
        <v>14</v>
      </c>
      <c r="B18" s="19">
        <v>2.0289999999999999</v>
      </c>
      <c r="C18" s="5"/>
      <c r="D18" s="23"/>
      <c r="E18" s="23"/>
      <c r="F18" s="23"/>
      <c r="G18" s="23"/>
      <c r="H18" s="23"/>
      <c r="I18" s="23"/>
      <c r="J18" s="23"/>
    </row>
    <row r="19" spans="1:10">
      <c r="A19" s="5">
        <v>15</v>
      </c>
      <c r="B19" s="19">
        <v>2.0230000000000001</v>
      </c>
      <c r="C19" s="5"/>
      <c r="D19" s="23"/>
      <c r="E19" s="23"/>
      <c r="F19" s="23"/>
      <c r="G19" s="23"/>
      <c r="H19" s="23"/>
      <c r="I19" s="23"/>
      <c r="J19" s="23"/>
    </row>
    <row r="20" spans="1:10">
      <c r="A20" s="5">
        <v>16</v>
      </c>
      <c r="B20" s="19">
        <v>2.02</v>
      </c>
      <c r="C20" s="5"/>
      <c r="D20" s="5"/>
      <c r="E20" s="5"/>
      <c r="F20" s="5"/>
      <c r="G20" s="5"/>
      <c r="H20" s="5"/>
      <c r="I20" s="5"/>
      <c r="J20" s="5"/>
    </row>
    <row r="21" spans="1:10">
      <c r="A21" s="5">
        <v>17</v>
      </c>
      <c r="B21" s="19">
        <v>2.0150000000000001</v>
      </c>
      <c r="C21" s="5"/>
      <c r="D21" s="5"/>
      <c r="E21" s="5"/>
      <c r="F21" s="5"/>
      <c r="G21" s="5"/>
      <c r="H21" s="5"/>
      <c r="I21" s="5"/>
      <c r="J21" s="5"/>
    </row>
    <row r="22" spans="1:10">
      <c r="A22" s="5">
        <v>18</v>
      </c>
      <c r="B22" s="19">
        <v>2.0139999999999998</v>
      </c>
      <c r="C22" s="5"/>
      <c r="D22" s="5"/>
      <c r="E22" s="5"/>
      <c r="F22" s="5"/>
      <c r="G22" s="5"/>
      <c r="H22" s="5"/>
      <c r="I22" s="5"/>
      <c r="J22" s="5"/>
    </row>
    <row r="23" spans="1:10">
      <c r="A23" s="5">
        <v>19</v>
      </c>
      <c r="B23" s="19">
        <v>2.0129999999999999</v>
      </c>
      <c r="C23" s="5"/>
      <c r="D23" s="5"/>
      <c r="E23" s="5"/>
      <c r="F23" s="5"/>
      <c r="G23" s="5"/>
      <c r="H23" s="5"/>
      <c r="I23" s="5"/>
      <c r="J23" s="5"/>
    </row>
    <row r="24" spans="1:10">
      <c r="A24" s="5">
        <v>20</v>
      </c>
      <c r="B24" s="19">
        <v>2.0139999999999998</v>
      </c>
      <c r="C24" s="5"/>
      <c r="D24" s="5"/>
      <c r="E24" s="5"/>
      <c r="F24" s="5"/>
      <c r="G24" s="5"/>
      <c r="H24" s="5"/>
      <c r="I24" s="5"/>
      <c r="J24" s="5"/>
    </row>
    <row r="25" spans="1:10">
      <c r="A25" s="5">
        <v>21</v>
      </c>
      <c r="B25" s="19">
        <v>2.012</v>
      </c>
      <c r="C25" s="5"/>
      <c r="D25" s="5"/>
      <c r="E25" s="5"/>
      <c r="F25" s="5"/>
      <c r="G25" s="5"/>
      <c r="H25" s="5"/>
      <c r="I25" s="5"/>
      <c r="J25" s="5"/>
    </row>
    <row r="26" spans="1:10">
      <c r="A26" s="5">
        <v>22</v>
      </c>
      <c r="B26" s="19">
        <v>2.012</v>
      </c>
      <c r="C26" s="5"/>
      <c r="D26" s="5"/>
      <c r="E26" s="5"/>
      <c r="F26" s="5"/>
      <c r="G26" s="5"/>
      <c r="H26" s="5"/>
      <c r="I26" s="5"/>
      <c r="J26" s="5"/>
    </row>
    <row r="27" spans="1:10">
      <c r="A27" s="5">
        <v>23</v>
      </c>
      <c r="B27" s="19">
        <v>2.012</v>
      </c>
      <c r="C27" s="5"/>
      <c r="D27" s="5"/>
      <c r="E27" s="5"/>
      <c r="F27" s="5"/>
      <c r="G27" s="5"/>
      <c r="H27" s="5"/>
      <c r="I27" s="5"/>
      <c r="J27" s="5"/>
    </row>
    <row r="28" spans="1:10">
      <c r="A28" s="5">
        <v>24</v>
      </c>
      <c r="B28" s="19">
        <v>2.0099999999999998</v>
      </c>
      <c r="C28" s="5"/>
      <c r="D28" s="5"/>
      <c r="E28" s="5"/>
      <c r="F28" s="5"/>
      <c r="G28" s="5"/>
      <c r="H28" s="5"/>
      <c r="I28" s="5"/>
      <c r="J28" s="5"/>
    </row>
    <row r="29" spans="1:10">
      <c r="A29" s="5">
        <v>25</v>
      </c>
      <c r="B29" s="19">
        <v>2.0049999999999999</v>
      </c>
      <c r="C29" s="5"/>
      <c r="D29" s="5"/>
      <c r="E29" s="5"/>
      <c r="F29" s="5"/>
      <c r="G29" s="5"/>
      <c r="H29" s="5"/>
      <c r="I29" s="5"/>
      <c r="J29" s="5"/>
    </row>
    <row r="30" spans="1:10">
      <c r="A30" s="5">
        <v>26</v>
      </c>
      <c r="B30" s="19">
        <v>2.0030000000000001</v>
      </c>
      <c r="C30" s="5"/>
      <c r="D30" s="5"/>
      <c r="E30" s="5"/>
      <c r="F30" s="5"/>
      <c r="G30" s="5"/>
      <c r="H30" s="5"/>
      <c r="I30" s="5"/>
      <c r="J30" s="5"/>
    </row>
    <row r="31" spans="1:10">
      <c r="A31" s="5">
        <v>27</v>
      </c>
      <c r="B31" s="19">
        <v>1.9990000000000001</v>
      </c>
      <c r="C31" s="5"/>
      <c r="D31" s="5"/>
      <c r="E31" s="5"/>
      <c r="F31" s="5"/>
      <c r="G31" s="5"/>
      <c r="H31" s="5"/>
      <c r="I31" s="5"/>
      <c r="J31" s="5"/>
    </row>
    <row r="32" spans="1:10">
      <c r="A32" s="5">
        <v>28</v>
      </c>
      <c r="B32" s="19">
        <v>1.996</v>
      </c>
      <c r="C32" s="5"/>
      <c r="D32" s="5"/>
      <c r="E32" s="5"/>
      <c r="F32" s="5"/>
      <c r="G32" s="5"/>
      <c r="H32" s="5"/>
      <c r="I32" s="5"/>
      <c r="J32" s="5"/>
    </row>
    <row r="33" spans="1:10">
      <c r="A33" s="5">
        <v>29</v>
      </c>
      <c r="B33" s="19">
        <v>1.9970000000000001</v>
      </c>
      <c r="C33" s="5"/>
      <c r="D33" s="5"/>
      <c r="E33" s="5"/>
      <c r="F33" s="5"/>
      <c r="G33" s="5"/>
      <c r="H33" s="5"/>
      <c r="I33" s="5"/>
      <c r="J33" s="5"/>
    </row>
    <row r="34" spans="1:10">
      <c r="A34" s="5">
        <v>30</v>
      </c>
      <c r="B34" s="19">
        <v>1.992</v>
      </c>
      <c r="C34" s="5"/>
      <c r="D34" s="5"/>
      <c r="E34" s="5"/>
      <c r="F34" s="5"/>
      <c r="G34" s="5"/>
      <c r="H34" s="5"/>
      <c r="I34" s="5"/>
      <c r="J34" s="5"/>
    </row>
    <row r="35" spans="1:10">
      <c r="A35" s="5">
        <v>31</v>
      </c>
      <c r="B35" s="19">
        <v>1.994</v>
      </c>
      <c r="C35" s="5"/>
      <c r="D35" s="5"/>
      <c r="E35" s="5"/>
      <c r="F35" s="5"/>
      <c r="G35" s="5"/>
      <c r="H35" s="5"/>
      <c r="I35" s="5"/>
      <c r="J35" s="5"/>
    </row>
    <row r="36" spans="1:10">
      <c r="A36" s="5">
        <v>32</v>
      </c>
      <c r="B36" s="19">
        <v>1.986</v>
      </c>
      <c r="C36" s="5"/>
      <c r="D36" s="5"/>
      <c r="E36" s="5"/>
      <c r="F36" s="5"/>
      <c r="G36" s="5"/>
      <c r="H36" s="5"/>
      <c r="I36" s="5"/>
      <c r="J36" s="5"/>
    </row>
    <row r="37" spans="1:10">
      <c r="A37" s="5">
        <v>33</v>
      </c>
      <c r="B37" s="19">
        <v>1.984</v>
      </c>
      <c r="C37" s="5"/>
      <c r="D37" s="5"/>
      <c r="E37" s="5"/>
      <c r="F37" s="5"/>
      <c r="G37" s="5"/>
      <c r="H37" s="5"/>
      <c r="I37" s="5"/>
      <c r="J37" s="5"/>
    </row>
    <row r="38" spans="1:10">
      <c r="A38" s="5">
        <v>34</v>
      </c>
      <c r="B38" s="19">
        <v>1.9810000000000001</v>
      </c>
      <c r="C38" s="5"/>
      <c r="D38" s="5"/>
      <c r="E38" s="5"/>
      <c r="F38" s="5"/>
      <c r="G38" s="5"/>
      <c r="H38" s="5"/>
      <c r="I38" s="5"/>
      <c r="J38" s="5"/>
    </row>
    <row r="39" spans="1:10">
      <c r="A39" s="5">
        <v>35</v>
      </c>
      <c r="B39" s="19">
        <v>1.9730000000000001</v>
      </c>
      <c r="C39" s="5"/>
      <c r="D39" s="5"/>
      <c r="E39" s="5"/>
      <c r="F39" s="5"/>
      <c r="G39" s="5"/>
      <c r="H39" s="5"/>
      <c r="I39" s="5"/>
      <c r="J39" s="5"/>
    </row>
    <row r="40" spans="1:10">
      <c r="A40" s="5">
        <v>36</v>
      </c>
      <c r="B40" s="19">
        <v>1.9750000000000001</v>
      </c>
      <c r="C40" s="5"/>
      <c r="D40" s="5"/>
      <c r="E40" s="5"/>
      <c r="F40" s="5"/>
      <c r="G40" s="5"/>
      <c r="H40" s="5"/>
      <c r="I40" s="5"/>
      <c r="J40" s="5"/>
    </row>
    <row r="41" spans="1:10">
      <c r="A41" s="5">
        <v>37</v>
      </c>
      <c r="B41" s="19">
        <v>1.9710000000000001</v>
      </c>
      <c r="C41" s="5"/>
      <c r="D41" s="5"/>
      <c r="E41" s="5"/>
      <c r="F41" s="5"/>
      <c r="G41" s="5"/>
      <c r="H41" s="5"/>
      <c r="I41" s="5"/>
      <c r="J41" s="5"/>
    </row>
    <row r="42" spans="1:10">
      <c r="A42" s="5">
        <v>38</v>
      </c>
      <c r="B42" s="19">
        <v>1.9690000000000001</v>
      </c>
      <c r="C42" s="5"/>
      <c r="D42" s="5"/>
      <c r="E42" s="5"/>
      <c r="F42" s="5"/>
      <c r="G42" s="5"/>
      <c r="H42" s="5"/>
      <c r="I42" s="5"/>
      <c r="J42" s="5"/>
    </row>
    <row r="43" spans="1:10">
      <c r="A43" s="5">
        <v>39</v>
      </c>
      <c r="B43" s="19">
        <v>1.966</v>
      </c>
      <c r="C43" s="5"/>
      <c r="D43" s="5"/>
      <c r="E43" s="5"/>
      <c r="F43" s="5"/>
      <c r="G43" s="5"/>
      <c r="H43" s="5"/>
      <c r="I43" s="5"/>
      <c r="J43" s="5"/>
    </row>
    <row r="44" spans="1:10">
      <c r="A44" s="5">
        <v>40</v>
      </c>
      <c r="B44" s="19">
        <v>1.9670000000000001</v>
      </c>
      <c r="C44" s="5"/>
      <c r="D44" s="5"/>
      <c r="E44" s="5"/>
      <c r="F44" s="5"/>
      <c r="G44" s="5"/>
      <c r="H44" s="5"/>
      <c r="I44" s="5"/>
      <c r="J44" s="5"/>
    </row>
    <row r="45" spans="1:10">
      <c r="A45" s="5">
        <v>41</v>
      </c>
      <c r="B45" s="19">
        <v>1.9630000000000001</v>
      </c>
      <c r="C45" s="5"/>
      <c r="D45" s="5"/>
      <c r="E45" s="5"/>
      <c r="F45" s="5"/>
      <c r="G45" s="5"/>
      <c r="H45" s="5"/>
      <c r="I45" s="5"/>
      <c r="J45" s="5"/>
    </row>
    <row r="46" spans="1:10">
      <c r="A46" s="5">
        <v>42</v>
      </c>
      <c r="B46" s="19">
        <v>1.9570000000000001</v>
      </c>
      <c r="C46" s="5"/>
      <c r="D46" s="5"/>
      <c r="E46" s="5"/>
      <c r="F46" s="5"/>
      <c r="G46" s="5"/>
      <c r="H46" s="5"/>
      <c r="I46" s="5"/>
      <c r="J46" s="5"/>
    </row>
    <row r="47" spans="1:10">
      <c r="A47" s="5">
        <v>43</v>
      </c>
      <c r="B47" s="19">
        <v>1.9510000000000001</v>
      </c>
      <c r="C47" s="5"/>
      <c r="D47" s="5"/>
      <c r="E47" s="5"/>
      <c r="F47" s="5"/>
      <c r="G47" s="5"/>
      <c r="H47" s="5"/>
      <c r="I47" s="5"/>
      <c r="J47" s="5"/>
    </row>
    <row r="48" spans="1:10">
      <c r="A48" s="5">
        <v>44</v>
      </c>
      <c r="B48" s="19">
        <v>1.9510000000000001</v>
      </c>
      <c r="C48" s="5"/>
      <c r="D48" s="5"/>
      <c r="E48" s="5"/>
      <c r="F48" s="5"/>
      <c r="G48" s="5"/>
      <c r="H48" s="5"/>
      <c r="I48" s="5"/>
      <c r="J48" s="5"/>
    </row>
    <row r="49" spans="1:10">
      <c r="A49" s="5">
        <v>45</v>
      </c>
      <c r="B49" s="19">
        <v>1.9470000000000001</v>
      </c>
      <c r="C49" s="5"/>
      <c r="D49" s="5"/>
      <c r="E49" s="5"/>
      <c r="F49" s="5"/>
      <c r="G49" s="5"/>
      <c r="H49" s="5"/>
      <c r="I49" s="5"/>
      <c r="J49" s="5"/>
    </row>
    <row r="50" spans="1:10">
      <c r="A50" s="5">
        <v>46</v>
      </c>
      <c r="B50" s="19">
        <v>1.9410000000000001</v>
      </c>
      <c r="C50" s="5"/>
      <c r="D50" s="5"/>
      <c r="E50" s="5"/>
      <c r="F50" s="5"/>
      <c r="G50" s="5"/>
      <c r="H50" s="5"/>
      <c r="I50" s="5"/>
      <c r="J50" s="5"/>
    </row>
    <row r="51" spans="1:10">
      <c r="A51" s="5">
        <v>47</v>
      </c>
      <c r="B51" s="19">
        <v>1.9410000000000001</v>
      </c>
      <c r="C51" s="5"/>
      <c r="D51" s="5"/>
      <c r="E51" s="5"/>
      <c r="F51" s="5"/>
      <c r="G51" s="5"/>
      <c r="H51" s="5"/>
      <c r="I51" s="5"/>
      <c r="J51" s="5"/>
    </row>
    <row r="52" spans="1:10">
      <c r="A52" s="5">
        <v>48</v>
      </c>
      <c r="B52" s="19">
        <v>1.9379999999999999</v>
      </c>
      <c r="C52" s="5"/>
      <c r="D52" s="5"/>
      <c r="E52" s="5"/>
      <c r="F52" s="5"/>
      <c r="G52" s="5"/>
      <c r="H52" s="5"/>
      <c r="I52" s="5"/>
      <c r="J52" s="5"/>
    </row>
    <row r="53" spans="1:10">
      <c r="A53" s="5">
        <v>49</v>
      </c>
      <c r="B53" s="19">
        <v>1.9079999999999999</v>
      </c>
      <c r="C53" s="5"/>
      <c r="D53" s="5"/>
      <c r="E53" s="5"/>
      <c r="F53" s="5"/>
      <c r="G53" s="5"/>
      <c r="H53" s="5"/>
      <c r="I53" s="5"/>
      <c r="J53" s="5"/>
    </row>
    <row r="54" spans="1:10">
      <c r="A54" s="5">
        <v>50</v>
      </c>
      <c r="B54" s="19">
        <v>1.8939999999999999</v>
      </c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mergeCells count="3">
    <mergeCell ref="A1:J1"/>
    <mergeCell ref="A2:J2"/>
    <mergeCell ref="D17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START_HERE</vt:lpstr>
      <vt:lpstr>EXAM_TRACKER</vt:lpstr>
      <vt:lpstr>CH6_DISTRIBUTIONS</vt:lpstr>
      <vt:lpstr>CH7_SAMPLING</vt:lpstr>
      <vt:lpstr>CH8_CI_SAMPLE_SIZE</vt:lpstr>
      <vt:lpstr>CH9_HYPOTHESIS</vt:lpstr>
      <vt:lpstr>BOOTSTRAP_AUTO</vt:lpstr>
      <vt:lpstr>T9_PRIORITY</vt:lpstr>
      <vt:lpstr>T9_Q14_RAW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Apsey, N, Ms [30514967@sun.ac.za]</cp:lastModifiedBy>
  <dcterms:modified xsi:type="dcterms:W3CDTF">2026-08-30T09:22:36Z</dcterms:modified>
</cp:coreProperties>
</file>