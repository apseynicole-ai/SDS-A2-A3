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s-peterbakker/Dropbox/StellenboschTeaching/Stats 188/2024/Assessments/"/>
    </mc:Choice>
  </mc:AlternateContent>
  <xr:revisionPtr revIDLastSave="0" documentId="13_ncr:1_{35B79E05-D023-2849-A276-6FC05BC56921}" xr6:coauthVersionLast="47" xr6:coauthVersionMax="47" xr10:uidLastSave="{00000000-0000-0000-0000-000000000000}"/>
  <bookViews>
    <workbookView xWindow="5620" yWindow="2320" windowWidth="27860" windowHeight="12820" xr2:uid="{00000000-000D-0000-FFFF-FFFF00000000}"/>
  </bookViews>
  <sheets>
    <sheet name="indivTest" sheetId="3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32" l="1"/>
  <c r="B11" i="32"/>
  <c r="C5" i="32"/>
  <c r="C3" i="32"/>
  <c r="C2" i="32"/>
  <c r="B10" i="32"/>
  <c r="B12" i="32" l="1"/>
  <c r="C8" i="32"/>
  <c r="C7" i="32" l="1"/>
  <c r="B7" i="32" s="1"/>
  <c r="C9" i="32" l="1"/>
  <c r="B9" i="32" s="1"/>
  <c r="B14" i="32" l="1"/>
</calcChain>
</file>

<file path=xl/sharedStrings.xml><?xml version="1.0" encoding="utf-8"?>
<sst xmlns="http://schemas.openxmlformats.org/spreadsheetml/2006/main" count="16" uniqueCount="16">
  <si>
    <t>A1S1</t>
  </si>
  <si>
    <t>A2S1</t>
  </si>
  <si>
    <t>A1S2</t>
  </si>
  <si>
    <t>A2S2</t>
  </si>
  <si>
    <t>Weight</t>
  </si>
  <si>
    <t>Mark</t>
  </si>
  <si>
    <t>Further Assessment First Semester (AF1)</t>
  </si>
  <si>
    <t>Mark to Date (MTD) Before A2S2</t>
  </si>
  <si>
    <t>Total number of main assessments completed</t>
  </si>
  <si>
    <t>First Final Mark. Sum of weights at least one.</t>
  </si>
  <si>
    <t>Final Mark</t>
  </si>
  <si>
    <t>Outcome after A2S2</t>
  </si>
  <si>
    <t>Detail</t>
  </si>
  <si>
    <t>check two: did you complete three main assessments one of which is the A2S2</t>
  </si>
  <si>
    <t>Further Assessment Second Semester (AF2)</t>
  </si>
  <si>
    <t>check one: did you complete at least two main assessments before the A2S2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</si>
</sst>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Protection="1">
      <protection locked="0"/>
    </xf>
    <xf numFmtId="0" fontId="0" fillId="0" borderId="0" xfId="0" applyProtection="1">
      <protection locked="0"/>
    </xf>
    <xf numFmtId="0" fontId="0" fillId="33" borderId="0" xfId="0" applyFill="1" applyProtection="1">
      <protection locked="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E9FFEC1-5007-4459-A7A4-6FB47E3BEF9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9F03-29BD-2043-A141-373E32C50F9B}">
  <dimension ref="A1:Y14"/>
  <sheetViews>
    <sheetView tabSelected="1" workbookViewId="0">
      <selection activeCell="B14" sqref="B14"/>
    </sheetView>
  </sheetViews>
  <sheetFormatPr baseColWidth="10" defaultColWidth="10.83203125" defaultRowHeight="15" x14ac:dyDescent="0.2"/>
  <cols>
    <col min="1" max="1" width="70.6640625" style="3" customWidth="1"/>
    <col min="2" max="21" width="10.83203125" style="3"/>
    <col min="22" max="22" width="14.1640625" style="3" customWidth="1"/>
    <col min="23" max="23" width="13.1640625" style="3" customWidth="1"/>
    <col min="24" max="24" width="18.33203125" style="3" customWidth="1"/>
    <col min="25" max="16384" width="10.83203125" style="3"/>
  </cols>
  <sheetData>
    <row r="1" spans="1:25" x14ac:dyDescent="0.2">
      <c r="A1" s="1" t="s">
        <v>12</v>
      </c>
      <c r="B1" s="2" t="s">
        <v>5</v>
      </c>
      <c r="C1" s="1" t="s">
        <v>4</v>
      </c>
    </row>
    <row r="2" spans="1:25" x14ac:dyDescent="0.2">
      <c r="A2" t="s">
        <v>0</v>
      </c>
      <c r="B2" s="4">
        <v>0</v>
      </c>
      <c r="C2">
        <f>IF(B2&lt;&gt;0,0.1,0)</f>
        <v>0</v>
      </c>
    </row>
    <row r="3" spans="1:25" x14ac:dyDescent="0.2">
      <c r="A3" t="s">
        <v>1</v>
      </c>
      <c r="B3" s="4">
        <v>0</v>
      </c>
      <c r="C3">
        <f>IF(B3&lt;&gt;0,0.25,0)</f>
        <v>0</v>
      </c>
    </row>
    <row r="4" spans="1:25" x14ac:dyDescent="0.2">
      <c r="A4" t="s">
        <v>6</v>
      </c>
      <c r="B4" s="4">
        <v>0</v>
      </c>
      <c r="C4">
        <v>0.05</v>
      </c>
    </row>
    <row r="5" spans="1:25" x14ac:dyDescent="0.2">
      <c r="A5" t="s">
        <v>2</v>
      </c>
      <c r="B5" s="4">
        <v>0</v>
      </c>
      <c r="C5">
        <f>IF(B5&lt;&gt;0,0.25,0)</f>
        <v>0</v>
      </c>
    </row>
    <row r="6" spans="1:25" x14ac:dyDescent="0.2">
      <c r="A6" t="s">
        <v>14</v>
      </c>
      <c r="B6" s="4">
        <v>0</v>
      </c>
      <c r="C6">
        <v>0.05</v>
      </c>
    </row>
    <row r="7" spans="1:25" x14ac:dyDescent="0.2">
      <c r="A7" t="s">
        <v>7</v>
      </c>
      <c r="B7">
        <f>ROUNDUP(B2 * (C2/C7) + B3 * (C3/C7) + B4 * (C4/C7) + B5 * (C5/C7) + B6 * (C6/C7),0)</f>
        <v>0</v>
      </c>
      <c r="C7">
        <f>SUM(C2:C6)</f>
        <v>0.1</v>
      </c>
    </row>
    <row r="8" spans="1:25" x14ac:dyDescent="0.2">
      <c r="A8" t="s">
        <v>3</v>
      </c>
      <c r="B8" s="4">
        <v>0</v>
      </c>
      <c r="C8">
        <f t="shared" ref="C8" si="0">IF(B8&lt;&gt;0,0.3,0)</f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">
      <c r="A9" t="s">
        <v>9</v>
      </c>
      <c r="B9">
        <f>ROUND(B7 * (C7/C9) + B8 * (C8/C9),2)</f>
        <v>0</v>
      </c>
      <c r="C9">
        <f>MAX(C8+C7, 1)</f>
        <v>1</v>
      </c>
    </row>
    <row r="10" spans="1:25" x14ac:dyDescent="0.2">
      <c r="A10" t="s">
        <v>8</v>
      </c>
      <c r="B10">
        <f>COUNTIF(B2:B3, "&gt;0") + COUNTIF(B5, "&gt;0") + COUNTIF(B8, "&gt;0")</f>
        <v>0</v>
      </c>
      <c r="C10"/>
    </row>
    <row r="11" spans="1:25" x14ac:dyDescent="0.2">
      <c r="A11" t="s">
        <v>15</v>
      </c>
      <c r="B11" t="str">
        <f>IF(OR(AND(B2=0,B3=0,B5=0),AND(B2=0,B5=0),AND(B3=0,B5=0),AND(B2=0,B3=0)),"no","yes")</f>
        <v>no</v>
      </c>
      <c r="C11"/>
    </row>
    <row r="12" spans="1:25" x14ac:dyDescent="0.2">
      <c r="A12" t="s">
        <v>13</v>
      </c>
      <c r="B12" t="str">
        <f>IF(AND(B11="yes",B8 = 0), "no", B11)</f>
        <v>no</v>
      </c>
      <c r="C12"/>
    </row>
    <row r="13" spans="1:25" x14ac:dyDescent="0.2">
      <c r="A13" t="s">
        <v>10</v>
      </c>
      <c r="B13">
        <f>ROUND(IF(B12="no",0, IF(OR(B9&gt;=50,B9&lt;=29),B9,IF(B9&lt;=35,35,IF(B9&lt;=40,40,IF(B9&lt;=49,45, 50))))),0)</f>
        <v>0</v>
      </c>
      <c r="C13"/>
    </row>
    <row r="14" spans="1:25" x14ac:dyDescent="0.2">
      <c r="A14" t="s">
        <v>11</v>
      </c>
      <c r="B14" t="str">
        <f>IF(AND(B2=0,B3=0,B5=0,B8=0),"No main assessments completed, cannot pass",IF(B10=1,"Too few main assessments completed, cannot pass",IF(OR(B13=0,B13&lt;50),"automatically qualify to write the A3",IF(AND(B13&gt;=50,B10&lt;4),"Pass, but qualify (only on application) to write the A3 to improve your mark","Pass"))))</f>
        <v>No main assessments completed, cannot pass</v>
      </c>
      <c r="C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Randall, Heleen [hrandall@sun.ac.za]</dc:creator>
  <cp:lastModifiedBy>Bakker, H, Mnr [hbakker@sun.ac.za]</cp:lastModifiedBy>
  <cp:lastPrinted>2023-12-06T11:13:16Z</cp:lastPrinted>
  <dcterms:created xsi:type="dcterms:W3CDTF">2023-05-17T09:44:45Z</dcterms:created>
  <dcterms:modified xsi:type="dcterms:W3CDTF">2024-10-27T15:13:48Z</dcterms:modified>
</cp:coreProperties>
</file>