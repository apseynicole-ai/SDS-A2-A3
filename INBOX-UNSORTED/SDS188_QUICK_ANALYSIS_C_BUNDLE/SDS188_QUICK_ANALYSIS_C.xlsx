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nicole/Downloads/SDS188_QUICK_ANALYSIS_C_BUNDLE/"/>
    </mc:Choice>
  </mc:AlternateContent>
  <xr:revisionPtr revIDLastSave="0" documentId="13_ncr:1_{B293F752-C2D0-3B4E-8A06-3E3820FA369A}" xr6:coauthVersionLast="47" xr6:coauthVersionMax="47" xr10:uidLastSave="{00000000-0000-0000-0000-000000000000}"/>
  <bookViews>
    <workbookView xWindow="0" yWindow="660" windowWidth="29400" windowHeight="17160" activeTab="1" xr2:uid="{00000000-000D-0000-FFFF-FFFF00000000}"/>
  </bookViews>
  <sheets>
    <sheet name="START_HERE" sheetId="1" r:id="rId1"/>
    <sheet name="DATA" sheetId="2" r:id="rId2"/>
    <sheet name="AUTO_ANALYSIS" sheetId="3" r:id="rId3"/>
    <sheet name="DISTRIBUTIONS" sheetId="4" r:id="rId4"/>
    <sheet name="SAMPLING" sheetId="5" r:id="rId5"/>
    <sheet name="CI_SAMPLE_SIZE" sheetId="6" r:id="rId6"/>
    <sheet name="HYPOTHESIS_TEST" sheetId="7" r:id="rId7"/>
    <sheet name="SOURCE_MAP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7" l="1"/>
  <c r="F14" i="7"/>
  <c r="F10" i="7"/>
  <c r="F9" i="7"/>
  <c r="F7" i="7"/>
  <c r="F8" i="7" s="1"/>
  <c r="F6" i="7"/>
  <c r="F5" i="7"/>
  <c r="B36" i="6"/>
  <c r="B31" i="6"/>
  <c r="B30" i="6"/>
  <c r="F29" i="6"/>
  <c r="F32" i="6" s="1"/>
  <c r="B29" i="6"/>
  <c r="B32" i="6" s="1"/>
  <c r="F28" i="6"/>
  <c r="F31" i="6" s="1"/>
  <c r="B27" i="6"/>
  <c r="F14" i="6"/>
  <c r="F15" i="6" s="1"/>
  <c r="B14" i="6"/>
  <c r="B16" i="6" s="1"/>
  <c r="F13" i="6"/>
  <c r="B13" i="6"/>
  <c r="F12" i="6"/>
  <c r="B12" i="6"/>
  <c r="B15" i="6" s="1"/>
  <c r="F11" i="6"/>
  <c r="H29" i="5"/>
  <c r="E29" i="5"/>
  <c r="H28" i="5"/>
  <c r="E28" i="5"/>
  <c r="H27" i="5" s="1"/>
  <c r="F22" i="5"/>
  <c r="B22" i="5"/>
  <c r="F21" i="5"/>
  <c r="B21" i="5"/>
  <c r="F20" i="5"/>
  <c r="B20" i="5"/>
  <c r="F19" i="5"/>
  <c r="B19" i="5"/>
  <c r="F18" i="5"/>
  <c r="F16" i="5"/>
  <c r="F17" i="5" s="1"/>
  <c r="B16" i="5"/>
  <c r="F15" i="5"/>
  <c r="B15" i="5"/>
  <c r="F14" i="5"/>
  <c r="B14" i="5"/>
  <c r="B18" i="5" s="1"/>
  <c r="F12" i="5"/>
  <c r="F23" i="5" s="1"/>
  <c r="F35" i="4"/>
  <c r="F34" i="4"/>
  <c r="F33" i="4"/>
  <c r="F32" i="4"/>
  <c r="B32" i="4"/>
  <c r="F31" i="4"/>
  <c r="B31" i="4"/>
  <c r="F30" i="4"/>
  <c r="B30" i="4"/>
  <c r="B20" i="4"/>
  <c r="B19" i="4"/>
  <c r="B18" i="4"/>
  <c r="B17" i="4"/>
  <c r="B16" i="4"/>
  <c r="B15" i="4"/>
  <c r="B14" i="4"/>
  <c r="B13" i="4"/>
  <c r="B12" i="4"/>
  <c r="F8" i="4"/>
  <c r="F7" i="4"/>
  <c r="F6" i="4"/>
  <c r="F43" i="3"/>
  <c r="F42" i="3"/>
  <c r="F39" i="3"/>
  <c r="F41" i="3" s="1"/>
  <c r="F38" i="3"/>
  <c r="F37" i="3"/>
  <c r="F36" i="3"/>
  <c r="F34" i="3"/>
  <c r="C34" i="3"/>
  <c r="F33" i="3"/>
  <c r="C29" i="3"/>
  <c r="C28" i="3"/>
  <c r="C25" i="3"/>
  <c r="C26" i="3" s="1"/>
  <c r="C24" i="3"/>
  <c r="C22" i="3"/>
  <c r="C23" i="3" s="1"/>
  <c r="C21" i="3"/>
  <c r="C19" i="3"/>
  <c r="C20" i="3" s="1"/>
  <c r="C18" i="3"/>
  <c r="C17" i="3"/>
  <c r="C16" i="3"/>
  <c r="E14" i="3" s="1"/>
  <c r="C15" i="3"/>
  <c r="C14" i="3"/>
  <c r="C35" i="3" s="1"/>
  <c r="E11" i="3"/>
  <c r="E10" i="3"/>
  <c r="E9" i="3"/>
  <c r="C40" i="3" s="1"/>
  <c r="E8" i="3"/>
  <c r="E7" i="3"/>
  <c r="E6" i="3"/>
  <c r="F40" i="3" s="1"/>
  <c r="E5" i="3"/>
  <c r="C33" i="3" s="1"/>
  <c r="B33" i="6" l="1"/>
  <c r="B35" i="6" s="1"/>
  <c r="F16" i="7"/>
  <c r="C36" i="3"/>
  <c r="C37" i="3" s="1"/>
  <c r="C41" i="3" s="1"/>
  <c r="B18" i="6"/>
  <c r="B17" i="6"/>
  <c r="F17" i="6"/>
  <c r="F16" i="6"/>
  <c r="F13" i="7"/>
  <c r="F11" i="7"/>
  <c r="F12" i="7" s="1"/>
  <c r="B34" i="6"/>
  <c r="C38" i="3"/>
  <c r="C39" i="3" s="1"/>
  <c r="E19" i="3"/>
  <c r="E15" i="3"/>
  <c r="F35" i="3"/>
  <c r="E17" i="3"/>
  <c r="C27" i="3"/>
  <c r="B17" i="5"/>
</calcChain>
</file>

<file path=xl/sharedStrings.xml><?xml version="1.0" encoding="utf-8"?>
<sst xmlns="http://schemas.openxmlformats.org/spreadsheetml/2006/main" count="413" uniqueCount="322">
  <si>
    <t>SDS188 QUICK ANALYSIS — OPTION C</t>
  </si>
  <si>
    <t>ONE-CLICK SELECTED-DATA ANALYSIS + MANUAL SDS CONTROL PANELS</t>
  </si>
  <si>
    <t>FASTEST ROUTE</t>
  </si>
  <si>
    <t>Highlight a numeric data set → run SDSQuickAnalysis → answer prompts → a full analysis sheet is created.</t>
  </si>
  <si>
    <t>NO-MACRO FALLBACK</t>
  </si>
  <si>
    <t>Paste one numeric variable into DATA!A5:A1004. AUTO_ANALYSIS updates automatically.</t>
  </si>
  <si>
    <t>YELLOW CELLS</t>
  </si>
  <si>
    <t>Inputs you can change.</t>
  </si>
  <si>
    <t>GREY CELLS</t>
  </si>
  <si>
    <t>Calculated outputs.</t>
  </si>
  <si>
    <t>ASSESSMENT RULES</t>
  </si>
  <si>
    <t>Only use macros/add-ins/pre-built files if your assessment rules permit them.</t>
  </si>
  <si>
    <t>WHAT IT AUTOMATES</t>
  </si>
  <si>
    <t>• Descriptive statistics: n, mean, median, mode, sample SD, variance, SE, min/max, range, quartiles, IQR, CV, skewness and kurtosis.</t>
  </si>
  <si>
    <t>• Empirical-rule checks: observed % within x̄±s, x̄±2s and x̄±3s.</t>
  </si>
  <si>
    <t>• Mean CI: automatically uses Z if population σ is supplied; otherwise Student t.</t>
  </si>
  <si>
    <t>• Finite-population correction only when sampling is without replacement and n/N &gt; 0.05.</t>
  </si>
  <si>
    <t>• Mean hypothesis tests: lower / upper / two-tail, p-value, critical values and decision.</t>
  </si>
  <si>
    <t>• Chapter 6: normal, uniform and exponential calculators.</t>
  </si>
  <si>
    <t>• Chapter 7: sampling means, proportions, two independent means and FPC.</t>
  </si>
  <si>
    <t>• Chapter 8: CI and sample-size tools.</t>
  </si>
  <si>
    <t>• Chapter 9: Z/t mean-test engine with source-style Excel formulas.</t>
  </si>
  <si>
    <t>HIGH-VALUE TRAPS</t>
  </si>
  <si>
    <t>1</t>
  </si>
  <si>
    <t>One observation X uses σ. A sample mean X̄ uses σ/√n.</t>
  </si>
  <si>
    <t>2</t>
  </si>
  <si>
    <t>Variance 36 means SD = √36 = 6.</t>
  </si>
  <si>
    <t>3</t>
  </si>
  <si>
    <t>Two-tail p-value counts BOTH tails.</t>
  </si>
  <si>
    <t>4</t>
  </si>
  <si>
    <t>Write Reject H0 / Do not reject H0 — not 'accept H0'.</t>
  </si>
  <si>
    <t>5</t>
  </si>
  <si>
    <t>FPC changes spread/SE, not the centre.</t>
  </si>
  <si>
    <t>6</t>
  </si>
  <si>
    <t>Keep full precision until the final answer.</t>
  </si>
  <si>
    <t>DATA — PASTE YOUR NUMERIC SAMPLE HERE</t>
  </si>
  <si>
    <t>Value</t>
  </si>
  <si>
    <t>HOW TO USE</t>
  </si>
  <si>
    <t>Paste ONE numeric variable into column A starting at A5.</t>
  </si>
  <si>
    <t>Blanks are ignored.</t>
  </si>
  <si>
    <t>AUTO_ANALYSIS uses A5:A1004.</t>
  </si>
  <si>
    <t>The VBA macro can analyse a selected range directly without pasting here.</t>
  </si>
  <si>
    <t>AUTO ANALYSIS — RAW DATA + INFERENCE</t>
  </si>
  <si>
    <t>INPUTS</t>
  </si>
  <si>
    <t>METHOD / CHECKS</t>
  </si>
  <si>
    <t>Confidence level</t>
  </si>
  <si>
    <t>Method</t>
  </si>
  <si>
    <t>Population σ known?</t>
  </si>
  <si>
    <t>No</t>
  </si>
  <si>
    <t>α</t>
  </si>
  <si>
    <t>Population σ (if known)</t>
  </si>
  <si>
    <t>df</t>
  </si>
  <si>
    <t>Without replacement?</t>
  </si>
  <si>
    <t>Sampling fraction n/N</t>
  </si>
  <si>
    <t>Finite population N (optional)</t>
  </si>
  <si>
    <t>FPC</t>
  </si>
  <si>
    <t>Hypothesised μ0 (optional)</t>
  </si>
  <si>
    <t>FPC used?</t>
  </si>
  <si>
    <t>Hypothesis tail</t>
  </si>
  <si>
    <t>Two</t>
  </si>
  <si>
    <t>Data status</t>
  </si>
  <si>
    <t>DESCRIPTIVE STATISTICS</t>
  </si>
  <si>
    <t>NORMALITY / EMPIRICAL RULE</t>
  </si>
  <si>
    <t>n</t>
  </si>
  <si>
    <t>Mean − Median</t>
  </si>
  <si>
    <t>Mean x̄</t>
  </si>
  <si>
    <t>Observed within x̄ ± 1s</t>
  </si>
  <si>
    <t>Median</t>
  </si>
  <si>
    <t>Normal target</t>
  </si>
  <si>
    <t>Mode</t>
  </si>
  <si>
    <t>Observed within x̄ ± 2s</t>
  </si>
  <si>
    <t>Sample SD s</t>
  </si>
  <si>
    <t>Sample variance s²</t>
  </si>
  <si>
    <t>Observed within x̄ ± 3s</t>
  </si>
  <si>
    <t>Standard error s/√n</t>
  </si>
  <si>
    <t>Minimum</t>
  </si>
  <si>
    <t>Maximum</t>
  </si>
  <si>
    <t>Normality check: compare mean/median/mode, empirical-rule percentages and graphs. The tool does not automatically declare a data set normal.</t>
  </si>
  <si>
    <t>Range</t>
  </si>
  <si>
    <t>Q1</t>
  </si>
  <si>
    <t>Q3</t>
  </si>
  <si>
    <t>IQR</t>
  </si>
  <si>
    <t>Coefficient of variation</t>
  </si>
  <si>
    <t>Skewness</t>
  </si>
  <si>
    <t>Kurtosis</t>
  </si>
  <si>
    <t>MEAN CONFIDENCE INTERVAL</t>
  </si>
  <si>
    <t>MEAN HYPOTHESIS TEST (OPTIONAL μ0)</t>
  </si>
  <si>
    <t>H0</t>
  </si>
  <si>
    <t>SE used</t>
  </si>
  <si>
    <t>H1 direction</t>
  </si>
  <si>
    <t>Critical value</t>
  </si>
  <si>
    <t>Test method</t>
  </si>
  <si>
    <t>Margin of error</t>
  </si>
  <si>
    <t>Test statistic</t>
  </si>
  <si>
    <t>Lower limit</t>
  </si>
  <si>
    <t>Lower critical</t>
  </si>
  <si>
    <t>Upper limit</t>
  </si>
  <si>
    <t>Upper critical</t>
  </si>
  <si>
    <t>Interval width</t>
  </si>
  <si>
    <t>p-value</t>
  </si>
  <si>
    <t>Interpretation cue</t>
  </si>
  <si>
    <t>Decision</t>
  </si>
  <si>
    <t>CI cross-check (two-tail only)</t>
  </si>
  <si>
    <t>Reminder</t>
  </si>
  <si>
    <t>CHAPTER 6 — DISTRIBUTION CALCULATOR</t>
  </si>
  <si>
    <t>NORMAL DISTRIBUTION — INDIVIDUAL X</t>
  </si>
  <si>
    <t>STANDARD NORMAL Z</t>
  </si>
  <si>
    <t>Mean μ</t>
  </si>
  <si>
    <t>z</t>
  </si>
  <si>
    <t>SD σ</t>
  </si>
  <si>
    <t>P(Z&lt;z)</t>
  </si>
  <si>
    <t>Lower x</t>
  </si>
  <si>
    <t>P(Z&gt;z)</t>
  </si>
  <si>
    <t>Upper x</t>
  </si>
  <si>
    <t>Two-tail beyond |z|</t>
  </si>
  <si>
    <t>Left cumulative probability p</t>
  </si>
  <si>
    <t>Central area C</t>
  </si>
  <si>
    <t>z(lower)</t>
  </si>
  <si>
    <t>z(upper)</t>
  </si>
  <si>
    <t>P(X &lt; upper)</t>
  </si>
  <si>
    <t>P(X &gt; lower)</t>
  </si>
  <si>
    <t>P(lower &lt; X &lt; upper)</t>
  </si>
  <si>
    <t>x for left cumulative p</t>
  </si>
  <si>
    <t>Central interval lower</t>
  </si>
  <si>
    <t>Central interval upper</t>
  </si>
  <si>
    <t>Tail each side</t>
  </si>
  <si>
    <t>RULE</t>
  </si>
  <si>
    <t>Individual X uses σ — NOT σ/√n.</t>
  </si>
  <si>
    <t>UNIFORM DISTRIBUTION</t>
  </si>
  <si>
    <t>EXPONENTIAL DISTRIBUTION</t>
  </si>
  <si>
    <t>a</t>
  </si>
  <si>
    <t>Rate λ</t>
  </si>
  <si>
    <t>b</t>
  </si>
  <si>
    <t>t1</t>
  </si>
  <si>
    <t>c</t>
  </si>
  <si>
    <t>t2</t>
  </si>
  <si>
    <t>d</t>
  </si>
  <si>
    <t>Left cumulative p</t>
  </si>
  <si>
    <t>Mean</t>
  </si>
  <si>
    <t>SD</t>
  </si>
  <si>
    <t>P(c&lt;X&lt;d)</t>
  </si>
  <si>
    <t>P(X&lt;t1)</t>
  </si>
  <si>
    <t>Check</t>
  </si>
  <si>
    <t>Requires a≤c&lt;d≤b</t>
  </si>
  <si>
    <t>P(X&gt;t1)</t>
  </si>
  <si>
    <t>P(t1&lt;X&lt;t2)</t>
  </si>
  <si>
    <t>Formula cue</t>
  </si>
  <si>
    <t>x = -LN(1-p)/λ</t>
  </si>
  <si>
    <t>CHAPTER 7 — SAMPLING DISTRIBUTIONS</t>
  </si>
  <si>
    <t>SAMPLE MEAN X̄</t>
  </si>
  <si>
    <t>SAMPLE PROPORTION p</t>
  </si>
  <si>
    <t>Population mean μ</t>
  </si>
  <si>
    <t>Population proportion π</t>
  </si>
  <si>
    <t>Population SD σ</t>
  </si>
  <si>
    <t>Sample size n</t>
  </si>
  <si>
    <t>Lower p</t>
  </si>
  <si>
    <t>Lower X̄</t>
  </si>
  <si>
    <t>Upper p</t>
  </si>
  <si>
    <t>Upper X̄</t>
  </si>
  <si>
    <t>Observed successes x</t>
  </si>
  <si>
    <t>Observed p̂</t>
  </si>
  <si>
    <t>Centre μX̄</t>
  </si>
  <si>
    <t>Centre μp</t>
  </si>
  <si>
    <t>Expected count nπ</t>
  </si>
  <si>
    <t>SE σX̄</t>
  </si>
  <si>
    <t>Expected count n(1-π)</t>
  </si>
  <si>
    <t>Conditions</t>
  </si>
  <si>
    <t>P(X̄&lt;upper)</t>
  </si>
  <si>
    <t>SE σp</t>
  </si>
  <si>
    <t>P(X̄&gt;lower)</t>
  </si>
  <si>
    <t>P(p&lt;upper)</t>
  </si>
  <si>
    <t>P(lower&lt;X̄&lt;upper)</t>
  </si>
  <si>
    <t>P(p&gt;lower)</t>
  </si>
  <si>
    <t>Boundary for left p</t>
  </si>
  <si>
    <t>P(lower&lt;p&lt;upper)</t>
  </si>
  <si>
    <t>Core rule</t>
  </si>
  <si>
    <t>SE = σ/√n; larger n reduces SE, not the centre.</t>
  </si>
  <si>
    <t>Estimated SE from p̂</t>
  </si>
  <si>
    <t>DIFFERENCE BETWEEN TWO INDEPENDENT SAMPLE MEANS</t>
  </si>
  <si>
    <t>μ1</t>
  </si>
  <si>
    <t>Observed X̄1−X̄2</t>
  </si>
  <si>
    <t>σ1</t>
  </si>
  <si>
    <t>Centre μ1−μ2</t>
  </si>
  <si>
    <t>P(diff &lt; observed)</t>
  </si>
  <si>
    <t>n1</t>
  </si>
  <si>
    <t>SE</t>
  </si>
  <si>
    <t>P(diff &gt; observed)</t>
  </si>
  <si>
    <t>μ2</t>
  </si>
  <si>
    <t>Rule</t>
  </si>
  <si>
    <t>Expected difference is μ1−μ2, not automatically 0.</t>
  </si>
  <si>
    <t>σ2</t>
  </si>
  <si>
    <t>n2</t>
  </si>
  <si>
    <t>CHAPTER 8 — CONFIDENCE INTERVALS + SAMPLE SIZE</t>
  </si>
  <si>
    <t>MEAN — σ KNOWN (Z)</t>
  </si>
  <si>
    <t>MEAN — σ UNKNOWN (t)</t>
  </si>
  <si>
    <t>x̄</t>
  </si>
  <si>
    <t>Population σ</t>
  </si>
  <si>
    <t>Sample s</t>
  </si>
  <si>
    <t>N (optional)</t>
  </si>
  <si>
    <t>Assumption cue</t>
  </si>
  <si>
    <t>Normal population / justified t use</t>
  </si>
  <si>
    <t>t*</t>
  </si>
  <si>
    <t>z*</t>
  </si>
  <si>
    <t>MoE</t>
  </si>
  <si>
    <t>LL</t>
  </si>
  <si>
    <t>UL</t>
  </si>
  <si>
    <t>Excel shortcut</t>
  </si>
  <si>
    <t>CONFIDENCE.T(alpha,s,n) = half-width</t>
  </si>
  <si>
    <t>PROPORTION CONFIDENCE INTERVAL</t>
  </si>
  <si>
    <t>REQUIRED SAMPLE SIZE</t>
  </si>
  <si>
    <t>Successes x</t>
  </si>
  <si>
    <t>Margin e (mean)</t>
  </si>
  <si>
    <t>σ estimate</t>
  </si>
  <si>
    <t>Prior p (blank → 0.5)</t>
  </si>
  <si>
    <t>Margin e (proportion)</t>
  </si>
  <si>
    <t>p̂</t>
  </si>
  <si>
    <t>Mean n0</t>
  </si>
  <si>
    <t>Proportion n0</t>
  </si>
  <si>
    <t>Mean n with FPC</t>
  </si>
  <si>
    <t>Proportion n with FPC</t>
  </si>
  <si>
    <t>Round required sample size UP.</t>
  </si>
  <si>
    <t>Finite formula</t>
  </si>
  <si>
    <t>n = n0 N / (n0 + N - 1)</t>
  </si>
  <si>
    <t>Expected counts check</t>
  </si>
  <si>
    <t>CHAPTER 9 — MEAN HYPOTHESIS TEST (SUMMARY DATA)</t>
  </si>
  <si>
    <t>RESULT</t>
  </si>
  <si>
    <t>Null mean μ0</t>
  </si>
  <si>
    <t>Sample mean x̄</t>
  </si>
  <si>
    <t>Yes</t>
  </si>
  <si>
    <t>Sample s (if σ unknown)</t>
  </si>
  <si>
    <t>Significance α</t>
  </si>
  <si>
    <t>Tail</t>
  </si>
  <si>
    <t>Critical-value check</t>
  </si>
  <si>
    <t>Two-tail CI LL</t>
  </si>
  <si>
    <t>SOURCE-STYLE EXCEL FORMULA CUES</t>
  </si>
  <si>
    <t>Two-tail CI UL</t>
  </si>
  <si>
    <t>Z SE</t>
  </si>
  <si>
    <t>=σ/SQRT(n)</t>
  </si>
  <si>
    <t>Known population σ</t>
  </si>
  <si>
    <t>CI cross-check</t>
  </si>
  <si>
    <t>Z statistic</t>
  </si>
  <si>
    <t>=(xbar-mu0)/SE</t>
  </si>
  <si>
    <t>Two-tail Z p</t>
  </si>
  <si>
    <t>=(1-NORM.S.DIST(ABS(z),TRUE))*2</t>
  </si>
  <si>
    <t>Lower-tail Z p</t>
  </si>
  <si>
    <t>=NORM.S.DIST(z,TRUE)</t>
  </si>
  <si>
    <t>Upper-tail Z p</t>
  </si>
  <si>
    <t>=1-NORM.S.DIST(z,TRUE)</t>
  </si>
  <si>
    <t>t SE</t>
  </si>
  <si>
    <t>=s/SQRT(n)</t>
  </si>
  <si>
    <t>σ unknown</t>
  </si>
  <si>
    <t>Two-tail t p</t>
  </si>
  <si>
    <t>=T.DIST.2T(ABS(t),df)</t>
  </si>
  <si>
    <t>Lower-tail t p</t>
  </si>
  <si>
    <t>=T.DIST(t,df,TRUE)</t>
  </si>
  <si>
    <t>Upper-tail t p</t>
  </si>
  <si>
    <t>=1-T.DIST(t,df,TRUE)</t>
  </si>
  <si>
    <t>Decision rule: if p-value &lt; α, REJECT H0. Otherwise DO NOT REJECT H0. For a same-level two-tail test and confidence interval, μ0 outside the interval corresponds to rejection; μ0 inside corresponds to non-rejection.</t>
  </si>
  <si>
    <t>SDS188 SOURCE MAP — COURSE-ALIGNED FEATURES</t>
  </si>
  <si>
    <t>Chapter</t>
  </si>
  <si>
    <t>Feature</t>
  </si>
  <si>
    <t>Course source</t>
  </si>
  <si>
    <t>Location / note</t>
  </si>
  <si>
    <t>Key rule</t>
  </si>
  <si>
    <t>Tool sheet</t>
  </si>
  <si>
    <t>Normal probability + inverse</t>
  </si>
  <si>
    <t>Chapter 6.pdf</t>
  </si>
  <si>
    <t>pp. 3–7</t>
  </si>
  <si>
    <t>NORM.S.DIST / NORM.DIST; NORM.S.INV / NORM.INV</t>
  </si>
  <si>
    <t>DISTRIBUTIONS</t>
  </si>
  <si>
    <t>Normality evaluation</t>
  </si>
  <si>
    <t>pp. 8–10+</t>
  </si>
  <si>
    <t>Mean/median/mode + empirical rule + graphs</t>
  </si>
  <si>
    <t>AUTO_ANALYSIS</t>
  </si>
  <si>
    <t>Uniform + exponential</t>
  </si>
  <si>
    <t>Tutorial 6 / Chapter 6</t>
  </si>
  <si>
    <t>Tutorial Q8–11</t>
  </si>
  <si>
    <t>Uniform mean/SD; exponential CDF and inverse</t>
  </si>
  <si>
    <t>7</t>
  </si>
  <si>
    <t>Sampling mean</t>
  </si>
  <si>
    <t>Chapter 7 formula sheet</t>
  </si>
  <si>
    <t>§3</t>
  </si>
  <si>
    <t>SE = σ/√n</t>
  </si>
  <si>
    <t>SAMPLING</t>
  </si>
  <si>
    <t>Sample proportion</t>
  </si>
  <si>
    <t>§5</t>
  </si>
  <si>
    <t>SE = √[π(1−π)/n]; expected-count checks</t>
  </si>
  <si>
    <t>Finite population correction</t>
  </si>
  <si>
    <t>§7</t>
  </si>
  <si>
    <t>Without replacement and n/N &gt; .05</t>
  </si>
  <si>
    <t>AUTO_ANALYSIS / SAMPLING</t>
  </si>
  <si>
    <t>8</t>
  </si>
  <si>
    <t>Mean CI: σ known</t>
  </si>
  <si>
    <t>Chapter 8 slides/tutorial</t>
  </si>
  <si>
    <t>Tutorial 8 Q1–4</t>
  </si>
  <si>
    <t>Z interval</t>
  </si>
  <si>
    <t>AUTO_ANALYSIS / CI_SAMPLE_SIZE</t>
  </si>
  <si>
    <t>Mean CI: σ unknown</t>
  </si>
  <si>
    <t>Tutorial 8 Q9–10</t>
  </si>
  <si>
    <t>Student t; df=n−1</t>
  </si>
  <si>
    <t>Proportion CI + sample size</t>
  </si>
  <si>
    <t>Tutorial 8 Q7–8</t>
  </si>
  <si>
    <t>Use p̂ for estimated proportion; round n up</t>
  </si>
  <si>
    <t>CI_SAMPLE_SIZE</t>
  </si>
  <si>
    <t>Finite-population CI/sample size</t>
  </si>
  <si>
    <t>Finite population handout</t>
  </si>
  <si>
    <t>Eq. 8.12–8.14</t>
  </si>
  <si>
    <t>FPC reduces width; adjusted n formula</t>
  </si>
  <si>
    <t>9</t>
  </si>
  <si>
    <t>Z mean test</t>
  </si>
  <si>
    <t>Chapter 9 deck</t>
  </si>
  <si>
    <t>Excel p-value workflow</t>
  </si>
  <si>
    <t>p&lt;α → reject H0</t>
  </si>
  <si>
    <t>HYPOTHESIS_TEST</t>
  </si>
  <si>
    <t>t mean test</t>
  </si>
  <si>
    <t>A1S2 slides 1–51 scope</t>
  </si>
  <si>
    <t>σ unknown → s and df=n−1</t>
  </si>
  <si>
    <t>Two-tail CI cross-check</t>
  </si>
  <si>
    <t>Chapter 9 deck / Tutorial 9 Q10</t>
  </si>
  <si>
    <t>Same-level CI</t>
  </si>
  <si>
    <t>μ0 outside CI ↔ reject</t>
  </si>
  <si>
    <t>AUTO_ANALYSIS / HYPOTHESIS_TEST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</si>
</sst>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7">
    <font>
      <sz val="11"/>
      <name val="Carlito"/>
    </font>
    <font>
      <b/>
      <sz val="16"/>
      <color rgb="FFFFFFFF"/>
      <name val="Carlito"/>
    </font>
    <font>
      <b/>
      <sz val="12"/>
      <name val="Carlito"/>
    </font>
    <font>
      <b/>
      <sz val="11"/>
      <name val="Carlito"/>
    </font>
    <font>
      <b/>
      <sz val="11"/>
      <color rgb="FF000000"/>
      <name val="Carlito"/>
    </font>
    <font>
      <i/>
      <sz val="11"/>
      <name val="Carlito"/>
    </font>
    <font>
      <b/>
      <sz val="11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202020"/>
      </patternFill>
    </fill>
    <fill>
      <patternFill patternType="solid">
        <fgColor rgb="FFE7E6E6"/>
      </patternFill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4" borderId="0" xfId="0" applyFont="1" applyFill="1"/>
    <xf numFmtId="0" fontId="3" fillId="4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3" borderId="0" xfId="0" applyFont="1" applyFill="1" applyAlignment="1">
      <alignment wrapText="1"/>
    </xf>
    <xf numFmtId="164" fontId="0" fillId="0" borderId="0" xfId="0" applyNumberFormat="1"/>
    <xf numFmtId="0" fontId="0" fillId="6" borderId="6" xfId="0" applyFill="1" applyBorder="1" applyAlignment="1">
      <alignment wrapText="1"/>
    </xf>
    <xf numFmtId="0" fontId="0" fillId="6" borderId="5" xfId="0" applyFill="1" applyBorder="1" applyAlignment="1">
      <alignment wrapText="1"/>
    </xf>
    <xf numFmtId="9" fontId="0" fillId="5" borderId="1" xfId="0" applyNumberFormat="1" applyFill="1" applyBorder="1" applyAlignment="1">
      <alignment wrapText="1"/>
    </xf>
    <xf numFmtId="0" fontId="0" fillId="6" borderId="4" xfId="0" applyFill="1" applyBorder="1" applyAlignment="1">
      <alignment wrapText="1"/>
    </xf>
    <xf numFmtId="0" fontId="0" fillId="5" borderId="2" xfId="0" applyFill="1" applyBorder="1" applyAlignment="1">
      <alignment wrapText="1"/>
    </xf>
    <xf numFmtId="164" fontId="0" fillId="6" borderId="5" xfId="0" applyNumberFormat="1" applyFill="1" applyBorder="1" applyAlignment="1">
      <alignment wrapText="1"/>
    </xf>
    <xf numFmtId="0" fontId="0" fillId="5" borderId="3" xfId="0" applyFill="1" applyBorder="1" applyAlignment="1">
      <alignment wrapText="1"/>
    </xf>
    <xf numFmtId="164" fontId="0" fillId="6" borderId="4" xfId="0" applyNumberFormat="1" applyFill="1" applyBorder="1" applyAlignment="1">
      <alignment wrapText="1"/>
    </xf>
    <xf numFmtId="165" fontId="0" fillId="6" borderId="5" xfId="0" applyNumberFormat="1" applyFill="1" applyBorder="1" applyAlignment="1">
      <alignment wrapText="1"/>
    </xf>
    <xf numFmtId="165" fontId="0" fillId="6" borderId="6" xfId="0" applyNumberFormat="1" applyFill="1" applyBorder="1" applyAlignment="1">
      <alignment wrapText="1"/>
    </xf>
    <xf numFmtId="10" fontId="0" fillId="6" borderId="5" xfId="0" applyNumberFormat="1" applyFill="1" applyBorder="1" applyAlignment="1">
      <alignment wrapText="1"/>
    </xf>
    <xf numFmtId="164" fontId="0" fillId="6" borderId="6" xfId="0" applyNumberForma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5" borderId="7" xfId="0" applyFill="1" applyBorder="1" applyAlignment="1">
      <alignment wrapText="1"/>
    </xf>
    <xf numFmtId="10" fontId="0" fillId="5" borderId="2" xfId="0" applyNumberFormat="1" applyFill="1" applyBorder="1" applyAlignment="1">
      <alignment wrapText="1"/>
    </xf>
    <xf numFmtId="10" fontId="0" fillId="5" borderId="3" xfId="0" applyNumberFormat="1" applyFill="1" applyBorder="1" applyAlignment="1">
      <alignment wrapText="1"/>
    </xf>
    <xf numFmtId="164" fontId="0" fillId="5" borderId="1" xfId="0" applyNumberFormat="1" applyFill="1" applyBorder="1" applyAlignment="1">
      <alignment wrapText="1"/>
    </xf>
    <xf numFmtId="164" fontId="0" fillId="5" borderId="2" xfId="0" applyNumberFormat="1" applyFill="1" applyBorder="1" applyAlignment="1">
      <alignment wrapText="1"/>
    </xf>
    <xf numFmtId="164" fontId="0" fillId="5" borderId="3" xfId="0" applyNumberFormat="1" applyFill="1" applyBorder="1" applyAlignment="1">
      <alignment wrapText="1"/>
    </xf>
    <xf numFmtId="164" fontId="0" fillId="0" borderId="0" xfId="0" applyNumberFormat="1" applyAlignment="1">
      <alignment wrapText="1"/>
    </xf>
    <xf numFmtId="9" fontId="0" fillId="5" borderId="2" xfId="0" applyNumberFormat="1" applyFill="1" applyBorder="1" applyAlignment="1">
      <alignment wrapText="1"/>
    </xf>
    <xf numFmtId="9" fontId="0" fillId="5" borderId="3" xfId="0" applyNumberFormat="1" applyFill="1" applyBorder="1" applyAlignment="1">
      <alignment wrapText="1"/>
    </xf>
    <xf numFmtId="1" fontId="0" fillId="6" borderId="4" xfId="0" applyNumberFormat="1" applyFill="1" applyBorder="1" applyAlignment="1">
      <alignment wrapText="1"/>
    </xf>
    <xf numFmtId="1" fontId="0" fillId="6" borderId="5" xfId="0" applyNumberFormat="1" applyFill="1" applyBorder="1" applyAlignment="1">
      <alignment wrapText="1"/>
    </xf>
    <xf numFmtId="0" fontId="6" fillId="2" borderId="0" xfId="0" applyFont="1" applyFill="1" applyAlignment="1">
      <alignment wrapText="1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1" fillId="2" borderId="0" xfId="0" applyFont="1" applyFill="1" applyAlignment="1">
      <alignment vertical="center"/>
    </xf>
    <xf numFmtId="0" fontId="3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3" fillId="6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40"/>
  <sheetViews>
    <sheetView zoomScale="90" workbookViewId="0">
      <selection sqref="A1:H2"/>
    </sheetView>
  </sheetViews>
  <sheetFormatPr baseColWidth="10" defaultColWidth="8.83203125" defaultRowHeight="15"/>
  <cols>
    <col min="1" max="1" width="20" customWidth="1"/>
    <col min="2" max="2" width="55" customWidth="1"/>
    <col min="3" max="8" width="12" customWidth="1"/>
  </cols>
  <sheetData>
    <row r="1" spans="1:8" ht="37.25" customHeight="1">
      <c r="A1" s="31" t="s">
        <v>0</v>
      </c>
      <c r="B1" s="31"/>
      <c r="C1" s="31"/>
      <c r="D1" s="31"/>
      <c r="E1" s="31"/>
      <c r="F1" s="31"/>
      <c r="G1" s="31"/>
      <c r="H1" s="31"/>
    </row>
    <row r="2" spans="1:8" ht="37.25" customHeight="1">
      <c r="A2" s="31"/>
      <c r="B2" s="31"/>
      <c r="C2" s="31"/>
      <c r="D2" s="31"/>
      <c r="E2" s="31"/>
      <c r="F2" s="31"/>
      <c r="G2" s="31"/>
      <c r="H2" s="31"/>
    </row>
    <row r="3" spans="1:8">
      <c r="A3" s="3"/>
      <c r="B3" s="3"/>
      <c r="C3" s="3"/>
      <c r="D3" s="3"/>
      <c r="E3" s="3"/>
      <c r="F3" s="3"/>
      <c r="G3" s="3"/>
      <c r="H3" s="3"/>
    </row>
    <row r="4" spans="1:8" ht="16">
      <c r="A4" s="32" t="s">
        <v>1</v>
      </c>
      <c r="B4" s="32"/>
      <c r="C4" s="32"/>
      <c r="D4" s="32"/>
      <c r="E4" s="32"/>
      <c r="F4" s="32"/>
      <c r="G4" s="32"/>
      <c r="H4" s="32"/>
    </row>
    <row r="5" spans="1:8">
      <c r="A5" s="3"/>
      <c r="B5" s="3"/>
      <c r="C5" s="3"/>
      <c r="D5" s="3"/>
      <c r="E5" s="3"/>
      <c r="F5" s="3"/>
      <c r="G5" s="3"/>
      <c r="H5" s="3"/>
    </row>
    <row r="6" spans="1:8" ht="32">
      <c r="A6" s="2" t="s">
        <v>2</v>
      </c>
      <c r="B6" s="3" t="s">
        <v>3</v>
      </c>
      <c r="C6" s="3"/>
      <c r="D6" s="3"/>
      <c r="E6" s="3"/>
      <c r="F6" s="3"/>
      <c r="G6" s="3"/>
      <c r="H6" s="3"/>
    </row>
    <row r="7" spans="1:8" ht="32">
      <c r="A7" s="2" t="s">
        <v>4</v>
      </c>
      <c r="B7" s="3" t="s">
        <v>5</v>
      </c>
      <c r="C7" s="3"/>
      <c r="D7" s="3"/>
      <c r="E7" s="3"/>
      <c r="F7" s="3"/>
      <c r="G7" s="3"/>
      <c r="H7" s="3"/>
    </row>
    <row r="8" spans="1:8" ht="16">
      <c r="A8" s="2" t="s">
        <v>6</v>
      </c>
      <c r="B8" s="3" t="s">
        <v>7</v>
      </c>
      <c r="C8" s="3"/>
      <c r="D8" s="3"/>
      <c r="E8" s="3"/>
      <c r="F8" s="3"/>
      <c r="G8" s="3"/>
      <c r="H8" s="3"/>
    </row>
    <row r="9" spans="1:8" ht="16">
      <c r="A9" s="2" t="s">
        <v>8</v>
      </c>
      <c r="B9" s="3" t="s">
        <v>9</v>
      </c>
      <c r="C9" s="3"/>
      <c r="D9" s="3"/>
      <c r="E9" s="3"/>
      <c r="F9" s="3"/>
      <c r="G9" s="3"/>
      <c r="H9" s="3"/>
    </row>
    <row r="10" spans="1:8" ht="32">
      <c r="A10" s="2" t="s">
        <v>10</v>
      </c>
      <c r="B10" s="3" t="s">
        <v>11</v>
      </c>
      <c r="C10" s="3"/>
      <c r="D10" s="3"/>
      <c r="E10" s="3"/>
      <c r="F10" s="3"/>
      <c r="G10" s="3"/>
      <c r="H10" s="3"/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>
      <c r="A12" s="33" t="s">
        <v>12</v>
      </c>
      <c r="B12" s="33"/>
      <c r="C12" s="33"/>
      <c r="D12" s="33"/>
      <c r="E12" s="33"/>
      <c r="F12" s="33"/>
      <c r="G12" s="33"/>
      <c r="H12" s="33"/>
    </row>
    <row r="13" spans="1:8">
      <c r="A13" s="3"/>
      <c r="B13" s="3"/>
      <c r="C13" s="3"/>
      <c r="D13" s="3"/>
      <c r="E13" s="3"/>
      <c r="F13" s="3"/>
      <c r="G13" s="3"/>
      <c r="H13" s="3"/>
    </row>
    <row r="14" spans="1:8" ht="128">
      <c r="A14" s="3" t="s">
        <v>13</v>
      </c>
      <c r="B14" s="3"/>
      <c r="C14" s="3"/>
      <c r="D14" s="3"/>
      <c r="E14" s="3"/>
      <c r="F14" s="3"/>
      <c r="G14" s="3"/>
      <c r="H14" s="3"/>
    </row>
    <row r="15" spans="1:8" ht="64">
      <c r="A15" s="3" t="s">
        <v>14</v>
      </c>
      <c r="B15" s="3"/>
      <c r="C15" s="3"/>
      <c r="D15" s="3"/>
      <c r="E15" s="3"/>
      <c r="F15" s="3"/>
      <c r="G15" s="3"/>
      <c r="H15" s="3"/>
    </row>
    <row r="16" spans="1:8" ht="80">
      <c r="A16" s="3" t="s">
        <v>15</v>
      </c>
      <c r="B16" s="3"/>
      <c r="C16" s="3"/>
      <c r="D16" s="3"/>
      <c r="E16" s="3"/>
      <c r="F16" s="3"/>
      <c r="G16" s="3"/>
      <c r="H16" s="3"/>
    </row>
    <row r="17" spans="1:8" ht="80">
      <c r="A17" s="3" t="s">
        <v>16</v>
      </c>
      <c r="B17" s="3"/>
      <c r="C17" s="3"/>
      <c r="D17" s="3"/>
      <c r="E17" s="3"/>
      <c r="F17" s="3"/>
      <c r="G17" s="3"/>
      <c r="H17" s="3"/>
    </row>
    <row r="18" spans="1:8" ht="80">
      <c r="A18" s="3" t="s">
        <v>17</v>
      </c>
      <c r="B18" s="3"/>
      <c r="C18" s="3"/>
      <c r="D18" s="3"/>
      <c r="E18" s="3"/>
      <c r="F18" s="3"/>
      <c r="G18" s="3"/>
      <c r="H18" s="3"/>
    </row>
    <row r="19" spans="1:8" ht="64">
      <c r="A19" s="3" t="s">
        <v>18</v>
      </c>
      <c r="B19" s="3"/>
      <c r="C19" s="3"/>
      <c r="D19" s="3"/>
      <c r="E19" s="3"/>
      <c r="F19" s="3"/>
      <c r="G19" s="3"/>
      <c r="H19" s="3"/>
    </row>
    <row r="20" spans="1:8" ht="64">
      <c r="A20" s="3" t="s">
        <v>19</v>
      </c>
      <c r="B20" s="3"/>
      <c r="C20" s="3"/>
      <c r="D20" s="3"/>
      <c r="E20" s="3"/>
      <c r="F20" s="3"/>
      <c r="G20" s="3"/>
      <c r="H20" s="3"/>
    </row>
    <row r="21" spans="1:8" ht="32">
      <c r="A21" s="3" t="s">
        <v>20</v>
      </c>
      <c r="B21" s="3"/>
      <c r="C21" s="3"/>
      <c r="D21" s="3"/>
      <c r="E21" s="3"/>
      <c r="F21" s="3"/>
      <c r="G21" s="3"/>
      <c r="H21" s="3"/>
    </row>
    <row r="22" spans="1:8" ht="64">
      <c r="A22" s="3" t="s">
        <v>21</v>
      </c>
      <c r="B22" s="3"/>
      <c r="C22" s="3"/>
      <c r="D22" s="3"/>
      <c r="E22" s="3"/>
      <c r="F22" s="3"/>
      <c r="G22" s="3"/>
      <c r="H22" s="3"/>
    </row>
    <row r="23" spans="1:8">
      <c r="A23" s="3"/>
      <c r="B23" s="3"/>
      <c r="C23" s="3"/>
      <c r="D23" s="3"/>
      <c r="E23" s="3"/>
      <c r="F23" s="3"/>
      <c r="G23" s="3"/>
      <c r="H23" s="3"/>
    </row>
    <row r="24" spans="1:8">
      <c r="A24" s="33" t="s">
        <v>22</v>
      </c>
      <c r="B24" s="33"/>
      <c r="C24" s="33"/>
      <c r="D24" s="33"/>
      <c r="E24" s="33"/>
      <c r="F24" s="33"/>
      <c r="G24" s="33"/>
      <c r="H24" s="33"/>
    </row>
    <row r="25" spans="1:8">
      <c r="A25" s="3"/>
      <c r="B25" s="3"/>
      <c r="C25" s="3"/>
      <c r="D25" s="3"/>
      <c r="E25" s="3"/>
      <c r="F25" s="3"/>
      <c r="G25" s="3"/>
      <c r="H25" s="3"/>
    </row>
    <row r="26" spans="1:8" ht="16">
      <c r="A26" s="4" t="s">
        <v>23</v>
      </c>
      <c r="B26" s="3" t="s">
        <v>24</v>
      </c>
      <c r="C26" s="3"/>
      <c r="D26" s="3"/>
      <c r="E26" s="3"/>
      <c r="F26" s="3"/>
      <c r="G26" s="3"/>
      <c r="H26" s="3"/>
    </row>
    <row r="27" spans="1:8" ht="16">
      <c r="A27" s="4" t="s">
        <v>25</v>
      </c>
      <c r="B27" s="3" t="s">
        <v>26</v>
      </c>
      <c r="C27" s="3"/>
      <c r="D27" s="3"/>
      <c r="E27" s="3"/>
      <c r="F27" s="3"/>
      <c r="G27" s="3"/>
      <c r="H27" s="3"/>
    </row>
    <row r="28" spans="1:8" ht="16">
      <c r="A28" s="4" t="s">
        <v>27</v>
      </c>
      <c r="B28" s="3" t="s">
        <v>28</v>
      </c>
      <c r="C28" s="3"/>
      <c r="D28" s="3"/>
      <c r="E28" s="3"/>
      <c r="F28" s="3"/>
      <c r="G28" s="3"/>
      <c r="H28" s="3"/>
    </row>
    <row r="29" spans="1:8" ht="16">
      <c r="A29" s="4" t="s">
        <v>29</v>
      </c>
      <c r="B29" s="3" t="s">
        <v>30</v>
      </c>
      <c r="C29" s="3"/>
      <c r="D29" s="3"/>
      <c r="E29" s="3"/>
      <c r="F29" s="3"/>
      <c r="G29" s="3"/>
      <c r="H29" s="3"/>
    </row>
    <row r="30" spans="1:8" ht="16">
      <c r="A30" s="4" t="s">
        <v>31</v>
      </c>
      <c r="B30" s="3" t="s">
        <v>32</v>
      </c>
      <c r="C30" s="3"/>
      <c r="D30" s="3"/>
      <c r="E30" s="3"/>
      <c r="F30" s="3"/>
      <c r="G30" s="3"/>
      <c r="H30" s="3"/>
    </row>
    <row r="31" spans="1:8" ht="16">
      <c r="A31" s="4" t="s">
        <v>33</v>
      </c>
      <c r="B31" s="3" t="s">
        <v>34</v>
      </c>
      <c r="C31" s="3"/>
      <c r="D31" s="3"/>
      <c r="E31" s="3"/>
      <c r="F31" s="3"/>
      <c r="G31" s="3"/>
      <c r="H31" s="3"/>
    </row>
    <row r="32" spans="1:8">
      <c r="A32" s="3"/>
      <c r="B32" s="3"/>
      <c r="C32" s="3"/>
      <c r="D32" s="3"/>
      <c r="E32" s="3"/>
      <c r="F32" s="3"/>
      <c r="G32" s="3"/>
      <c r="H32" s="3"/>
    </row>
    <row r="33" spans="1:8">
      <c r="A33" s="3"/>
      <c r="B33" s="3"/>
      <c r="C33" s="3"/>
      <c r="D33" s="3"/>
      <c r="E33" s="3"/>
      <c r="F33" s="3"/>
      <c r="G33" s="3"/>
      <c r="H33" s="3"/>
    </row>
    <row r="34" spans="1:8">
      <c r="A34" s="3"/>
      <c r="B34" s="3"/>
      <c r="C34" s="3"/>
      <c r="D34" s="3"/>
      <c r="E34" s="3"/>
      <c r="F34" s="3"/>
      <c r="G34" s="3"/>
      <c r="H34" s="3"/>
    </row>
    <row r="35" spans="1:8">
      <c r="A35" s="3"/>
      <c r="B35" s="3"/>
      <c r="C35" s="3"/>
      <c r="D35" s="3"/>
      <c r="E35" s="3"/>
      <c r="F35" s="3"/>
      <c r="G35" s="3"/>
      <c r="H35" s="3"/>
    </row>
    <row r="36" spans="1:8">
      <c r="A36" s="3"/>
      <c r="B36" s="3"/>
      <c r="C36" s="3"/>
      <c r="D36" s="3"/>
      <c r="E36" s="3"/>
      <c r="F36" s="3"/>
      <c r="G36" s="3"/>
      <c r="H36" s="3"/>
    </row>
    <row r="37" spans="1:8">
      <c r="A37" s="3"/>
      <c r="B37" s="3"/>
      <c r="C37" s="3"/>
      <c r="D37" s="3"/>
      <c r="E37" s="3"/>
      <c r="F37" s="3"/>
      <c r="G37" s="3"/>
      <c r="H37" s="3"/>
    </row>
    <row r="38" spans="1:8">
      <c r="A38" s="3"/>
      <c r="B38" s="3"/>
      <c r="C38" s="3"/>
      <c r="D38" s="3"/>
      <c r="E38" s="3"/>
      <c r="F38" s="3"/>
      <c r="G38" s="3"/>
      <c r="H38" s="3"/>
    </row>
    <row r="39" spans="1:8">
      <c r="A39" s="3"/>
      <c r="B39" s="3"/>
      <c r="C39" s="3"/>
      <c r="D39" s="3"/>
      <c r="E39" s="3"/>
      <c r="F39" s="3"/>
      <c r="G39" s="3"/>
      <c r="H39" s="3"/>
    </row>
    <row r="40" spans="1:8">
      <c r="A40" s="3"/>
      <c r="B40" s="3"/>
      <c r="C40" s="3"/>
      <c r="D40" s="3"/>
      <c r="E40" s="3"/>
      <c r="F40" s="3"/>
      <c r="G40" s="3"/>
      <c r="H40" s="3"/>
    </row>
  </sheetData>
  <mergeCells count="4">
    <mergeCell ref="A1:H2"/>
    <mergeCell ref="A4:H4"/>
    <mergeCell ref="A12:H12"/>
    <mergeCell ref="A24:H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1004"/>
  <sheetViews>
    <sheetView tabSelected="1" workbookViewId="0">
      <selection sqref="A1:D2"/>
    </sheetView>
  </sheetViews>
  <sheetFormatPr baseColWidth="10" defaultColWidth="8.83203125" defaultRowHeight="15"/>
  <cols>
    <col min="1" max="1" width="16" customWidth="1"/>
    <col min="3" max="3" width="10" customWidth="1"/>
    <col min="4" max="4" width="50" customWidth="1"/>
  </cols>
  <sheetData>
    <row r="1" spans="1:4" ht="37.25" customHeight="1">
      <c r="A1" s="34" t="s">
        <v>35</v>
      </c>
      <c r="B1" s="34"/>
      <c r="C1" s="34"/>
      <c r="D1" s="34"/>
    </row>
    <row r="2" spans="1:4" ht="37.25" customHeight="1">
      <c r="A2" s="34"/>
      <c r="B2" s="34"/>
      <c r="C2" s="34"/>
      <c r="D2" s="34"/>
    </row>
    <row r="4" spans="1:4">
      <c r="A4" s="1" t="s">
        <v>36</v>
      </c>
      <c r="C4" s="35" t="s">
        <v>37</v>
      </c>
      <c r="D4" s="35"/>
    </row>
    <row r="5" spans="1:4" ht="16">
      <c r="A5" s="5"/>
      <c r="C5" s="3" t="s">
        <v>23</v>
      </c>
      <c r="D5" s="3" t="s">
        <v>38</v>
      </c>
    </row>
    <row r="6" spans="1:4" ht="16">
      <c r="A6" s="5"/>
      <c r="C6" s="3" t="s">
        <v>25</v>
      </c>
      <c r="D6" s="3" t="s">
        <v>39</v>
      </c>
    </row>
    <row r="7" spans="1:4" ht="16">
      <c r="A7" s="5"/>
      <c r="C7" s="3" t="s">
        <v>27</v>
      </c>
      <c r="D7" s="3" t="s">
        <v>40</v>
      </c>
    </row>
    <row r="8" spans="1:4" ht="32">
      <c r="A8" s="5"/>
      <c r="C8" s="3" t="s">
        <v>29</v>
      </c>
      <c r="D8" s="3" t="s">
        <v>41</v>
      </c>
    </row>
    <row r="9" spans="1:4">
      <c r="A9" s="5"/>
    </row>
    <row r="10" spans="1:4">
      <c r="A10" s="5"/>
    </row>
    <row r="11" spans="1:4">
      <c r="A11" s="5"/>
    </row>
    <row r="12" spans="1:4">
      <c r="A12" s="5"/>
    </row>
    <row r="13" spans="1:4">
      <c r="A13" s="5"/>
    </row>
    <row r="14" spans="1:4">
      <c r="A14" s="5"/>
    </row>
    <row r="15" spans="1:4">
      <c r="A15" s="5"/>
    </row>
    <row r="16" spans="1:4">
      <c r="A16" s="5"/>
    </row>
    <row r="17" spans="1:1">
      <c r="A17" s="5"/>
    </row>
    <row r="18" spans="1:1">
      <c r="A18" s="5"/>
    </row>
    <row r="19" spans="1:1">
      <c r="A19" s="5"/>
    </row>
    <row r="20" spans="1:1">
      <c r="A20" s="5"/>
    </row>
    <row r="21" spans="1:1">
      <c r="A21" s="5"/>
    </row>
    <row r="22" spans="1:1">
      <c r="A22" s="5"/>
    </row>
    <row r="23" spans="1:1">
      <c r="A23" s="5"/>
    </row>
    <row r="24" spans="1:1">
      <c r="A24" s="5"/>
    </row>
    <row r="25" spans="1:1">
      <c r="A25" s="5"/>
    </row>
    <row r="26" spans="1:1">
      <c r="A26" s="5"/>
    </row>
    <row r="27" spans="1:1">
      <c r="A27" s="5"/>
    </row>
    <row r="28" spans="1:1">
      <c r="A28" s="5"/>
    </row>
    <row r="29" spans="1:1">
      <c r="A29" s="5"/>
    </row>
    <row r="30" spans="1:1">
      <c r="A30" s="5"/>
    </row>
    <row r="31" spans="1:1">
      <c r="A31" s="5"/>
    </row>
    <row r="32" spans="1:1">
      <c r="A32" s="5"/>
    </row>
    <row r="33" spans="1:1">
      <c r="A33" s="5"/>
    </row>
    <row r="34" spans="1:1">
      <c r="A34" s="5"/>
    </row>
    <row r="35" spans="1:1">
      <c r="A35" s="5"/>
    </row>
    <row r="36" spans="1:1">
      <c r="A36" s="5"/>
    </row>
    <row r="37" spans="1:1">
      <c r="A37" s="5"/>
    </row>
    <row r="38" spans="1:1">
      <c r="A38" s="5"/>
    </row>
    <row r="39" spans="1:1">
      <c r="A39" s="5"/>
    </row>
    <row r="40" spans="1:1">
      <c r="A40" s="5"/>
    </row>
    <row r="41" spans="1:1">
      <c r="A41" s="5"/>
    </row>
    <row r="42" spans="1:1">
      <c r="A42" s="5"/>
    </row>
    <row r="43" spans="1:1">
      <c r="A43" s="5"/>
    </row>
    <row r="44" spans="1:1">
      <c r="A44" s="5"/>
    </row>
    <row r="45" spans="1:1">
      <c r="A45" s="5"/>
    </row>
    <row r="46" spans="1:1">
      <c r="A46" s="5"/>
    </row>
    <row r="47" spans="1:1">
      <c r="A47" s="5"/>
    </row>
    <row r="48" spans="1:1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  <row r="54" spans="1:1">
      <c r="A54" s="5"/>
    </row>
    <row r="55" spans="1:1">
      <c r="A55" s="5"/>
    </row>
    <row r="56" spans="1:1">
      <c r="A56" s="5"/>
    </row>
    <row r="57" spans="1:1">
      <c r="A57" s="5"/>
    </row>
    <row r="58" spans="1:1">
      <c r="A58" s="5"/>
    </row>
    <row r="59" spans="1:1">
      <c r="A59" s="5"/>
    </row>
    <row r="60" spans="1:1">
      <c r="A60" s="5"/>
    </row>
    <row r="61" spans="1:1">
      <c r="A61" s="5"/>
    </row>
    <row r="62" spans="1:1">
      <c r="A62" s="5"/>
    </row>
    <row r="63" spans="1:1">
      <c r="A63" s="5"/>
    </row>
    <row r="64" spans="1:1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  <row r="82" spans="1:1">
      <c r="A82" s="5"/>
    </row>
    <row r="83" spans="1:1">
      <c r="A83" s="5"/>
    </row>
    <row r="84" spans="1:1">
      <c r="A84" s="5"/>
    </row>
    <row r="85" spans="1:1">
      <c r="A85" s="5"/>
    </row>
    <row r="86" spans="1:1">
      <c r="A86" s="5"/>
    </row>
    <row r="87" spans="1:1">
      <c r="A87" s="5"/>
    </row>
    <row r="88" spans="1:1">
      <c r="A88" s="5"/>
    </row>
    <row r="89" spans="1:1">
      <c r="A89" s="5"/>
    </row>
    <row r="90" spans="1:1">
      <c r="A90" s="5"/>
    </row>
    <row r="91" spans="1:1">
      <c r="A91" s="5"/>
    </row>
    <row r="92" spans="1:1">
      <c r="A92" s="5"/>
    </row>
    <row r="93" spans="1:1">
      <c r="A93" s="5"/>
    </row>
    <row r="94" spans="1:1">
      <c r="A94" s="5"/>
    </row>
    <row r="95" spans="1:1">
      <c r="A95" s="5"/>
    </row>
    <row r="96" spans="1:1">
      <c r="A96" s="5"/>
    </row>
    <row r="97" spans="1:1">
      <c r="A97" s="5"/>
    </row>
    <row r="98" spans="1:1">
      <c r="A98" s="5"/>
    </row>
    <row r="99" spans="1:1">
      <c r="A99" s="5"/>
    </row>
    <row r="100" spans="1:1">
      <c r="A100" s="5"/>
    </row>
    <row r="101" spans="1:1">
      <c r="A101" s="5"/>
    </row>
    <row r="102" spans="1:1">
      <c r="A102" s="5"/>
    </row>
    <row r="103" spans="1:1">
      <c r="A103" s="5"/>
    </row>
    <row r="104" spans="1:1">
      <c r="A104" s="5"/>
    </row>
    <row r="105" spans="1:1">
      <c r="A105" s="5"/>
    </row>
    <row r="106" spans="1:1">
      <c r="A106" s="5"/>
    </row>
    <row r="107" spans="1:1">
      <c r="A107" s="5"/>
    </row>
    <row r="108" spans="1:1">
      <c r="A108" s="5"/>
    </row>
    <row r="109" spans="1:1">
      <c r="A109" s="5"/>
    </row>
    <row r="110" spans="1:1">
      <c r="A110" s="5"/>
    </row>
    <row r="111" spans="1:1">
      <c r="A111" s="5"/>
    </row>
    <row r="112" spans="1:1">
      <c r="A112" s="5"/>
    </row>
    <row r="113" spans="1:1">
      <c r="A113" s="5"/>
    </row>
    <row r="114" spans="1:1">
      <c r="A114" s="5"/>
    </row>
    <row r="115" spans="1:1">
      <c r="A115" s="5"/>
    </row>
    <row r="116" spans="1:1">
      <c r="A116" s="5"/>
    </row>
    <row r="117" spans="1:1">
      <c r="A117" s="5"/>
    </row>
    <row r="118" spans="1:1">
      <c r="A118" s="5"/>
    </row>
    <row r="119" spans="1:1">
      <c r="A119" s="5"/>
    </row>
    <row r="120" spans="1:1">
      <c r="A120" s="5"/>
    </row>
    <row r="121" spans="1:1">
      <c r="A121" s="5"/>
    </row>
    <row r="122" spans="1:1">
      <c r="A122" s="5"/>
    </row>
    <row r="123" spans="1:1">
      <c r="A123" s="5"/>
    </row>
    <row r="124" spans="1:1">
      <c r="A124" s="5"/>
    </row>
    <row r="125" spans="1:1">
      <c r="A125" s="5"/>
    </row>
    <row r="126" spans="1:1">
      <c r="A126" s="5"/>
    </row>
    <row r="127" spans="1:1">
      <c r="A127" s="5"/>
    </row>
    <row r="128" spans="1:1">
      <c r="A128" s="5"/>
    </row>
    <row r="129" spans="1:1">
      <c r="A129" s="5"/>
    </row>
    <row r="130" spans="1:1">
      <c r="A130" s="5"/>
    </row>
    <row r="131" spans="1:1">
      <c r="A131" s="5"/>
    </row>
    <row r="132" spans="1:1">
      <c r="A132" s="5"/>
    </row>
    <row r="133" spans="1:1">
      <c r="A133" s="5"/>
    </row>
    <row r="134" spans="1:1">
      <c r="A134" s="5"/>
    </row>
    <row r="135" spans="1:1">
      <c r="A135" s="5"/>
    </row>
    <row r="136" spans="1:1">
      <c r="A136" s="5"/>
    </row>
    <row r="137" spans="1:1">
      <c r="A137" s="5"/>
    </row>
    <row r="138" spans="1:1">
      <c r="A138" s="5"/>
    </row>
    <row r="139" spans="1:1">
      <c r="A139" s="5"/>
    </row>
    <row r="140" spans="1:1">
      <c r="A140" s="5"/>
    </row>
    <row r="141" spans="1:1">
      <c r="A141" s="5"/>
    </row>
    <row r="142" spans="1:1">
      <c r="A142" s="5"/>
    </row>
    <row r="143" spans="1:1">
      <c r="A143" s="5"/>
    </row>
    <row r="144" spans="1:1">
      <c r="A144" s="5"/>
    </row>
    <row r="145" spans="1:1">
      <c r="A145" s="5"/>
    </row>
    <row r="146" spans="1:1">
      <c r="A146" s="5"/>
    </row>
    <row r="147" spans="1:1">
      <c r="A147" s="5"/>
    </row>
    <row r="148" spans="1:1">
      <c r="A148" s="5"/>
    </row>
    <row r="149" spans="1:1">
      <c r="A149" s="5"/>
    </row>
    <row r="150" spans="1:1">
      <c r="A150" s="5"/>
    </row>
    <row r="151" spans="1:1">
      <c r="A151" s="5"/>
    </row>
    <row r="152" spans="1:1">
      <c r="A152" s="5"/>
    </row>
    <row r="153" spans="1:1">
      <c r="A153" s="5"/>
    </row>
    <row r="154" spans="1:1">
      <c r="A154" s="5"/>
    </row>
    <row r="155" spans="1:1">
      <c r="A155" s="5"/>
    </row>
    <row r="156" spans="1:1">
      <c r="A156" s="5"/>
    </row>
    <row r="157" spans="1:1">
      <c r="A157" s="5"/>
    </row>
    <row r="158" spans="1:1">
      <c r="A158" s="5"/>
    </row>
    <row r="159" spans="1:1">
      <c r="A159" s="5"/>
    </row>
    <row r="160" spans="1:1">
      <c r="A160" s="5"/>
    </row>
    <row r="161" spans="1:1">
      <c r="A161" s="5"/>
    </row>
    <row r="162" spans="1:1">
      <c r="A162" s="5"/>
    </row>
    <row r="163" spans="1:1">
      <c r="A163" s="5"/>
    </row>
    <row r="164" spans="1:1">
      <c r="A164" s="5"/>
    </row>
    <row r="165" spans="1:1">
      <c r="A165" s="5"/>
    </row>
    <row r="166" spans="1:1">
      <c r="A166" s="5"/>
    </row>
    <row r="167" spans="1:1">
      <c r="A167" s="5"/>
    </row>
    <row r="168" spans="1:1">
      <c r="A168" s="5"/>
    </row>
    <row r="169" spans="1:1">
      <c r="A169" s="5"/>
    </row>
    <row r="170" spans="1:1">
      <c r="A170" s="5"/>
    </row>
    <row r="171" spans="1:1">
      <c r="A171" s="5"/>
    </row>
    <row r="172" spans="1:1">
      <c r="A172" s="5"/>
    </row>
    <row r="173" spans="1:1">
      <c r="A173" s="5"/>
    </row>
    <row r="174" spans="1:1">
      <c r="A174" s="5"/>
    </row>
    <row r="175" spans="1:1">
      <c r="A175" s="5"/>
    </row>
    <row r="176" spans="1:1">
      <c r="A176" s="5"/>
    </row>
    <row r="177" spans="1:1">
      <c r="A177" s="5"/>
    </row>
    <row r="178" spans="1:1">
      <c r="A178" s="5"/>
    </row>
    <row r="179" spans="1:1">
      <c r="A179" s="5"/>
    </row>
    <row r="180" spans="1:1">
      <c r="A180" s="5"/>
    </row>
    <row r="181" spans="1:1">
      <c r="A181" s="5"/>
    </row>
    <row r="182" spans="1:1">
      <c r="A182" s="5"/>
    </row>
    <row r="183" spans="1:1">
      <c r="A183" s="5"/>
    </row>
    <row r="184" spans="1:1">
      <c r="A184" s="5"/>
    </row>
    <row r="185" spans="1:1">
      <c r="A185" s="5"/>
    </row>
    <row r="186" spans="1:1">
      <c r="A186" s="5"/>
    </row>
    <row r="187" spans="1:1">
      <c r="A187" s="5"/>
    </row>
    <row r="188" spans="1:1">
      <c r="A188" s="5"/>
    </row>
    <row r="189" spans="1:1">
      <c r="A189" s="5"/>
    </row>
    <row r="190" spans="1:1">
      <c r="A190" s="5"/>
    </row>
    <row r="191" spans="1:1">
      <c r="A191" s="5"/>
    </row>
    <row r="192" spans="1:1">
      <c r="A192" s="5"/>
    </row>
    <row r="193" spans="1:1">
      <c r="A193" s="5"/>
    </row>
    <row r="194" spans="1:1">
      <c r="A194" s="5"/>
    </row>
    <row r="195" spans="1:1">
      <c r="A195" s="5"/>
    </row>
    <row r="196" spans="1:1">
      <c r="A196" s="5"/>
    </row>
    <row r="197" spans="1:1">
      <c r="A197" s="5"/>
    </row>
    <row r="198" spans="1:1">
      <c r="A198" s="5"/>
    </row>
    <row r="199" spans="1:1">
      <c r="A199" s="5"/>
    </row>
    <row r="200" spans="1:1">
      <c r="A200" s="5"/>
    </row>
    <row r="201" spans="1:1">
      <c r="A201" s="5"/>
    </row>
    <row r="202" spans="1:1">
      <c r="A202" s="5"/>
    </row>
    <row r="203" spans="1:1">
      <c r="A203" s="5"/>
    </row>
    <row r="204" spans="1:1">
      <c r="A204" s="5"/>
    </row>
    <row r="205" spans="1:1">
      <c r="A205" s="5"/>
    </row>
    <row r="206" spans="1:1">
      <c r="A206" s="5"/>
    </row>
    <row r="207" spans="1:1">
      <c r="A207" s="5"/>
    </row>
    <row r="208" spans="1:1">
      <c r="A208" s="5"/>
    </row>
    <row r="209" spans="1:1">
      <c r="A209" s="5"/>
    </row>
    <row r="210" spans="1:1">
      <c r="A210" s="5"/>
    </row>
    <row r="211" spans="1:1">
      <c r="A211" s="5"/>
    </row>
    <row r="212" spans="1:1">
      <c r="A212" s="5"/>
    </row>
    <row r="213" spans="1:1">
      <c r="A213" s="5"/>
    </row>
    <row r="214" spans="1:1">
      <c r="A214" s="5"/>
    </row>
    <row r="215" spans="1:1">
      <c r="A215" s="5"/>
    </row>
    <row r="216" spans="1:1">
      <c r="A216" s="5"/>
    </row>
    <row r="217" spans="1:1">
      <c r="A217" s="5"/>
    </row>
    <row r="218" spans="1:1">
      <c r="A218" s="5"/>
    </row>
    <row r="219" spans="1:1">
      <c r="A219" s="5"/>
    </row>
    <row r="220" spans="1:1">
      <c r="A220" s="5"/>
    </row>
    <row r="221" spans="1:1">
      <c r="A221" s="5"/>
    </row>
    <row r="222" spans="1:1">
      <c r="A222" s="5"/>
    </row>
    <row r="223" spans="1:1">
      <c r="A223" s="5"/>
    </row>
    <row r="224" spans="1:1">
      <c r="A224" s="5"/>
    </row>
    <row r="225" spans="1:1">
      <c r="A225" s="5"/>
    </row>
    <row r="226" spans="1:1">
      <c r="A226" s="5"/>
    </row>
    <row r="227" spans="1:1">
      <c r="A227" s="5"/>
    </row>
    <row r="228" spans="1:1">
      <c r="A228" s="5"/>
    </row>
    <row r="229" spans="1:1">
      <c r="A229" s="5"/>
    </row>
    <row r="230" spans="1:1">
      <c r="A230" s="5"/>
    </row>
    <row r="231" spans="1:1">
      <c r="A231" s="5"/>
    </row>
    <row r="232" spans="1:1">
      <c r="A232" s="5"/>
    </row>
    <row r="233" spans="1:1">
      <c r="A233" s="5"/>
    </row>
    <row r="234" spans="1:1">
      <c r="A234" s="5"/>
    </row>
    <row r="235" spans="1:1">
      <c r="A235" s="5"/>
    </row>
    <row r="236" spans="1:1">
      <c r="A236" s="5"/>
    </row>
    <row r="237" spans="1:1">
      <c r="A237" s="5"/>
    </row>
    <row r="238" spans="1:1">
      <c r="A238" s="5"/>
    </row>
    <row r="239" spans="1:1">
      <c r="A239" s="5"/>
    </row>
    <row r="240" spans="1:1">
      <c r="A240" s="5"/>
    </row>
    <row r="241" spans="1:1">
      <c r="A241" s="5"/>
    </row>
    <row r="242" spans="1:1">
      <c r="A242" s="5"/>
    </row>
    <row r="243" spans="1:1">
      <c r="A243" s="5"/>
    </row>
    <row r="244" spans="1:1">
      <c r="A244" s="5"/>
    </row>
    <row r="245" spans="1:1">
      <c r="A245" s="5"/>
    </row>
    <row r="246" spans="1:1">
      <c r="A246" s="5"/>
    </row>
    <row r="247" spans="1:1">
      <c r="A247" s="5"/>
    </row>
    <row r="248" spans="1:1">
      <c r="A248" s="5"/>
    </row>
    <row r="249" spans="1:1">
      <c r="A249" s="5"/>
    </row>
    <row r="250" spans="1:1">
      <c r="A250" s="5"/>
    </row>
    <row r="251" spans="1:1">
      <c r="A251" s="5"/>
    </row>
    <row r="252" spans="1:1">
      <c r="A252" s="5"/>
    </row>
    <row r="253" spans="1:1">
      <c r="A253" s="5"/>
    </row>
    <row r="254" spans="1:1">
      <c r="A254" s="5"/>
    </row>
    <row r="255" spans="1:1">
      <c r="A255" s="5"/>
    </row>
    <row r="256" spans="1:1">
      <c r="A256" s="5"/>
    </row>
    <row r="257" spans="1:1">
      <c r="A257" s="5"/>
    </row>
    <row r="258" spans="1:1">
      <c r="A258" s="5"/>
    </row>
    <row r="259" spans="1:1">
      <c r="A259" s="5"/>
    </row>
    <row r="260" spans="1:1">
      <c r="A260" s="5"/>
    </row>
    <row r="261" spans="1:1">
      <c r="A261" s="5"/>
    </row>
    <row r="262" spans="1:1">
      <c r="A262" s="5"/>
    </row>
    <row r="263" spans="1:1">
      <c r="A263" s="5"/>
    </row>
    <row r="264" spans="1:1">
      <c r="A264" s="5"/>
    </row>
    <row r="265" spans="1:1">
      <c r="A265" s="5"/>
    </row>
    <row r="266" spans="1:1">
      <c r="A266" s="5"/>
    </row>
    <row r="267" spans="1:1">
      <c r="A267" s="5"/>
    </row>
    <row r="268" spans="1:1">
      <c r="A268" s="5"/>
    </row>
    <row r="269" spans="1:1">
      <c r="A269" s="5"/>
    </row>
    <row r="270" spans="1:1">
      <c r="A270" s="5"/>
    </row>
    <row r="271" spans="1:1">
      <c r="A271" s="5"/>
    </row>
    <row r="272" spans="1:1">
      <c r="A272" s="5"/>
    </row>
    <row r="273" spans="1:1">
      <c r="A273" s="5"/>
    </row>
    <row r="274" spans="1:1">
      <c r="A274" s="5"/>
    </row>
    <row r="275" spans="1:1">
      <c r="A275" s="5"/>
    </row>
    <row r="276" spans="1:1">
      <c r="A276" s="5"/>
    </row>
    <row r="277" spans="1:1">
      <c r="A277" s="5"/>
    </row>
    <row r="278" spans="1:1">
      <c r="A278" s="5"/>
    </row>
    <row r="279" spans="1:1">
      <c r="A279" s="5"/>
    </row>
    <row r="280" spans="1:1">
      <c r="A280" s="5"/>
    </row>
    <row r="281" spans="1:1">
      <c r="A281" s="5"/>
    </row>
    <row r="282" spans="1:1">
      <c r="A282" s="5"/>
    </row>
    <row r="283" spans="1:1">
      <c r="A283" s="5"/>
    </row>
    <row r="284" spans="1:1">
      <c r="A284" s="5"/>
    </row>
    <row r="285" spans="1:1">
      <c r="A285" s="5"/>
    </row>
    <row r="286" spans="1:1">
      <c r="A286" s="5"/>
    </row>
    <row r="287" spans="1:1">
      <c r="A287" s="5"/>
    </row>
    <row r="288" spans="1:1">
      <c r="A288" s="5"/>
    </row>
    <row r="289" spans="1:1">
      <c r="A289" s="5"/>
    </row>
    <row r="290" spans="1:1">
      <c r="A290" s="5"/>
    </row>
    <row r="291" spans="1:1">
      <c r="A291" s="5"/>
    </row>
    <row r="292" spans="1:1">
      <c r="A292" s="5"/>
    </row>
    <row r="293" spans="1:1">
      <c r="A293" s="5"/>
    </row>
    <row r="294" spans="1:1">
      <c r="A294" s="5"/>
    </row>
    <row r="295" spans="1:1">
      <c r="A295" s="5"/>
    </row>
    <row r="296" spans="1:1">
      <c r="A296" s="5"/>
    </row>
    <row r="297" spans="1:1">
      <c r="A297" s="5"/>
    </row>
    <row r="298" spans="1:1">
      <c r="A298" s="5"/>
    </row>
    <row r="299" spans="1:1">
      <c r="A299" s="5"/>
    </row>
    <row r="300" spans="1:1">
      <c r="A300" s="5"/>
    </row>
    <row r="301" spans="1:1">
      <c r="A301" s="5"/>
    </row>
    <row r="302" spans="1:1">
      <c r="A302" s="5"/>
    </row>
    <row r="303" spans="1:1">
      <c r="A303" s="5"/>
    </row>
    <row r="304" spans="1:1">
      <c r="A304" s="5"/>
    </row>
    <row r="305" spans="1:1">
      <c r="A305" s="5"/>
    </row>
    <row r="306" spans="1:1">
      <c r="A306" s="5"/>
    </row>
    <row r="307" spans="1:1">
      <c r="A307" s="5"/>
    </row>
    <row r="308" spans="1:1">
      <c r="A308" s="5"/>
    </row>
    <row r="309" spans="1:1">
      <c r="A309" s="5"/>
    </row>
    <row r="310" spans="1:1">
      <c r="A310" s="5"/>
    </row>
    <row r="311" spans="1:1">
      <c r="A311" s="5"/>
    </row>
    <row r="312" spans="1:1">
      <c r="A312" s="5"/>
    </row>
    <row r="313" spans="1:1">
      <c r="A313" s="5"/>
    </row>
    <row r="314" spans="1:1">
      <c r="A314" s="5"/>
    </row>
    <row r="315" spans="1:1">
      <c r="A315" s="5"/>
    </row>
    <row r="316" spans="1:1">
      <c r="A316" s="5"/>
    </row>
    <row r="317" spans="1:1">
      <c r="A317" s="5"/>
    </row>
    <row r="318" spans="1:1">
      <c r="A318" s="5"/>
    </row>
    <row r="319" spans="1:1">
      <c r="A319" s="5"/>
    </row>
    <row r="320" spans="1:1">
      <c r="A320" s="5"/>
    </row>
    <row r="321" spans="1:1">
      <c r="A321" s="5"/>
    </row>
    <row r="322" spans="1:1">
      <c r="A322" s="5"/>
    </row>
    <row r="323" spans="1:1">
      <c r="A323" s="5"/>
    </row>
    <row r="324" spans="1:1">
      <c r="A324" s="5"/>
    </row>
    <row r="325" spans="1:1">
      <c r="A325" s="5"/>
    </row>
    <row r="326" spans="1:1">
      <c r="A326" s="5"/>
    </row>
    <row r="327" spans="1:1">
      <c r="A327" s="5"/>
    </row>
    <row r="328" spans="1:1">
      <c r="A328" s="5"/>
    </row>
    <row r="329" spans="1:1">
      <c r="A329" s="5"/>
    </row>
    <row r="330" spans="1:1">
      <c r="A330" s="5"/>
    </row>
    <row r="331" spans="1:1">
      <c r="A331" s="5"/>
    </row>
    <row r="332" spans="1:1">
      <c r="A332" s="5"/>
    </row>
    <row r="333" spans="1:1">
      <c r="A333" s="5"/>
    </row>
    <row r="334" spans="1:1">
      <c r="A334" s="5"/>
    </row>
    <row r="335" spans="1:1">
      <c r="A335" s="5"/>
    </row>
    <row r="336" spans="1:1">
      <c r="A336" s="5"/>
    </row>
    <row r="337" spans="1:1">
      <c r="A337" s="5"/>
    </row>
    <row r="338" spans="1:1">
      <c r="A338" s="5"/>
    </row>
    <row r="339" spans="1:1">
      <c r="A339" s="5"/>
    </row>
    <row r="340" spans="1:1">
      <c r="A340" s="5"/>
    </row>
    <row r="341" spans="1:1">
      <c r="A341" s="5"/>
    </row>
    <row r="342" spans="1:1">
      <c r="A342" s="5"/>
    </row>
    <row r="343" spans="1:1">
      <c r="A343" s="5"/>
    </row>
    <row r="344" spans="1:1">
      <c r="A344" s="5"/>
    </row>
    <row r="345" spans="1:1">
      <c r="A345" s="5"/>
    </row>
    <row r="346" spans="1:1">
      <c r="A346" s="5"/>
    </row>
    <row r="347" spans="1:1">
      <c r="A347" s="5"/>
    </row>
    <row r="348" spans="1:1">
      <c r="A348" s="5"/>
    </row>
    <row r="349" spans="1:1">
      <c r="A349" s="5"/>
    </row>
    <row r="350" spans="1:1">
      <c r="A350" s="5"/>
    </row>
    <row r="351" spans="1:1">
      <c r="A351" s="5"/>
    </row>
    <row r="352" spans="1:1">
      <c r="A352" s="5"/>
    </row>
    <row r="353" spans="1:1">
      <c r="A353" s="5"/>
    </row>
    <row r="354" spans="1:1">
      <c r="A354" s="5"/>
    </row>
    <row r="355" spans="1:1">
      <c r="A355" s="5"/>
    </row>
    <row r="356" spans="1:1">
      <c r="A356" s="5"/>
    </row>
    <row r="357" spans="1:1">
      <c r="A357" s="5"/>
    </row>
    <row r="358" spans="1:1">
      <c r="A358" s="5"/>
    </row>
    <row r="359" spans="1:1">
      <c r="A359" s="5"/>
    </row>
    <row r="360" spans="1:1">
      <c r="A360" s="5"/>
    </row>
    <row r="361" spans="1:1">
      <c r="A361" s="5"/>
    </row>
    <row r="362" spans="1:1">
      <c r="A362" s="5"/>
    </row>
    <row r="363" spans="1:1">
      <c r="A363" s="5"/>
    </row>
    <row r="364" spans="1:1">
      <c r="A364" s="5"/>
    </row>
    <row r="365" spans="1:1">
      <c r="A365" s="5"/>
    </row>
    <row r="366" spans="1:1">
      <c r="A366" s="5"/>
    </row>
    <row r="367" spans="1:1">
      <c r="A367" s="5"/>
    </row>
    <row r="368" spans="1:1">
      <c r="A368" s="5"/>
    </row>
    <row r="369" spans="1:1">
      <c r="A369" s="5"/>
    </row>
    <row r="370" spans="1:1">
      <c r="A370" s="5"/>
    </row>
    <row r="371" spans="1:1">
      <c r="A371" s="5"/>
    </row>
    <row r="372" spans="1:1">
      <c r="A372" s="5"/>
    </row>
    <row r="373" spans="1:1">
      <c r="A373" s="5"/>
    </row>
    <row r="374" spans="1:1">
      <c r="A374" s="5"/>
    </row>
    <row r="375" spans="1:1">
      <c r="A375" s="5"/>
    </row>
    <row r="376" spans="1:1">
      <c r="A376" s="5"/>
    </row>
    <row r="377" spans="1:1">
      <c r="A377" s="5"/>
    </row>
    <row r="378" spans="1:1">
      <c r="A378" s="5"/>
    </row>
    <row r="379" spans="1:1">
      <c r="A379" s="5"/>
    </row>
    <row r="380" spans="1:1">
      <c r="A380" s="5"/>
    </row>
    <row r="381" spans="1:1">
      <c r="A381" s="5"/>
    </row>
    <row r="382" spans="1:1">
      <c r="A382" s="5"/>
    </row>
    <row r="383" spans="1:1">
      <c r="A383" s="5"/>
    </row>
    <row r="384" spans="1:1">
      <c r="A384" s="5"/>
    </row>
    <row r="385" spans="1:1">
      <c r="A385" s="5"/>
    </row>
    <row r="386" spans="1:1">
      <c r="A386" s="5"/>
    </row>
    <row r="387" spans="1:1">
      <c r="A387" s="5"/>
    </row>
    <row r="388" spans="1:1">
      <c r="A388" s="5"/>
    </row>
    <row r="389" spans="1:1">
      <c r="A389" s="5"/>
    </row>
    <row r="390" spans="1:1">
      <c r="A390" s="5"/>
    </row>
    <row r="391" spans="1:1">
      <c r="A391" s="5"/>
    </row>
    <row r="392" spans="1:1">
      <c r="A392" s="5"/>
    </row>
    <row r="393" spans="1:1">
      <c r="A393" s="5"/>
    </row>
    <row r="394" spans="1:1">
      <c r="A394" s="5"/>
    </row>
    <row r="395" spans="1:1">
      <c r="A395" s="5"/>
    </row>
    <row r="396" spans="1:1">
      <c r="A396" s="5"/>
    </row>
    <row r="397" spans="1:1">
      <c r="A397" s="5"/>
    </row>
    <row r="398" spans="1:1">
      <c r="A398" s="5"/>
    </row>
    <row r="399" spans="1:1">
      <c r="A399" s="5"/>
    </row>
    <row r="400" spans="1:1">
      <c r="A400" s="5"/>
    </row>
    <row r="401" spans="1:1">
      <c r="A401" s="5"/>
    </row>
    <row r="402" spans="1:1">
      <c r="A402" s="5"/>
    </row>
    <row r="403" spans="1:1">
      <c r="A403" s="5"/>
    </row>
    <row r="404" spans="1:1">
      <c r="A404" s="5"/>
    </row>
    <row r="405" spans="1:1">
      <c r="A405" s="5"/>
    </row>
    <row r="406" spans="1:1">
      <c r="A406" s="5"/>
    </row>
    <row r="407" spans="1:1">
      <c r="A407" s="5"/>
    </row>
    <row r="408" spans="1:1">
      <c r="A408" s="5"/>
    </row>
    <row r="409" spans="1:1">
      <c r="A409" s="5"/>
    </row>
    <row r="410" spans="1:1">
      <c r="A410" s="5"/>
    </row>
    <row r="411" spans="1:1">
      <c r="A411" s="5"/>
    </row>
    <row r="412" spans="1:1">
      <c r="A412" s="5"/>
    </row>
    <row r="413" spans="1:1">
      <c r="A413" s="5"/>
    </row>
    <row r="414" spans="1:1">
      <c r="A414" s="5"/>
    </row>
    <row r="415" spans="1:1">
      <c r="A415" s="5"/>
    </row>
    <row r="416" spans="1:1">
      <c r="A416" s="5"/>
    </row>
    <row r="417" spans="1:1">
      <c r="A417" s="5"/>
    </row>
    <row r="418" spans="1:1">
      <c r="A418" s="5"/>
    </row>
    <row r="419" spans="1:1">
      <c r="A419" s="5"/>
    </row>
    <row r="420" spans="1:1">
      <c r="A420" s="5"/>
    </row>
    <row r="421" spans="1:1">
      <c r="A421" s="5"/>
    </row>
    <row r="422" spans="1:1">
      <c r="A422" s="5"/>
    </row>
    <row r="423" spans="1:1">
      <c r="A423" s="5"/>
    </row>
    <row r="424" spans="1:1">
      <c r="A424" s="5"/>
    </row>
    <row r="425" spans="1:1">
      <c r="A425" s="5"/>
    </row>
    <row r="426" spans="1:1">
      <c r="A426" s="5"/>
    </row>
    <row r="427" spans="1:1">
      <c r="A427" s="5"/>
    </row>
    <row r="428" spans="1:1">
      <c r="A428" s="5"/>
    </row>
    <row r="429" spans="1:1">
      <c r="A429" s="5"/>
    </row>
    <row r="430" spans="1:1">
      <c r="A430" s="5"/>
    </row>
    <row r="431" spans="1:1">
      <c r="A431" s="5"/>
    </row>
    <row r="432" spans="1:1">
      <c r="A432" s="5"/>
    </row>
    <row r="433" spans="1:1">
      <c r="A433" s="5"/>
    </row>
    <row r="434" spans="1:1">
      <c r="A434" s="5"/>
    </row>
    <row r="435" spans="1:1">
      <c r="A435" s="5"/>
    </row>
    <row r="436" spans="1:1">
      <c r="A436" s="5"/>
    </row>
    <row r="437" spans="1:1">
      <c r="A437" s="5"/>
    </row>
    <row r="438" spans="1:1">
      <c r="A438" s="5"/>
    </row>
    <row r="439" spans="1:1">
      <c r="A439" s="5"/>
    </row>
    <row r="440" spans="1:1">
      <c r="A440" s="5"/>
    </row>
    <row r="441" spans="1:1">
      <c r="A441" s="5"/>
    </row>
    <row r="442" spans="1:1">
      <c r="A442" s="5"/>
    </row>
    <row r="443" spans="1:1">
      <c r="A443" s="5"/>
    </row>
    <row r="444" spans="1:1">
      <c r="A444" s="5"/>
    </row>
    <row r="445" spans="1:1">
      <c r="A445" s="5"/>
    </row>
    <row r="446" spans="1:1">
      <c r="A446" s="5"/>
    </row>
    <row r="447" spans="1:1">
      <c r="A447" s="5"/>
    </row>
    <row r="448" spans="1:1">
      <c r="A448" s="5"/>
    </row>
    <row r="449" spans="1:1">
      <c r="A449" s="5"/>
    </row>
    <row r="450" spans="1:1">
      <c r="A450" s="5"/>
    </row>
    <row r="451" spans="1:1">
      <c r="A451" s="5"/>
    </row>
    <row r="452" spans="1:1">
      <c r="A452" s="5"/>
    </row>
    <row r="453" spans="1:1">
      <c r="A453" s="5"/>
    </row>
    <row r="454" spans="1:1">
      <c r="A454" s="5"/>
    </row>
    <row r="455" spans="1:1">
      <c r="A455" s="5"/>
    </row>
    <row r="456" spans="1:1">
      <c r="A456" s="5"/>
    </row>
    <row r="457" spans="1:1">
      <c r="A457" s="5"/>
    </row>
    <row r="458" spans="1:1">
      <c r="A458" s="5"/>
    </row>
    <row r="459" spans="1:1">
      <c r="A459" s="5"/>
    </row>
    <row r="460" spans="1:1">
      <c r="A460" s="5"/>
    </row>
    <row r="461" spans="1:1">
      <c r="A461" s="5"/>
    </row>
    <row r="462" spans="1:1">
      <c r="A462" s="5"/>
    </row>
    <row r="463" spans="1:1">
      <c r="A463" s="5"/>
    </row>
    <row r="464" spans="1:1">
      <c r="A464" s="5"/>
    </row>
    <row r="465" spans="1:1">
      <c r="A465" s="5"/>
    </row>
    <row r="466" spans="1:1">
      <c r="A466" s="5"/>
    </row>
    <row r="467" spans="1:1">
      <c r="A467" s="5"/>
    </row>
    <row r="468" spans="1:1">
      <c r="A468" s="5"/>
    </row>
    <row r="469" spans="1:1">
      <c r="A469" s="5"/>
    </row>
    <row r="470" spans="1:1">
      <c r="A470" s="5"/>
    </row>
    <row r="471" spans="1:1">
      <c r="A471" s="5"/>
    </row>
    <row r="472" spans="1:1">
      <c r="A472" s="5"/>
    </row>
    <row r="473" spans="1:1">
      <c r="A473" s="5"/>
    </row>
    <row r="474" spans="1:1">
      <c r="A474" s="5"/>
    </row>
    <row r="475" spans="1:1">
      <c r="A475" s="5"/>
    </row>
    <row r="476" spans="1:1">
      <c r="A476" s="5"/>
    </row>
    <row r="477" spans="1:1">
      <c r="A477" s="5"/>
    </row>
    <row r="478" spans="1:1">
      <c r="A478" s="5"/>
    </row>
    <row r="479" spans="1:1">
      <c r="A479" s="5"/>
    </row>
    <row r="480" spans="1:1">
      <c r="A480" s="5"/>
    </row>
    <row r="481" spans="1:1">
      <c r="A481" s="5"/>
    </row>
    <row r="482" spans="1:1">
      <c r="A482" s="5"/>
    </row>
    <row r="483" spans="1:1">
      <c r="A483" s="5"/>
    </row>
    <row r="484" spans="1:1">
      <c r="A484" s="5"/>
    </row>
    <row r="485" spans="1:1">
      <c r="A485" s="5"/>
    </row>
    <row r="486" spans="1:1">
      <c r="A486" s="5"/>
    </row>
    <row r="487" spans="1:1">
      <c r="A487" s="5"/>
    </row>
    <row r="488" spans="1:1">
      <c r="A488" s="5"/>
    </row>
    <row r="489" spans="1:1">
      <c r="A489" s="5"/>
    </row>
    <row r="490" spans="1:1">
      <c r="A490" s="5"/>
    </row>
    <row r="491" spans="1:1">
      <c r="A491" s="5"/>
    </row>
    <row r="492" spans="1:1">
      <c r="A492" s="5"/>
    </row>
    <row r="493" spans="1:1">
      <c r="A493" s="5"/>
    </row>
    <row r="494" spans="1:1">
      <c r="A494" s="5"/>
    </row>
    <row r="495" spans="1:1">
      <c r="A495" s="5"/>
    </row>
    <row r="496" spans="1:1">
      <c r="A496" s="5"/>
    </row>
    <row r="497" spans="1:1">
      <c r="A497" s="5"/>
    </row>
    <row r="498" spans="1:1">
      <c r="A498" s="5"/>
    </row>
    <row r="499" spans="1:1">
      <c r="A499" s="5"/>
    </row>
    <row r="500" spans="1:1">
      <c r="A500" s="5"/>
    </row>
    <row r="501" spans="1:1">
      <c r="A501" s="5"/>
    </row>
    <row r="502" spans="1:1">
      <c r="A502" s="5"/>
    </row>
    <row r="503" spans="1:1">
      <c r="A503" s="5"/>
    </row>
    <row r="504" spans="1:1">
      <c r="A504" s="5"/>
    </row>
    <row r="505" spans="1:1">
      <c r="A505" s="5"/>
    </row>
    <row r="506" spans="1:1">
      <c r="A506" s="5"/>
    </row>
    <row r="507" spans="1:1">
      <c r="A507" s="5"/>
    </row>
    <row r="508" spans="1:1">
      <c r="A508" s="5"/>
    </row>
    <row r="509" spans="1:1">
      <c r="A509" s="5"/>
    </row>
    <row r="510" spans="1:1">
      <c r="A510" s="5"/>
    </row>
    <row r="511" spans="1:1">
      <c r="A511" s="5"/>
    </row>
    <row r="512" spans="1:1">
      <c r="A512" s="5"/>
    </row>
    <row r="513" spans="1:1">
      <c r="A513" s="5"/>
    </row>
    <row r="514" spans="1:1">
      <c r="A514" s="5"/>
    </row>
    <row r="515" spans="1:1">
      <c r="A515" s="5"/>
    </row>
    <row r="516" spans="1:1">
      <c r="A516" s="5"/>
    </row>
    <row r="517" spans="1:1">
      <c r="A517" s="5"/>
    </row>
    <row r="518" spans="1:1">
      <c r="A518" s="5"/>
    </row>
    <row r="519" spans="1:1">
      <c r="A519" s="5"/>
    </row>
    <row r="520" spans="1:1">
      <c r="A520" s="5"/>
    </row>
    <row r="521" spans="1:1">
      <c r="A521" s="5"/>
    </row>
    <row r="522" spans="1:1">
      <c r="A522" s="5"/>
    </row>
    <row r="523" spans="1:1">
      <c r="A523" s="5"/>
    </row>
    <row r="524" spans="1:1">
      <c r="A524" s="5"/>
    </row>
    <row r="525" spans="1:1">
      <c r="A525" s="5"/>
    </row>
    <row r="526" spans="1:1">
      <c r="A526" s="5"/>
    </row>
    <row r="527" spans="1:1">
      <c r="A527" s="5"/>
    </row>
    <row r="528" spans="1:1">
      <c r="A528" s="5"/>
    </row>
    <row r="529" spans="1:1">
      <c r="A529" s="5"/>
    </row>
    <row r="530" spans="1:1">
      <c r="A530" s="5"/>
    </row>
    <row r="531" spans="1:1">
      <c r="A531" s="5"/>
    </row>
    <row r="532" spans="1:1">
      <c r="A532" s="5"/>
    </row>
    <row r="533" spans="1:1">
      <c r="A533" s="5"/>
    </row>
    <row r="534" spans="1:1">
      <c r="A534" s="5"/>
    </row>
    <row r="535" spans="1:1">
      <c r="A535" s="5"/>
    </row>
    <row r="536" spans="1:1">
      <c r="A536" s="5"/>
    </row>
    <row r="537" spans="1:1">
      <c r="A537" s="5"/>
    </row>
    <row r="538" spans="1:1">
      <c r="A538" s="5"/>
    </row>
    <row r="539" spans="1:1">
      <c r="A539" s="5"/>
    </row>
    <row r="540" spans="1:1">
      <c r="A540" s="5"/>
    </row>
    <row r="541" spans="1:1">
      <c r="A541" s="5"/>
    </row>
    <row r="542" spans="1:1">
      <c r="A542" s="5"/>
    </row>
    <row r="543" spans="1:1">
      <c r="A543" s="5"/>
    </row>
    <row r="544" spans="1:1">
      <c r="A544" s="5"/>
    </row>
    <row r="545" spans="1:1">
      <c r="A545" s="5"/>
    </row>
    <row r="546" spans="1:1">
      <c r="A546" s="5"/>
    </row>
    <row r="547" spans="1:1">
      <c r="A547" s="5"/>
    </row>
    <row r="548" spans="1:1">
      <c r="A548" s="5"/>
    </row>
    <row r="549" spans="1:1">
      <c r="A549" s="5"/>
    </row>
    <row r="550" spans="1:1">
      <c r="A550" s="5"/>
    </row>
    <row r="551" spans="1:1">
      <c r="A551" s="5"/>
    </row>
    <row r="552" spans="1:1">
      <c r="A552" s="5"/>
    </row>
    <row r="553" spans="1:1">
      <c r="A553" s="5"/>
    </row>
    <row r="554" spans="1:1">
      <c r="A554" s="5"/>
    </row>
    <row r="555" spans="1:1">
      <c r="A555" s="5"/>
    </row>
    <row r="556" spans="1:1">
      <c r="A556" s="5"/>
    </row>
    <row r="557" spans="1:1">
      <c r="A557" s="5"/>
    </row>
    <row r="558" spans="1:1">
      <c r="A558" s="5"/>
    </row>
    <row r="559" spans="1:1">
      <c r="A559" s="5"/>
    </row>
    <row r="560" spans="1:1">
      <c r="A560" s="5"/>
    </row>
    <row r="561" spans="1:1">
      <c r="A561" s="5"/>
    </row>
    <row r="562" spans="1:1">
      <c r="A562" s="5"/>
    </row>
    <row r="563" spans="1:1">
      <c r="A563" s="5"/>
    </row>
    <row r="564" spans="1:1">
      <c r="A564" s="5"/>
    </row>
    <row r="565" spans="1:1">
      <c r="A565" s="5"/>
    </row>
    <row r="566" spans="1:1">
      <c r="A566" s="5"/>
    </row>
    <row r="567" spans="1:1">
      <c r="A567" s="5"/>
    </row>
    <row r="568" spans="1:1">
      <c r="A568" s="5"/>
    </row>
    <row r="569" spans="1:1">
      <c r="A569" s="5"/>
    </row>
    <row r="570" spans="1:1">
      <c r="A570" s="5"/>
    </row>
    <row r="571" spans="1:1">
      <c r="A571" s="5"/>
    </row>
    <row r="572" spans="1:1">
      <c r="A572" s="5"/>
    </row>
    <row r="573" spans="1:1">
      <c r="A573" s="5"/>
    </row>
    <row r="574" spans="1:1">
      <c r="A574" s="5"/>
    </row>
    <row r="575" spans="1:1">
      <c r="A575" s="5"/>
    </row>
    <row r="576" spans="1:1">
      <c r="A576" s="5"/>
    </row>
    <row r="577" spans="1:1">
      <c r="A577" s="5"/>
    </row>
    <row r="578" spans="1:1">
      <c r="A578" s="5"/>
    </row>
    <row r="579" spans="1:1">
      <c r="A579" s="5"/>
    </row>
    <row r="580" spans="1:1">
      <c r="A580" s="5"/>
    </row>
    <row r="581" spans="1:1">
      <c r="A581" s="5"/>
    </row>
    <row r="582" spans="1:1">
      <c r="A582" s="5"/>
    </row>
    <row r="583" spans="1:1">
      <c r="A583" s="5"/>
    </row>
    <row r="584" spans="1:1">
      <c r="A584" s="5"/>
    </row>
    <row r="585" spans="1:1">
      <c r="A585" s="5"/>
    </row>
    <row r="586" spans="1:1">
      <c r="A586" s="5"/>
    </row>
    <row r="587" spans="1:1">
      <c r="A587" s="5"/>
    </row>
    <row r="588" spans="1:1">
      <c r="A588" s="5"/>
    </row>
    <row r="589" spans="1:1">
      <c r="A589" s="5"/>
    </row>
    <row r="590" spans="1:1">
      <c r="A590" s="5"/>
    </row>
    <row r="591" spans="1:1">
      <c r="A591" s="5"/>
    </row>
    <row r="592" spans="1:1">
      <c r="A592" s="5"/>
    </row>
    <row r="593" spans="1:1">
      <c r="A593" s="5"/>
    </row>
    <row r="594" spans="1:1">
      <c r="A594" s="5"/>
    </row>
    <row r="595" spans="1:1">
      <c r="A595" s="5"/>
    </row>
    <row r="596" spans="1:1">
      <c r="A596" s="5"/>
    </row>
    <row r="597" spans="1:1">
      <c r="A597" s="5"/>
    </row>
    <row r="598" spans="1:1">
      <c r="A598" s="5"/>
    </row>
    <row r="599" spans="1:1">
      <c r="A599" s="5"/>
    </row>
    <row r="600" spans="1:1">
      <c r="A600" s="5"/>
    </row>
    <row r="601" spans="1:1">
      <c r="A601" s="5"/>
    </row>
    <row r="602" spans="1:1">
      <c r="A602" s="5"/>
    </row>
    <row r="603" spans="1:1">
      <c r="A603" s="5"/>
    </row>
    <row r="604" spans="1:1">
      <c r="A604" s="5"/>
    </row>
    <row r="605" spans="1:1">
      <c r="A605" s="5"/>
    </row>
    <row r="606" spans="1:1">
      <c r="A606" s="5"/>
    </row>
    <row r="607" spans="1:1">
      <c r="A607" s="5"/>
    </row>
    <row r="608" spans="1:1">
      <c r="A608" s="5"/>
    </row>
    <row r="609" spans="1:1">
      <c r="A609" s="5"/>
    </row>
    <row r="610" spans="1:1">
      <c r="A610" s="5"/>
    </row>
    <row r="611" spans="1:1">
      <c r="A611" s="5"/>
    </row>
    <row r="612" spans="1:1">
      <c r="A612" s="5"/>
    </row>
    <row r="613" spans="1:1">
      <c r="A613" s="5"/>
    </row>
    <row r="614" spans="1:1">
      <c r="A614" s="5"/>
    </row>
    <row r="615" spans="1:1">
      <c r="A615" s="5"/>
    </row>
    <row r="616" spans="1:1">
      <c r="A616" s="5"/>
    </row>
    <row r="617" spans="1:1">
      <c r="A617" s="5"/>
    </row>
    <row r="618" spans="1:1">
      <c r="A618" s="5"/>
    </row>
    <row r="619" spans="1:1">
      <c r="A619" s="5"/>
    </row>
    <row r="620" spans="1:1">
      <c r="A620" s="5"/>
    </row>
    <row r="621" spans="1:1">
      <c r="A621" s="5"/>
    </row>
    <row r="622" spans="1:1">
      <c r="A622" s="5"/>
    </row>
    <row r="623" spans="1:1">
      <c r="A623" s="5"/>
    </row>
    <row r="624" spans="1:1">
      <c r="A624" s="5"/>
    </row>
    <row r="625" spans="1:1">
      <c r="A625" s="5"/>
    </row>
    <row r="626" spans="1:1">
      <c r="A626" s="5"/>
    </row>
    <row r="627" spans="1:1">
      <c r="A627" s="5"/>
    </row>
    <row r="628" spans="1:1">
      <c r="A628" s="5"/>
    </row>
    <row r="629" spans="1:1">
      <c r="A629" s="5"/>
    </row>
    <row r="630" spans="1:1">
      <c r="A630" s="5"/>
    </row>
    <row r="631" spans="1:1">
      <c r="A631" s="5"/>
    </row>
    <row r="632" spans="1:1">
      <c r="A632" s="5"/>
    </row>
    <row r="633" spans="1:1">
      <c r="A633" s="5"/>
    </row>
    <row r="634" spans="1:1">
      <c r="A634" s="5"/>
    </row>
    <row r="635" spans="1:1">
      <c r="A635" s="5"/>
    </row>
    <row r="636" spans="1:1">
      <c r="A636" s="5"/>
    </row>
    <row r="637" spans="1:1">
      <c r="A637" s="5"/>
    </row>
    <row r="638" spans="1:1">
      <c r="A638" s="5"/>
    </row>
    <row r="639" spans="1:1">
      <c r="A639" s="5"/>
    </row>
    <row r="640" spans="1:1">
      <c r="A640" s="5"/>
    </row>
    <row r="641" spans="1:1">
      <c r="A641" s="5"/>
    </row>
    <row r="642" spans="1:1">
      <c r="A642" s="5"/>
    </row>
    <row r="643" spans="1:1">
      <c r="A643" s="5"/>
    </row>
    <row r="644" spans="1:1">
      <c r="A644" s="5"/>
    </row>
    <row r="645" spans="1:1">
      <c r="A645" s="5"/>
    </row>
    <row r="646" spans="1:1">
      <c r="A646" s="5"/>
    </row>
    <row r="647" spans="1:1">
      <c r="A647" s="5"/>
    </row>
    <row r="648" spans="1:1">
      <c r="A648" s="5"/>
    </row>
    <row r="649" spans="1:1">
      <c r="A649" s="5"/>
    </row>
    <row r="650" spans="1:1">
      <c r="A650" s="5"/>
    </row>
    <row r="651" spans="1:1">
      <c r="A651" s="5"/>
    </row>
    <row r="652" spans="1:1">
      <c r="A652" s="5"/>
    </row>
    <row r="653" spans="1:1">
      <c r="A653" s="5"/>
    </row>
    <row r="654" spans="1:1">
      <c r="A654" s="5"/>
    </row>
    <row r="655" spans="1:1">
      <c r="A655" s="5"/>
    </row>
    <row r="656" spans="1:1">
      <c r="A656" s="5"/>
    </row>
    <row r="657" spans="1:1">
      <c r="A657" s="5"/>
    </row>
    <row r="658" spans="1:1">
      <c r="A658" s="5"/>
    </row>
    <row r="659" spans="1:1">
      <c r="A659" s="5"/>
    </row>
    <row r="660" spans="1:1">
      <c r="A660" s="5"/>
    </row>
    <row r="661" spans="1:1">
      <c r="A661" s="5"/>
    </row>
    <row r="662" spans="1:1">
      <c r="A662" s="5"/>
    </row>
    <row r="663" spans="1:1">
      <c r="A663" s="5"/>
    </row>
    <row r="664" spans="1:1">
      <c r="A664" s="5"/>
    </row>
    <row r="665" spans="1:1">
      <c r="A665" s="5"/>
    </row>
    <row r="666" spans="1:1">
      <c r="A666" s="5"/>
    </row>
    <row r="667" spans="1:1">
      <c r="A667" s="5"/>
    </row>
    <row r="668" spans="1:1">
      <c r="A668" s="5"/>
    </row>
    <row r="669" spans="1:1">
      <c r="A669" s="5"/>
    </row>
    <row r="670" spans="1:1">
      <c r="A670" s="5"/>
    </row>
    <row r="671" spans="1:1">
      <c r="A671" s="5"/>
    </row>
    <row r="672" spans="1:1">
      <c r="A672" s="5"/>
    </row>
    <row r="673" spans="1:1">
      <c r="A673" s="5"/>
    </row>
    <row r="674" spans="1:1">
      <c r="A674" s="5"/>
    </row>
    <row r="675" spans="1:1">
      <c r="A675" s="5"/>
    </row>
    <row r="676" spans="1:1">
      <c r="A676" s="5"/>
    </row>
    <row r="677" spans="1:1">
      <c r="A677" s="5"/>
    </row>
    <row r="678" spans="1:1">
      <c r="A678" s="5"/>
    </row>
    <row r="679" spans="1:1">
      <c r="A679" s="5"/>
    </row>
    <row r="680" spans="1:1">
      <c r="A680" s="5"/>
    </row>
    <row r="681" spans="1:1">
      <c r="A681" s="5"/>
    </row>
    <row r="682" spans="1:1">
      <c r="A682" s="5"/>
    </row>
    <row r="683" spans="1:1">
      <c r="A683" s="5"/>
    </row>
    <row r="684" spans="1:1">
      <c r="A684" s="5"/>
    </row>
    <row r="685" spans="1:1">
      <c r="A685" s="5"/>
    </row>
    <row r="686" spans="1:1">
      <c r="A686" s="5"/>
    </row>
    <row r="687" spans="1:1">
      <c r="A687" s="5"/>
    </row>
    <row r="688" spans="1:1">
      <c r="A688" s="5"/>
    </row>
    <row r="689" spans="1:1">
      <c r="A689" s="5"/>
    </row>
    <row r="690" spans="1:1">
      <c r="A690" s="5"/>
    </row>
    <row r="691" spans="1:1">
      <c r="A691" s="5"/>
    </row>
    <row r="692" spans="1:1">
      <c r="A692" s="5"/>
    </row>
    <row r="693" spans="1:1">
      <c r="A693" s="5"/>
    </row>
    <row r="694" spans="1:1">
      <c r="A694" s="5"/>
    </row>
    <row r="695" spans="1:1">
      <c r="A695" s="5"/>
    </row>
    <row r="696" spans="1:1">
      <c r="A696" s="5"/>
    </row>
    <row r="697" spans="1:1">
      <c r="A697" s="5"/>
    </row>
    <row r="698" spans="1:1">
      <c r="A698" s="5"/>
    </row>
    <row r="699" spans="1:1">
      <c r="A699" s="5"/>
    </row>
    <row r="700" spans="1:1">
      <c r="A700" s="5"/>
    </row>
    <row r="701" spans="1:1">
      <c r="A701" s="5"/>
    </row>
    <row r="702" spans="1:1">
      <c r="A702" s="5"/>
    </row>
    <row r="703" spans="1:1">
      <c r="A703" s="5"/>
    </row>
    <row r="704" spans="1:1">
      <c r="A704" s="5"/>
    </row>
    <row r="705" spans="1:1">
      <c r="A705" s="5"/>
    </row>
    <row r="706" spans="1:1">
      <c r="A706" s="5"/>
    </row>
    <row r="707" spans="1:1">
      <c r="A707" s="5"/>
    </row>
    <row r="708" spans="1:1">
      <c r="A708" s="5"/>
    </row>
    <row r="709" spans="1:1">
      <c r="A709" s="5"/>
    </row>
    <row r="710" spans="1:1">
      <c r="A710" s="5"/>
    </row>
    <row r="711" spans="1:1">
      <c r="A711" s="5"/>
    </row>
    <row r="712" spans="1:1">
      <c r="A712" s="5"/>
    </row>
    <row r="713" spans="1:1">
      <c r="A713" s="5"/>
    </row>
    <row r="714" spans="1:1">
      <c r="A714" s="5"/>
    </row>
    <row r="715" spans="1:1">
      <c r="A715" s="5"/>
    </row>
    <row r="716" spans="1:1">
      <c r="A716" s="5"/>
    </row>
    <row r="717" spans="1:1">
      <c r="A717" s="5"/>
    </row>
    <row r="718" spans="1:1">
      <c r="A718" s="5"/>
    </row>
    <row r="719" spans="1:1">
      <c r="A719" s="5"/>
    </row>
    <row r="720" spans="1:1">
      <c r="A720" s="5"/>
    </row>
    <row r="721" spans="1:1">
      <c r="A721" s="5"/>
    </row>
    <row r="722" spans="1:1">
      <c r="A722" s="5"/>
    </row>
    <row r="723" spans="1:1">
      <c r="A723" s="5"/>
    </row>
    <row r="724" spans="1:1">
      <c r="A724" s="5"/>
    </row>
    <row r="725" spans="1:1">
      <c r="A725" s="5"/>
    </row>
    <row r="726" spans="1:1">
      <c r="A726" s="5"/>
    </row>
    <row r="727" spans="1:1">
      <c r="A727" s="5"/>
    </row>
    <row r="728" spans="1:1">
      <c r="A728" s="5"/>
    </row>
    <row r="729" spans="1:1">
      <c r="A729" s="5"/>
    </row>
    <row r="730" spans="1:1">
      <c r="A730" s="5"/>
    </row>
    <row r="731" spans="1:1">
      <c r="A731" s="5"/>
    </row>
    <row r="732" spans="1:1">
      <c r="A732" s="5"/>
    </row>
    <row r="733" spans="1:1">
      <c r="A733" s="5"/>
    </row>
    <row r="734" spans="1:1">
      <c r="A734" s="5"/>
    </row>
    <row r="735" spans="1:1">
      <c r="A735" s="5"/>
    </row>
    <row r="736" spans="1:1">
      <c r="A736" s="5"/>
    </row>
    <row r="737" spans="1:1">
      <c r="A737" s="5"/>
    </row>
    <row r="738" spans="1:1">
      <c r="A738" s="5"/>
    </row>
    <row r="739" spans="1:1">
      <c r="A739" s="5"/>
    </row>
    <row r="740" spans="1:1">
      <c r="A740" s="5"/>
    </row>
    <row r="741" spans="1:1">
      <c r="A741" s="5"/>
    </row>
    <row r="742" spans="1:1">
      <c r="A742" s="5"/>
    </row>
    <row r="743" spans="1:1">
      <c r="A743" s="5"/>
    </row>
    <row r="744" spans="1:1">
      <c r="A744" s="5"/>
    </row>
    <row r="745" spans="1:1">
      <c r="A745" s="5"/>
    </row>
    <row r="746" spans="1:1">
      <c r="A746" s="5"/>
    </row>
    <row r="747" spans="1:1">
      <c r="A747" s="5"/>
    </row>
    <row r="748" spans="1:1">
      <c r="A748" s="5"/>
    </row>
    <row r="749" spans="1:1">
      <c r="A749" s="5"/>
    </row>
    <row r="750" spans="1:1">
      <c r="A750" s="5"/>
    </row>
    <row r="751" spans="1:1">
      <c r="A751" s="5"/>
    </row>
    <row r="752" spans="1:1">
      <c r="A752" s="5"/>
    </row>
    <row r="753" spans="1:1">
      <c r="A753" s="5"/>
    </row>
    <row r="754" spans="1:1">
      <c r="A754" s="5"/>
    </row>
    <row r="755" spans="1:1">
      <c r="A755" s="5"/>
    </row>
    <row r="756" spans="1:1">
      <c r="A756" s="5"/>
    </row>
    <row r="757" spans="1:1">
      <c r="A757" s="5"/>
    </row>
    <row r="758" spans="1:1">
      <c r="A758" s="5"/>
    </row>
    <row r="759" spans="1:1">
      <c r="A759" s="5"/>
    </row>
    <row r="760" spans="1:1">
      <c r="A760" s="5"/>
    </row>
    <row r="761" spans="1:1">
      <c r="A761" s="5"/>
    </row>
    <row r="762" spans="1:1">
      <c r="A762" s="5"/>
    </row>
    <row r="763" spans="1:1">
      <c r="A763" s="5"/>
    </row>
    <row r="764" spans="1:1">
      <c r="A764" s="5"/>
    </row>
    <row r="765" spans="1:1">
      <c r="A765" s="5"/>
    </row>
    <row r="766" spans="1:1">
      <c r="A766" s="5"/>
    </row>
    <row r="767" spans="1:1">
      <c r="A767" s="5"/>
    </row>
    <row r="768" spans="1:1">
      <c r="A768" s="5"/>
    </row>
    <row r="769" spans="1:1">
      <c r="A769" s="5"/>
    </row>
    <row r="770" spans="1:1">
      <c r="A770" s="5"/>
    </row>
    <row r="771" spans="1:1">
      <c r="A771" s="5"/>
    </row>
    <row r="772" spans="1:1">
      <c r="A772" s="5"/>
    </row>
    <row r="773" spans="1:1">
      <c r="A773" s="5"/>
    </row>
    <row r="774" spans="1:1">
      <c r="A774" s="5"/>
    </row>
    <row r="775" spans="1:1">
      <c r="A775" s="5"/>
    </row>
    <row r="776" spans="1:1">
      <c r="A776" s="5"/>
    </row>
    <row r="777" spans="1:1">
      <c r="A777" s="5"/>
    </row>
    <row r="778" spans="1:1">
      <c r="A778" s="5"/>
    </row>
    <row r="779" spans="1:1">
      <c r="A779" s="5"/>
    </row>
    <row r="780" spans="1:1">
      <c r="A780" s="5"/>
    </row>
    <row r="781" spans="1:1">
      <c r="A781" s="5"/>
    </row>
    <row r="782" spans="1:1">
      <c r="A782" s="5"/>
    </row>
    <row r="783" spans="1:1">
      <c r="A783" s="5"/>
    </row>
    <row r="784" spans="1:1">
      <c r="A784" s="5"/>
    </row>
    <row r="785" spans="1:1">
      <c r="A785" s="5"/>
    </row>
    <row r="786" spans="1:1">
      <c r="A786" s="5"/>
    </row>
    <row r="787" spans="1:1">
      <c r="A787" s="5"/>
    </row>
    <row r="788" spans="1:1">
      <c r="A788" s="5"/>
    </row>
    <row r="789" spans="1:1">
      <c r="A789" s="5"/>
    </row>
    <row r="790" spans="1:1">
      <c r="A790" s="5"/>
    </row>
    <row r="791" spans="1:1">
      <c r="A791" s="5"/>
    </row>
    <row r="792" spans="1:1">
      <c r="A792" s="5"/>
    </row>
    <row r="793" spans="1:1">
      <c r="A793" s="5"/>
    </row>
    <row r="794" spans="1:1">
      <c r="A794" s="5"/>
    </row>
    <row r="795" spans="1:1">
      <c r="A795" s="5"/>
    </row>
    <row r="796" spans="1:1">
      <c r="A796" s="5"/>
    </row>
    <row r="797" spans="1:1">
      <c r="A797" s="5"/>
    </row>
    <row r="798" spans="1:1">
      <c r="A798" s="5"/>
    </row>
    <row r="799" spans="1:1">
      <c r="A799" s="5"/>
    </row>
    <row r="800" spans="1:1">
      <c r="A800" s="5"/>
    </row>
    <row r="801" spans="1:1">
      <c r="A801" s="5"/>
    </row>
    <row r="802" spans="1:1">
      <c r="A802" s="5"/>
    </row>
    <row r="803" spans="1:1">
      <c r="A803" s="5"/>
    </row>
    <row r="804" spans="1:1">
      <c r="A804" s="5"/>
    </row>
    <row r="805" spans="1:1">
      <c r="A805" s="5"/>
    </row>
    <row r="806" spans="1:1">
      <c r="A806" s="5"/>
    </row>
    <row r="807" spans="1:1">
      <c r="A807" s="5"/>
    </row>
    <row r="808" spans="1:1">
      <c r="A808" s="5"/>
    </row>
    <row r="809" spans="1:1">
      <c r="A809" s="5"/>
    </row>
    <row r="810" spans="1:1">
      <c r="A810" s="5"/>
    </row>
    <row r="811" spans="1:1">
      <c r="A811" s="5"/>
    </row>
    <row r="812" spans="1:1">
      <c r="A812" s="5"/>
    </row>
    <row r="813" spans="1:1">
      <c r="A813" s="5"/>
    </row>
    <row r="814" spans="1:1">
      <c r="A814" s="5"/>
    </row>
    <row r="815" spans="1:1">
      <c r="A815" s="5"/>
    </row>
    <row r="816" spans="1:1">
      <c r="A816" s="5"/>
    </row>
    <row r="817" spans="1:1">
      <c r="A817" s="5"/>
    </row>
    <row r="818" spans="1:1">
      <c r="A818" s="5"/>
    </row>
    <row r="819" spans="1:1">
      <c r="A819" s="5"/>
    </row>
    <row r="820" spans="1:1">
      <c r="A820" s="5"/>
    </row>
    <row r="821" spans="1:1">
      <c r="A821" s="5"/>
    </row>
    <row r="822" spans="1:1">
      <c r="A822" s="5"/>
    </row>
    <row r="823" spans="1:1">
      <c r="A823" s="5"/>
    </row>
    <row r="824" spans="1:1">
      <c r="A824" s="5"/>
    </row>
    <row r="825" spans="1:1">
      <c r="A825" s="5"/>
    </row>
    <row r="826" spans="1:1">
      <c r="A826" s="5"/>
    </row>
    <row r="827" spans="1:1">
      <c r="A827" s="5"/>
    </row>
    <row r="828" spans="1:1">
      <c r="A828" s="5"/>
    </row>
    <row r="829" spans="1:1">
      <c r="A829" s="5"/>
    </row>
    <row r="830" spans="1:1">
      <c r="A830" s="5"/>
    </row>
    <row r="831" spans="1:1">
      <c r="A831" s="5"/>
    </row>
    <row r="832" spans="1:1">
      <c r="A832" s="5"/>
    </row>
    <row r="833" spans="1:1">
      <c r="A833" s="5"/>
    </row>
    <row r="834" spans="1:1">
      <c r="A834" s="5"/>
    </row>
    <row r="835" spans="1:1">
      <c r="A835" s="5"/>
    </row>
    <row r="836" spans="1:1">
      <c r="A836" s="5"/>
    </row>
    <row r="837" spans="1:1">
      <c r="A837" s="5"/>
    </row>
    <row r="838" spans="1:1">
      <c r="A838" s="5"/>
    </row>
    <row r="839" spans="1:1">
      <c r="A839" s="5"/>
    </row>
    <row r="840" spans="1:1">
      <c r="A840" s="5"/>
    </row>
    <row r="841" spans="1:1">
      <c r="A841" s="5"/>
    </row>
    <row r="842" spans="1:1">
      <c r="A842" s="5"/>
    </row>
    <row r="843" spans="1:1">
      <c r="A843" s="5"/>
    </row>
    <row r="844" spans="1:1">
      <c r="A844" s="5"/>
    </row>
    <row r="845" spans="1:1">
      <c r="A845" s="5"/>
    </row>
    <row r="846" spans="1:1">
      <c r="A846" s="5"/>
    </row>
    <row r="847" spans="1:1">
      <c r="A847" s="5"/>
    </row>
    <row r="848" spans="1:1">
      <c r="A848" s="5"/>
    </row>
    <row r="849" spans="1:1">
      <c r="A849" s="5"/>
    </row>
    <row r="850" spans="1:1">
      <c r="A850" s="5"/>
    </row>
    <row r="851" spans="1:1">
      <c r="A851" s="5"/>
    </row>
    <row r="852" spans="1:1">
      <c r="A852" s="5"/>
    </row>
    <row r="853" spans="1:1">
      <c r="A853" s="5"/>
    </row>
    <row r="854" spans="1:1">
      <c r="A854" s="5"/>
    </row>
    <row r="855" spans="1:1">
      <c r="A855" s="5"/>
    </row>
    <row r="856" spans="1:1">
      <c r="A856" s="5"/>
    </row>
    <row r="857" spans="1:1">
      <c r="A857" s="5"/>
    </row>
    <row r="858" spans="1:1">
      <c r="A858" s="5"/>
    </row>
    <row r="859" spans="1:1">
      <c r="A859" s="5"/>
    </row>
    <row r="860" spans="1:1">
      <c r="A860" s="5"/>
    </row>
    <row r="861" spans="1:1">
      <c r="A861" s="5"/>
    </row>
    <row r="862" spans="1:1">
      <c r="A862" s="5"/>
    </row>
    <row r="863" spans="1:1">
      <c r="A863" s="5"/>
    </row>
    <row r="864" spans="1:1">
      <c r="A864" s="5"/>
    </row>
    <row r="865" spans="1:1">
      <c r="A865" s="5"/>
    </row>
    <row r="866" spans="1:1">
      <c r="A866" s="5"/>
    </row>
    <row r="867" spans="1:1">
      <c r="A867" s="5"/>
    </row>
    <row r="868" spans="1:1">
      <c r="A868" s="5"/>
    </row>
    <row r="869" spans="1:1">
      <c r="A869" s="5"/>
    </row>
    <row r="870" spans="1:1">
      <c r="A870" s="5"/>
    </row>
    <row r="871" spans="1:1">
      <c r="A871" s="5"/>
    </row>
    <row r="872" spans="1:1">
      <c r="A872" s="5"/>
    </row>
    <row r="873" spans="1:1">
      <c r="A873" s="5"/>
    </row>
    <row r="874" spans="1:1">
      <c r="A874" s="5"/>
    </row>
    <row r="875" spans="1:1">
      <c r="A875" s="5"/>
    </row>
    <row r="876" spans="1:1">
      <c r="A876" s="5"/>
    </row>
    <row r="877" spans="1:1">
      <c r="A877" s="5"/>
    </row>
    <row r="878" spans="1:1">
      <c r="A878" s="5"/>
    </row>
    <row r="879" spans="1:1">
      <c r="A879" s="5"/>
    </row>
    <row r="880" spans="1:1">
      <c r="A880" s="5"/>
    </row>
    <row r="881" spans="1:1">
      <c r="A881" s="5"/>
    </row>
    <row r="882" spans="1:1">
      <c r="A882" s="5"/>
    </row>
    <row r="883" spans="1:1">
      <c r="A883" s="5"/>
    </row>
    <row r="884" spans="1:1">
      <c r="A884" s="5"/>
    </row>
    <row r="885" spans="1:1">
      <c r="A885" s="5"/>
    </row>
    <row r="886" spans="1:1">
      <c r="A886" s="5"/>
    </row>
    <row r="887" spans="1:1">
      <c r="A887" s="5"/>
    </row>
    <row r="888" spans="1:1">
      <c r="A888" s="5"/>
    </row>
    <row r="889" spans="1:1">
      <c r="A889" s="5"/>
    </row>
    <row r="890" spans="1:1">
      <c r="A890" s="5"/>
    </row>
    <row r="891" spans="1:1">
      <c r="A891" s="5"/>
    </row>
    <row r="892" spans="1:1">
      <c r="A892" s="5"/>
    </row>
    <row r="893" spans="1:1">
      <c r="A893" s="5"/>
    </row>
    <row r="894" spans="1:1">
      <c r="A894" s="5"/>
    </row>
    <row r="895" spans="1:1">
      <c r="A895" s="5"/>
    </row>
    <row r="896" spans="1:1">
      <c r="A896" s="5"/>
    </row>
    <row r="897" spans="1:1">
      <c r="A897" s="5"/>
    </row>
    <row r="898" spans="1:1">
      <c r="A898" s="5"/>
    </row>
    <row r="899" spans="1:1">
      <c r="A899" s="5"/>
    </row>
    <row r="900" spans="1:1">
      <c r="A900" s="5"/>
    </row>
    <row r="901" spans="1:1">
      <c r="A901" s="5"/>
    </row>
    <row r="902" spans="1:1">
      <c r="A902" s="5"/>
    </row>
    <row r="903" spans="1:1">
      <c r="A903" s="5"/>
    </row>
    <row r="904" spans="1:1">
      <c r="A904" s="5"/>
    </row>
    <row r="905" spans="1:1">
      <c r="A905" s="5"/>
    </row>
    <row r="906" spans="1:1">
      <c r="A906" s="5"/>
    </row>
    <row r="907" spans="1:1">
      <c r="A907" s="5"/>
    </row>
    <row r="908" spans="1:1">
      <c r="A908" s="5"/>
    </row>
    <row r="909" spans="1:1">
      <c r="A909" s="5"/>
    </row>
    <row r="910" spans="1:1">
      <c r="A910" s="5"/>
    </row>
    <row r="911" spans="1:1">
      <c r="A911" s="5"/>
    </row>
    <row r="912" spans="1:1">
      <c r="A912" s="5"/>
    </row>
    <row r="913" spans="1:1">
      <c r="A913" s="5"/>
    </row>
    <row r="914" spans="1:1">
      <c r="A914" s="5"/>
    </row>
    <row r="915" spans="1:1">
      <c r="A915" s="5"/>
    </row>
    <row r="916" spans="1:1">
      <c r="A916" s="5"/>
    </row>
    <row r="917" spans="1:1">
      <c r="A917" s="5"/>
    </row>
    <row r="918" spans="1:1">
      <c r="A918" s="5"/>
    </row>
    <row r="919" spans="1:1">
      <c r="A919" s="5"/>
    </row>
    <row r="920" spans="1:1">
      <c r="A920" s="5"/>
    </row>
    <row r="921" spans="1:1">
      <c r="A921" s="5"/>
    </row>
    <row r="922" spans="1:1">
      <c r="A922" s="5"/>
    </row>
    <row r="923" spans="1:1">
      <c r="A923" s="5"/>
    </row>
    <row r="924" spans="1:1">
      <c r="A924" s="5"/>
    </row>
    <row r="925" spans="1:1">
      <c r="A925" s="5"/>
    </row>
    <row r="926" spans="1:1">
      <c r="A926" s="5"/>
    </row>
    <row r="927" spans="1:1">
      <c r="A927" s="5"/>
    </row>
    <row r="928" spans="1:1">
      <c r="A928" s="5"/>
    </row>
    <row r="929" spans="1:1">
      <c r="A929" s="5"/>
    </row>
    <row r="930" spans="1:1">
      <c r="A930" s="5"/>
    </row>
    <row r="931" spans="1:1">
      <c r="A931" s="5"/>
    </row>
    <row r="932" spans="1:1">
      <c r="A932" s="5"/>
    </row>
    <row r="933" spans="1:1">
      <c r="A933" s="5"/>
    </row>
    <row r="934" spans="1:1">
      <c r="A934" s="5"/>
    </row>
    <row r="935" spans="1:1">
      <c r="A935" s="5"/>
    </row>
    <row r="936" spans="1:1">
      <c r="A936" s="5"/>
    </row>
    <row r="937" spans="1:1">
      <c r="A937" s="5"/>
    </row>
    <row r="938" spans="1:1">
      <c r="A938" s="5"/>
    </row>
    <row r="939" spans="1:1">
      <c r="A939" s="5"/>
    </row>
    <row r="940" spans="1:1">
      <c r="A940" s="5"/>
    </row>
    <row r="941" spans="1:1">
      <c r="A941" s="5"/>
    </row>
    <row r="942" spans="1:1">
      <c r="A942" s="5"/>
    </row>
    <row r="943" spans="1:1">
      <c r="A943" s="5"/>
    </row>
    <row r="944" spans="1:1">
      <c r="A944" s="5"/>
    </row>
    <row r="945" spans="1:1">
      <c r="A945" s="5"/>
    </row>
    <row r="946" spans="1:1">
      <c r="A946" s="5"/>
    </row>
    <row r="947" spans="1:1">
      <c r="A947" s="5"/>
    </row>
    <row r="948" spans="1:1">
      <c r="A948" s="5"/>
    </row>
    <row r="949" spans="1:1">
      <c r="A949" s="5"/>
    </row>
    <row r="950" spans="1:1">
      <c r="A950" s="5"/>
    </row>
    <row r="951" spans="1:1">
      <c r="A951" s="5"/>
    </row>
    <row r="952" spans="1:1">
      <c r="A952" s="5"/>
    </row>
    <row r="953" spans="1:1">
      <c r="A953" s="5"/>
    </row>
    <row r="954" spans="1:1">
      <c r="A954" s="5"/>
    </row>
    <row r="955" spans="1:1">
      <c r="A955" s="5"/>
    </row>
    <row r="956" spans="1:1">
      <c r="A956" s="5"/>
    </row>
    <row r="957" spans="1:1">
      <c r="A957" s="5"/>
    </row>
    <row r="958" spans="1:1">
      <c r="A958" s="5"/>
    </row>
    <row r="959" spans="1:1">
      <c r="A959" s="5"/>
    </row>
    <row r="960" spans="1:1">
      <c r="A960" s="5"/>
    </row>
    <row r="961" spans="1:1">
      <c r="A961" s="5"/>
    </row>
    <row r="962" spans="1:1">
      <c r="A962" s="5"/>
    </row>
    <row r="963" spans="1:1">
      <c r="A963" s="5"/>
    </row>
    <row r="964" spans="1:1">
      <c r="A964" s="5"/>
    </row>
    <row r="965" spans="1:1">
      <c r="A965" s="5"/>
    </row>
    <row r="966" spans="1:1">
      <c r="A966" s="5"/>
    </row>
    <row r="967" spans="1:1">
      <c r="A967" s="5"/>
    </row>
    <row r="968" spans="1:1">
      <c r="A968" s="5"/>
    </row>
    <row r="969" spans="1:1">
      <c r="A969" s="5"/>
    </row>
    <row r="970" spans="1:1">
      <c r="A970" s="5"/>
    </row>
    <row r="971" spans="1:1">
      <c r="A971" s="5"/>
    </row>
    <row r="972" spans="1:1">
      <c r="A972" s="5"/>
    </row>
    <row r="973" spans="1:1">
      <c r="A973" s="5"/>
    </row>
    <row r="974" spans="1:1">
      <c r="A974" s="5"/>
    </row>
    <row r="975" spans="1:1">
      <c r="A975" s="5"/>
    </row>
    <row r="976" spans="1:1">
      <c r="A976" s="5"/>
    </row>
    <row r="977" spans="1:1">
      <c r="A977" s="5"/>
    </row>
    <row r="978" spans="1:1">
      <c r="A978" s="5"/>
    </row>
    <row r="979" spans="1:1">
      <c r="A979" s="5"/>
    </row>
    <row r="980" spans="1:1">
      <c r="A980" s="5"/>
    </row>
    <row r="981" spans="1:1">
      <c r="A981" s="5"/>
    </row>
    <row r="982" spans="1:1">
      <c r="A982" s="5"/>
    </row>
    <row r="983" spans="1:1">
      <c r="A983" s="5"/>
    </row>
    <row r="984" spans="1:1">
      <c r="A984" s="5"/>
    </row>
    <row r="985" spans="1:1">
      <c r="A985" s="5"/>
    </row>
    <row r="986" spans="1:1">
      <c r="A986" s="5"/>
    </row>
    <row r="987" spans="1:1">
      <c r="A987" s="5"/>
    </row>
    <row r="988" spans="1:1">
      <c r="A988" s="5"/>
    </row>
    <row r="989" spans="1:1">
      <c r="A989" s="5"/>
    </row>
    <row r="990" spans="1:1">
      <c r="A990" s="5"/>
    </row>
    <row r="991" spans="1:1">
      <c r="A991" s="5"/>
    </row>
    <row r="992" spans="1:1">
      <c r="A992" s="5"/>
    </row>
    <row r="993" spans="1:1">
      <c r="A993" s="5"/>
    </row>
    <row r="994" spans="1:1">
      <c r="A994" s="5"/>
    </row>
    <row r="995" spans="1:1">
      <c r="A995" s="5"/>
    </row>
    <row r="996" spans="1:1">
      <c r="A996" s="5"/>
    </row>
    <row r="997" spans="1:1">
      <c r="A997" s="5"/>
    </row>
    <row r="998" spans="1:1">
      <c r="A998" s="5"/>
    </row>
    <row r="999" spans="1:1">
      <c r="A999" s="5"/>
    </row>
    <row r="1000" spans="1:1">
      <c r="A1000" s="5"/>
    </row>
    <row r="1001" spans="1:1">
      <c r="A1001" s="5"/>
    </row>
    <row r="1002" spans="1:1">
      <c r="A1002" s="5"/>
    </row>
    <row r="1003" spans="1:1">
      <c r="A1003" s="5"/>
    </row>
    <row r="1004" spans="1:1">
      <c r="A1004" s="5"/>
    </row>
  </sheetData>
  <mergeCells count="2">
    <mergeCell ref="A1:D2"/>
    <mergeCell ref="C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60"/>
  <sheetViews>
    <sheetView workbookViewId="0"/>
  </sheetViews>
  <sheetFormatPr baseColWidth="10" defaultColWidth="8.83203125" defaultRowHeight="15"/>
  <cols>
    <col min="1" max="1" width="28" customWidth="1"/>
    <col min="2" max="2" width="18" customWidth="1"/>
    <col min="3" max="3" width="24" customWidth="1"/>
    <col min="4" max="4" width="31" customWidth="1"/>
    <col min="5" max="5" width="20" customWidth="1"/>
    <col min="6" max="6" width="36" customWidth="1"/>
  </cols>
  <sheetData>
    <row r="1" spans="1:6" ht="37.25" customHeight="1">
      <c r="A1" s="31" t="s">
        <v>42</v>
      </c>
      <c r="B1" s="31"/>
      <c r="C1" s="31"/>
      <c r="D1" s="31"/>
      <c r="E1" s="31"/>
      <c r="F1" s="31"/>
    </row>
    <row r="2" spans="1:6" ht="37.25" customHeight="1">
      <c r="A2" s="31"/>
      <c r="B2" s="31"/>
      <c r="C2" s="31"/>
      <c r="D2" s="31"/>
      <c r="E2" s="31"/>
      <c r="F2" s="31"/>
    </row>
    <row r="3" spans="1:6">
      <c r="A3" s="3"/>
      <c r="B3" s="3"/>
      <c r="C3" s="3"/>
      <c r="D3" s="3"/>
      <c r="E3" s="3"/>
      <c r="F3" s="3"/>
    </row>
    <row r="4" spans="1:6">
      <c r="A4" s="33" t="s">
        <v>43</v>
      </c>
      <c r="B4" s="33"/>
      <c r="C4" s="3"/>
      <c r="D4" s="33" t="s">
        <v>44</v>
      </c>
      <c r="E4" s="33"/>
      <c r="F4" s="33"/>
    </row>
    <row r="5" spans="1:6" ht="16">
      <c r="A5" s="3" t="s">
        <v>45</v>
      </c>
      <c r="B5" s="8">
        <v>0.95</v>
      </c>
      <c r="C5" s="3"/>
      <c r="D5" s="3" t="s">
        <v>46</v>
      </c>
      <c r="E5" s="9" t="str">
        <f>IF(B6="Yes","Z (σ known)","t (σ unknown)")</f>
        <v>t (σ unknown)</v>
      </c>
      <c r="F5" s="3"/>
    </row>
    <row r="6" spans="1:6" ht="16">
      <c r="A6" s="3" t="s">
        <v>47</v>
      </c>
      <c r="B6" s="10" t="s">
        <v>48</v>
      </c>
      <c r="C6" s="3"/>
      <c r="D6" s="3" t="s">
        <v>49</v>
      </c>
      <c r="E6" s="11">
        <f>1-B5</f>
        <v>5.0000000000000044E-2</v>
      </c>
      <c r="F6" s="3"/>
    </row>
    <row r="7" spans="1:6" ht="16">
      <c r="A7" s="3" t="s">
        <v>50</v>
      </c>
      <c r="B7" s="10"/>
      <c r="C7" s="3"/>
      <c r="D7" s="3" t="s">
        <v>51</v>
      </c>
      <c r="E7" s="11">
        <f>MAX(COUNT(DATA!$A$5:$A$1004)-1,0)</f>
        <v>0</v>
      </c>
      <c r="F7" s="3"/>
    </row>
    <row r="8" spans="1:6" ht="16">
      <c r="A8" s="3" t="s">
        <v>52</v>
      </c>
      <c r="B8" s="10" t="s">
        <v>48</v>
      </c>
      <c r="C8" s="3"/>
      <c r="D8" s="3" t="s">
        <v>53</v>
      </c>
      <c r="E8" s="11" t="str">
        <f>IFERROR(IF(B9="","",COUNT(DATA!$A$5:$A$1004)/B9),"")</f>
        <v/>
      </c>
      <c r="F8" s="3"/>
    </row>
    <row r="9" spans="1:6" ht="16">
      <c r="A9" s="3" t="s">
        <v>54</v>
      </c>
      <c r="B9" s="10"/>
      <c r="C9" s="3"/>
      <c r="D9" s="3" t="s">
        <v>55</v>
      </c>
      <c r="E9" s="11">
        <f>IF(B8&lt;&gt;"Yes",1,IF(B9="",1,IF(B9&lt;=COUNT(DATA!$A$5:$A$1004),1,IF(COUNT(DATA!$A$5:$A$1004)/B9&gt;0.05,SQRT((B9-COUNT(DATA!$A$5:$A$1004))/(B9-1)),1))))</f>
        <v>1</v>
      </c>
      <c r="F9" s="3"/>
    </row>
    <row r="10" spans="1:6" ht="16">
      <c r="A10" s="3" t="s">
        <v>56</v>
      </c>
      <c r="B10" s="10"/>
      <c r="C10" s="3"/>
      <c r="D10" s="3" t="s">
        <v>57</v>
      </c>
      <c r="E10" s="7" t="str">
        <f>IF(E9&lt;1,"YES","NO")</f>
        <v>NO</v>
      </c>
      <c r="F10" s="3"/>
    </row>
    <row r="11" spans="1:6" ht="32">
      <c r="A11" s="3" t="s">
        <v>58</v>
      </c>
      <c r="B11" s="12" t="s">
        <v>59</v>
      </c>
      <c r="C11" s="3"/>
      <c r="D11" s="3" t="s">
        <v>60</v>
      </c>
      <c r="E11" s="6" t="str">
        <f>IF(COUNT(DATA!$A$5:$A$1004)&gt;=2,"READY","PASTE AT LEAST 2 NUMBERS")</f>
        <v>PASTE AT LEAST 2 NUMBERS</v>
      </c>
      <c r="F11" s="3"/>
    </row>
    <row r="12" spans="1:6">
      <c r="A12" s="3"/>
      <c r="B12" s="3"/>
      <c r="C12" s="3"/>
      <c r="D12" s="3"/>
      <c r="E12" s="3"/>
      <c r="F12" s="3"/>
    </row>
    <row r="13" spans="1:6">
      <c r="A13" s="33" t="s">
        <v>61</v>
      </c>
      <c r="B13" s="33"/>
      <c r="C13" s="33"/>
      <c r="D13" s="33" t="s">
        <v>62</v>
      </c>
      <c r="E13" s="33"/>
      <c r="F13" s="33"/>
    </row>
    <row r="14" spans="1:6" ht="16">
      <c r="A14" s="3" t="s">
        <v>63</v>
      </c>
      <c r="B14" s="3"/>
      <c r="C14" s="13">
        <f>COUNT(DATA!$A$5:$A$1004)</f>
        <v>0</v>
      </c>
      <c r="D14" s="3" t="s">
        <v>64</v>
      </c>
      <c r="E14" s="9" t="str">
        <f>IFERROR(C15-C16,"")</f>
        <v/>
      </c>
      <c r="F14" s="3"/>
    </row>
    <row r="15" spans="1:6" ht="16">
      <c r="A15" s="3" t="s">
        <v>65</v>
      </c>
      <c r="B15" s="3"/>
      <c r="C15" s="11" t="str">
        <f>IFERROR(AVERAGE(DATA!$A$5:$A$1004),"")</f>
        <v/>
      </c>
      <c r="D15" s="3" t="s">
        <v>66</v>
      </c>
      <c r="E15" s="14" t="str">
        <f ca="1">IFERROR(COUNTIFS(DATA!$A$5:$A$1004,"&gt;="&amp;(C15-C19),DATA!$A$5:$A$1004,"&lt;="&amp;(C15+C19))/C14,"")</f>
        <v/>
      </c>
      <c r="F15" s="3"/>
    </row>
    <row r="16" spans="1:6" ht="16">
      <c r="A16" s="3" t="s">
        <v>67</v>
      </c>
      <c r="B16" s="3"/>
      <c r="C16" s="11" t="str">
        <f>IFERROR(MEDIAN(DATA!$A$5:$A$1004),"")</f>
        <v/>
      </c>
      <c r="D16" s="3" t="s">
        <v>68</v>
      </c>
      <c r="E16" s="14">
        <v>0.68</v>
      </c>
      <c r="F16" s="3"/>
    </row>
    <row r="17" spans="1:6" ht="16">
      <c r="A17" s="3" t="s">
        <v>69</v>
      </c>
      <c r="B17" s="3"/>
      <c r="C17" s="11" t="str">
        <f ca="1">IFERROR(_xludf.MODE.SNGL(DATA!$A$5:$A$1004),"No unique mode")</f>
        <v>No unique mode</v>
      </c>
      <c r="D17" s="3" t="s">
        <v>70</v>
      </c>
      <c r="E17" s="14" t="str">
        <f ca="1">IFERROR(COUNTIFS(DATA!$A$5:$A$1004,"&gt;="&amp;(C15-2*C19),DATA!$A$5:$A$1004,"&lt;="&amp;(C15+2*C19))/C14,"")</f>
        <v/>
      </c>
      <c r="F17" s="3"/>
    </row>
    <row r="18" spans="1:6" ht="16">
      <c r="A18" s="3" t="s">
        <v>71</v>
      </c>
      <c r="B18" s="3"/>
      <c r="C18" s="11" t="str">
        <f ca="1">IFERROR(_xludf.STDEV.S(DATA!$A$5:$A$1004),"")</f>
        <v/>
      </c>
      <c r="D18" s="3" t="s">
        <v>68</v>
      </c>
      <c r="E18" s="14">
        <v>0.95</v>
      </c>
      <c r="F18" s="3"/>
    </row>
    <row r="19" spans="1:6" ht="16">
      <c r="A19" s="3" t="s">
        <v>72</v>
      </c>
      <c r="B19" s="3"/>
      <c r="C19" s="11" t="str">
        <f ca="1">IFERROR(_xludf.VAR.S(DATA!$A$5:$A$1004),"")</f>
        <v/>
      </c>
      <c r="D19" s="3" t="s">
        <v>73</v>
      </c>
      <c r="E19" s="14" t="str">
        <f ca="1">IFERROR(COUNTIFS(DATA!$A$5:$A$1004,"&gt;="&amp;(C15-3*C19),DATA!$A$5:$A$1004,"&lt;="&amp;(C15+3*C19))/C14,"")</f>
        <v/>
      </c>
      <c r="F19" s="3"/>
    </row>
    <row r="20" spans="1:6" ht="16">
      <c r="A20" s="3" t="s">
        <v>74</v>
      </c>
      <c r="B20" s="3"/>
      <c r="C20" s="11" t="str">
        <f ca="1">IFERROR(C19/SQRT(C14),"")</f>
        <v/>
      </c>
      <c r="D20" s="3" t="s">
        <v>68</v>
      </c>
      <c r="E20" s="15">
        <v>0.997</v>
      </c>
      <c r="F20" s="3"/>
    </row>
    <row r="21" spans="1:6" ht="16">
      <c r="A21" s="3" t="s">
        <v>75</v>
      </c>
      <c r="B21" s="3"/>
      <c r="C21" s="11">
        <f>IFERROR(MIN(DATA!$A$5:$A$1004),"")</f>
        <v>0</v>
      </c>
      <c r="D21" s="3"/>
      <c r="E21" s="3"/>
      <c r="F21" s="3"/>
    </row>
    <row r="22" spans="1:6" ht="16">
      <c r="A22" s="3" t="s">
        <v>76</v>
      </c>
      <c r="B22" s="3"/>
      <c r="C22" s="11">
        <f>IFERROR(MAX(DATA!$A$5:$A$1004),"")</f>
        <v>0</v>
      </c>
      <c r="D22" s="36" t="s">
        <v>77</v>
      </c>
      <c r="E22" s="36"/>
      <c r="F22" s="36"/>
    </row>
    <row r="23" spans="1:6" ht="16">
      <c r="A23" s="3" t="s">
        <v>78</v>
      </c>
      <c r="B23" s="3"/>
      <c r="C23" s="11">
        <f>IFERROR(C22-C21,"")</f>
        <v>0</v>
      </c>
      <c r="D23" s="36"/>
      <c r="E23" s="36"/>
      <c r="F23" s="36"/>
    </row>
    <row r="24" spans="1:6" ht="16">
      <c r="A24" s="3" t="s">
        <v>79</v>
      </c>
      <c r="B24" s="3"/>
      <c r="C24" s="11" t="str">
        <f ca="1">IFERROR(_xludf.QUARTILE.INC(DATA!$A$5:$A$1004,1),"")</f>
        <v/>
      </c>
      <c r="D24" s="36"/>
      <c r="E24" s="36"/>
      <c r="F24" s="36"/>
    </row>
    <row r="25" spans="1:6" ht="16">
      <c r="A25" s="3" t="s">
        <v>80</v>
      </c>
      <c r="B25" s="3"/>
      <c r="C25" s="11" t="str">
        <f ca="1">IFERROR(_xludf.QUARTILE.INC(DATA!$A$5:$A$1004,3),"")</f>
        <v/>
      </c>
      <c r="D25" s="36"/>
      <c r="E25" s="36"/>
      <c r="F25" s="36"/>
    </row>
    <row r="26" spans="1:6" ht="16">
      <c r="A26" s="3" t="s">
        <v>81</v>
      </c>
      <c r="B26" s="3"/>
      <c r="C26" s="11" t="str">
        <f ca="1">IFERROR(C25-C24,"")</f>
        <v/>
      </c>
      <c r="D26" s="3"/>
      <c r="E26" s="3"/>
      <c r="F26" s="3"/>
    </row>
    <row r="27" spans="1:6" ht="16">
      <c r="A27" s="3" t="s">
        <v>82</v>
      </c>
      <c r="B27" s="3"/>
      <c r="C27" s="16" t="str">
        <f ca="1">IFERROR(C19/C15,"")</f>
        <v/>
      </c>
      <c r="D27" s="3"/>
      <c r="E27" s="3"/>
      <c r="F27" s="3"/>
    </row>
    <row r="28" spans="1:6" ht="16">
      <c r="A28" s="3" t="s">
        <v>83</v>
      </c>
      <c r="B28" s="3"/>
      <c r="C28" s="11" t="str">
        <f>IFERROR(SKEW(DATA!$A$5:$A$1004),"")</f>
        <v/>
      </c>
      <c r="D28" s="3"/>
      <c r="E28" s="3"/>
      <c r="F28" s="3"/>
    </row>
    <row r="29" spans="1:6" ht="16">
      <c r="A29" s="3" t="s">
        <v>84</v>
      </c>
      <c r="B29" s="3"/>
      <c r="C29" s="17" t="str">
        <f>IFERROR(KURT(DATA!$A$5:$A$1004),"")</f>
        <v/>
      </c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3" t="s">
        <v>85</v>
      </c>
      <c r="B32" s="33"/>
      <c r="C32" s="33"/>
      <c r="D32" s="33" t="s">
        <v>86</v>
      </c>
      <c r="E32" s="33"/>
      <c r="F32" s="33"/>
    </row>
    <row r="33" spans="1:6" ht="16">
      <c r="A33" s="3" t="s">
        <v>46</v>
      </c>
      <c r="B33" s="3"/>
      <c r="C33" s="9" t="str">
        <f>E5</f>
        <v>t (σ unknown)</v>
      </c>
      <c r="D33" s="3" t="s">
        <v>87</v>
      </c>
      <c r="E33" s="3"/>
      <c r="F33" s="9" t="str">
        <f>IF(B10="","","μ = "&amp;TEXT(B10,"0.0000"))</f>
        <v/>
      </c>
    </row>
    <row r="34" spans="1:6" ht="16">
      <c r="A34" s="3" t="s">
        <v>88</v>
      </c>
      <c r="B34" s="3"/>
      <c r="C34" s="11" t="str">
        <f>IF(C14&lt;2,"",IF(B6="Yes",B7/SQRT(C14),C19/SQRT(C14))*E9)</f>
        <v/>
      </c>
      <c r="D34" s="3" t="s">
        <v>89</v>
      </c>
      <c r="E34" s="3"/>
      <c r="F34" s="7" t="str">
        <f>IF(B10="","",IF(B11="Two","μ ≠ "&amp;TEXT(B10,"0.0000"),IF(B11="Lower","μ &lt; "&amp;TEXT(B10,"0.0000"),"μ &gt; "&amp;TEXT(B10,"0.0000"))))</f>
        <v/>
      </c>
    </row>
    <row r="35" spans="1:6" ht="16">
      <c r="A35" s="3" t="s">
        <v>90</v>
      </c>
      <c r="B35" s="3"/>
      <c r="C35" s="11" t="str">
        <f>IF(C14&lt;2,"",IF(B6="Yes",_xludf.NORM.S.INV(1-E6/2),ABS(_xludf.T.INV(E6/2,E7))))</f>
        <v/>
      </c>
      <c r="D35" s="3" t="s">
        <v>91</v>
      </c>
      <c r="E35" s="3"/>
      <c r="F35" s="7" t="str">
        <f>E5</f>
        <v>t (σ unknown)</v>
      </c>
    </row>
    <row r="36" spans="1:6" ht="16">
      <c r="A36" s="3" t="s">
        <v>92</v>
      </c>
      <c r="B36" s="3"/>
      <c r="C36" s="11" t="str">
        <f>IFERROR(C34*C35,"")</f>
        <v/>
      </c>
      <c r="D36" s="3" t="s">
        <v>93</v>
      </c>
      <c r="E36" s="3"/>
      <c r="F36" s="11" t="str">
        <f>IF(B10="","",(C15-B10)/C34)</f>
        <v/>
      </c>
    </row>
    <row r="37" spans="1:6" ht="16">
      <c r="A37" s="3" t="s">
        <v>94</v>
      </c>
      <c r="B37" s="3"/>
      <c r="C37" s="11" t="str">
        <f>IFERROR(C15-C36,"")</f>
        <v/>
      </c>
      <c r="D37" s="3" t="s">
        <v>95</v>
      </c>
      <c r="E37" s="3"/>
      <c r="F37" s="11" t="str">
        <f>IF(B10="","",IF(B11="Upper","",IF(B6="Yes",_xludf.NORM.S.INV(IF(B11="Two",E6/2,E6)),_xludf.T.INV(IF(B11="Two",E6/2,E6),E7))))</f>
        <v/>
      </c>
    </row>
    <row r="38" spans="1:6" ht="16">
      <c r="A38" s="3" t="s">
        <v>96</v>
      </c>
      <c r="B38" s="3"/>
      <c r="C38" s="11" t="str">
        <f>IFERROR(C15+C36,"")</f>
        <v/>
      </c>
      <c r="D38" s="3" t="s">
        <v>97</v>
      </c>
      <c r="E38" s="3"/>
      <c r="F38" s="11" t="str">
        <f>IF(B10="","",IF(B11="Lower","",IF(B6="Yes",_xludf.NORM.S.INV(IF(B11="Two",1-E6/2,1-E6)),_xludf.T.INV(IF(B11="Two",1-E6/2,1-E6),E7))))</f>
        <v/>
      </c>
    </row>
    <row r="39" spans="1:6" ht="16">
      <c r="A39" s="3" t="s">
        <v>98</v>
      </c>
      <c r="B39" s="3"/>
      <c r="C39" s="11" t="str">
        <f>IFERROR(C38-C37,"")</f>
        <v/>
      </c>
      <c r="D39" s="3" t="s">
        <v>99</v>
      </c>
      <c r="E39" s="3"/>
      <c r="F39" s="11" t="str">
        <f>IF(B10="","",IF(B6="Yes",IF(B11="Two",(1-_xludf.NORM.S.DIST(ABS(F36),TRUE))*2,IF(B11="Lower",_xludf.NORM.S.DIST(F36,TRUE),1-_xludf.NORM.S.DIST(F36,TRUE))),IF(B11="Two",_xludf.T.DIST.2T(ABS(F36),E7),IF(B11="Lower",_xludf.T.DIST(F36,E7,TRUE),1-_xludf.T.DIST(F36,E7,TRUE)))))</f>
        <v/>
      </c>
    </row>
    <row r="40" spans="1:6" ht="16">
      <c r="A40" s="3" t="s">
        <v>55</v>
      </c>
      <c r="B40" s="3"/>
      <c r="C40" s="11">
        <f>E9</f>
        <v>1</v>
      </c>
      <c r="D40" s="3" t="s">
        <v>49</v>
      </c>
      <c r="E40" s="3"/>
      <c r="F40" s="11">
        <f>E6</f>
        <v>5.0000000000000044E-2</v>
      </c>
    </row>
    <row r="41" spans="1:6" ht="16">
      <c r="A41" s="3" t="s">
        <v>100</v>
      </c>
      <c r="B41" s="3"/>
      <c r="C41" s="6" t="str">
        <f>IF(C37="","","We are "&amp;TEXT(B5,"0%")&amp;" confident the population mean lies between the limits.")</f>
        <v/>
      </c>
      <c r="D41" s="3" t="s">
        <v>101</v>
      </c>
      <c r="E41" s="3"/>
      <c r="F41" s="7" t="str">
        <f>IF(F39="","",IF(F39&lt;F40,"REJECT H0","DO NOT REJECT H0"))</f>
        <v/>
      </c>
    </row>
    <row r="42" spans="1:6" ht="16">
      <c r="A42" s="3"/>
      <c r="B42" s="3"/>
      <c r="C42" s="3"/>
      <c r="D42" s="3" t="s">
        <v>102</v>
      </c>
      <c r="E42" s="3"/>
      <c r="F42" s="7" t="str">
        <f>IF(OR(B10="",B11&lt;&gt;"Two"),"",IF(AND(B10&gt;=C37,B10&lt;=C38),"μ0 inside CI → do not reject","μ0 outside CI → reject"))</f>
        <v/>
      </c>
    </row>
    <row r="43" spans="1:6" ht="32">
      <c r="A43" s="3"/>
      <c r="B43" s="3"/>
      <c r="C43" s="3"/>
      <c r="D43" s="3" t="s">
        <v>103</v>
      </c>
      <c r="E43" s="3"/>
      <c r="F43" s="6" t="str">
        <f>"Never write ""accept H0"" in the final decision."</f>
        <v>Never write "accept H0" in the final decision.</v>
      </c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</sheetData>
  <mergeCells count="8">
    <mergeCell ref="D22:F25"/>
    <mergeCell ref="A32:C32"/>
    <mergeCell ref="D32:F32"/>
    <mergeCell ref="A1:F2"/>
    <mergeCell ref="A4:B4"/>
    <mergeCell ref="D4:F4"/>
    <mergeCell ref="A13:C13"/>
    <mergeCell ref="D13:F13"/>
  </mergeCells>
  <dataValidations count="2">
    <dataValidation type="list" sqref="B6 B8" xr:uid="{00000000-0002-0000-0200-000000000000}">
      <formula1>"No,Yes"</formula1>
    </dataValidation>
    <dataValidation type="list" sqref="B11" xr:uid="{00000000-0002-0000-0200-000002000000}">
      <formula1>"Two,Lower,Upper"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H45"/>
  <sheetViews>
    <sheetView workbookViewId="0"/>
  </sheetViews>
  <sheetFormatPr baseColWidth="10" defaultColWidth="8.83203125" defaultRowHeight="15"/>
  <cols>
    <col min="1" max="1" width="27" customWidth="1"/>
    <col min="2" max="2" width="24" customWidth="1"/>
    <col min="3" max="4" width="5" customWidth="1"/>
    <col min="5" max="5" width="27" customWidth="1"/>
    <col min="6" max="6" width="26" customWidth="1"/>
    <col min="7" max="8" width="5" customWidth="1"/>
  </cols>
  <sheetData>
    <row r="1" spans="1:8" ht="37.25" customHeight="1">
      <c r="A1" s="31" t="s">
        <v>104</v>
      </c>
      <c r="B1" s="31"/>
      <c r="C1" s="31"/>
      <c r="D1" s="31"/>
      <c r="E1" s="31"/>
      <c r="F1" s="31"/>
      <c r="G1" s="31"/>
      <c r="H1" s="31"/>
    </row>
    <row r="2" spans="1:8" ht="37.25" customHeight="1">
      <c r="A2" s="31"/>
      <c r="B2" s="31"/>
      <c r="C2" s="31"/>
      <c r="D2" s="31"/>
      <c r="E2" s="31"/>
      <c r="F2" s="31"/>
      <c r="G2" s="31"/>
      <c r="H2" s="31"/>
    </row>
    <row r="3" spans="1:8">
      <c r="A3" s="3"/>
      <c r="B3" s="3"/>
      <c r="C3" s="3"/>
      <c r="D3" s="3"/>
      <c r="E3" s="3"/>
      <c r="F3" s="3"/>
      <c r="G3" s="3"/>
      <c r="H3" s="3"/>
    </row>
    <row r="4" spans="1:8">
      <c r="A4" s="33" t="s">
        <v>105</v>
      </c>
      <c r="B4" s="33"/>
      <c r="C4" s="33"/>
      <c r="D4" s="33"/>
      <c r="E4" s="33" t="s">
        <v>106</v>
      </c>
      <c r="F4" s="33"/>
      <c r="G4" s="33"/>
      <c r="H4" s="33"/>
    </row>
    <row r="5" spans="1:8" ht="16">
      <c r="A5" s="3" t="s">
        <v>107</v>
      </c>
      <c r="B5" s="18">
        <v>50</v>
      </c>
      <c r="C5" s="3"/>
      <c r="D5" s="3"/>
      <c r="E5" s="3" t="s">
        <v>108</v>
      </c>
      <c r="F5" s="19">
        <v>1.57</v>
      </c>
      <c r="G5" s="3"/>
      <c r="H5" s="3"/>
    </row>
    <row r="6" spans="1:8" ht="16">
      <c r="A6" s="3" t="s">
        <v>109</v>
      </c>
      <c r="B6" s="10">
        <v>4</v>
      </c>
      <c r="C6" s="3"/>
      <c r="D6" s="3"/>
      <c r="E6" s="3" t="s">
        <v>110</v>
      </c>
      <c r="F6" s="13" t="e">
        <f ca="1">_xludf.NORM.S.DIST(F5,TRUE)</f>
        <v>#NAME?</v>
      </c>
      <c r="G6" s="3"/>
      <c r="H6" s="3"/>
    </row>
    <row r="7" spans="1:8" ht="16">
      <c r="A7" s="3" t="s">
        <v>111</v>
      </c>
      <c r="B7" s="10">
        <v>46</v>
      </c>
      <c r="C7" s="3"/>
      <c r="D7" s="3"/>
      <c r="E7" s="3" t="s">
        <v>112</v>
      </c>
      <c r="F7" s="11" t="e">
        <f ca="1">1-_xludf.NORM.S.DIST(F5,TRUE)</f>
        <v>#NAME?</v>
      </c>
      <c r="G7" s="3"/>
      <c r="H7" s="3"/>
    </row>
    <row r="8" spans="1:8" ht="16">
      <c r="A8" s="3" t="s">
        <v>113</v>
      </c>
      <c r="B8" s="10">
        <v>54</v>
      </c>
      <c r="C8" s="3"/>
      <c r="D8" s="3"/>
      <c r="E8" s="3" t="s">
        <v>114</v>
      </c>
      <c r="F8" s="17" t="e">
        <f ca="1">(1-_xludf.NORM.S.DIST(ABS(F5),TRUE))*2</f>
        <v>#NAME?</v>
      </c>
      <c r="G8" s="3"/>
      <c r="H8" s="3"/>
    </row>
    <row r="9" spans="1:8" ht="16">
      <c r="A9" s="3" t="s">
        <v>115</v>
      </c>
      <c r="B9" s="20">
        <v>0.05</v>
      </c>
      <c r="C9" s="3"/>
      <c r="D9" s="3"/>
      <c r="E9" s="3"/>
      <c r="F9" s="3"/>
      <c r="G9" s="3"/>
      <c r="H9" s="3"/>
    </row>
    <row r="10" spans="1:8" ht="16">
      <c r="A10" s="3" t="s">
        <v>116</v>
      </c>
      <c r="B10" s="21">
        <v>0.6</v>
      </c>
      <c r="C10" s="3"/>
      <c r="D10" s="3"/>
      <c r="E10" s="3"/>
      <c r="F10" s="3"/>
      <c r="G10" s="3"/>
      <c r="H10" s="3"/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 ht="16">
      <c r="A12" s="3" t="s">
        <v>117</v>
      </c>
      <c r="B12" s="13">
        <f>(B7-B5)/B6</f>
        <v>-1</v>
      </c>
      <c r="C12" s="3"/>
      <c r="D12" s="3"/>
      <c r="E12" s="3"/>
      <c r="F12" s="3"/>
      <c r="G12" s="3"/>
      <c r="H12" s="3"/>
    </row>
    <row r="13" spans="1:8" ht="16">
      <c r="A13" s="3" t="s">
        <v>118</v>
      </c>
      <c r="B13" s="11">
        <f>(B8-B5)/B6</f>
        <v>1</v>
      </c>
      <c r="C13" s="3"/>
      <c r="D13" s="3"/>
      <c r="E13" s="3"/>
      <c r="F13" s="3"/>
      <c r="G13" s="3"/>
      <c r="H13" s="3"/>
    </row>
    <row r="14" spans="1:8" ht="16">
      <c r="A14" s="3" t="s">
        <v>119</v>
      </c>
      <c r="B14" s="11" t="e">
        <f ca="1">_xludf.NORM.DIST(B8,B5,B6,TRUE)</f>
        <v>#NAME?</v>
      </c>
      <c r="C14" s="3"/>
      <c r="D14" s="3"/>
      <c r="E14" s="3"/>
      <c r="F14" s="3"/>
      <c r="G14" s="3"/>
      <c r="H14" s="3"/>
    </row>
    <row r="15" spans="1:8" ht="16">
      <c r="A15" s="3" t="s">
        <v>120</v>
      </c>
      <c r="B15" s="11" t="e">
        <f ca="1">1-_xludf.NORM.DIST(B7,B5,B6,TRUE)</f>
        <v>#NAME?</v>
      </c>
      <c r="C15" s="3"/>
      <c r="D15" s="3"/>
      <c r="E15" s="3"/>
      <c r="F15" s="3"/>
      <c r="G15" s="3"/>
      <c r="H15" s="3"/>
    </row>
    <row r="16" spans="1:8" ht="16">
      <c r="A16" s="3" t="s">
        <v>121</v>
      </c>
      <c r="B16" s="11" t="e">
        <f ca="1">_xludf.NORM.DIST(B8,B5,B6,TRUE)-_xludf.NORM.DIST(B7,B5,B6,TRUE)</f>
        <v>#NAME?</v>
      </c>
      <c r="C16" s="3"/>
      <c r="D16" s="3"/>
      <c r="E16" s="3"/>
      <c r="F16" s="3"/>
      <c r="G16" s="3"/>
      <c r="H16" s="3"/>
    </row>
    <row r="17" spans="1:8" ht="16">
      <c r="A17" s="3" t="s">
        <v>122</v>
      </c>
      <c r="B17" s="11" t="e">
        <f ca="1">_xludf.NORM.INV(B9,B5,B6)</f>
        <v>#NAME?</v>
      </c>
      <c r="C17" s="3"/>
      <c r="D17" s="3"/>
      <c r="E17" s="3"/>
      <c r="F17" s="3"/>
      <c r="G17" s="3"/>
      <c r="H17" s="3"/>
    </row>
    <row r="18" spans="1:8" ht="16">
      <c r="A18" s="3" t="s">
        <v>123</v>
      </c>
      <c r="B18" s="11" t="e">
        <f ca="1">_xludf.NORM.INV((1-B10)/2,B5,B6)</f>
        <v>#NAME?</v>
      </c>
      <c r="C18" s="3"/>
      <c r="D18" s="3"/>
      <c r="E18" s="3"/>
      <c r="F18" s="3"/>
      <c r="G18" s="3"/>
      <c r="H18" s="3"/>
    </row>
    <row r="19" spans="1:8" ht="16">
      <c r="A19" s="3" t="s">
        <v>124</v>
      </c>
      <c r="B19" s="11" t="e">
        <f ca="1">_xludf.NORM.INV(1-(1-B10)/2,B5,B6)</f>
        <v>#NAME?</v>
      </c>
      <c r="C19" s="3"/>
      <c r="D19" s="3"/>
      <c r="E19" s="3"/>
      <c r="F19" s="3"/>
      <c r="G19" s="3"/>
      <c r="H19" s="3"/>
    </row>
    <row r="20" spans="1:8" ht="16">
      <c r="A20" s="3" t="s">
        <v>125</v>
      </c>
      <c r="B20" s="16">
        <f>(1-B10)/2</f>
        <v>0.2</v>
      </c>
      <c r="C20" s="3"/>
      <c r="D20" s="3"/>
      <c r="E20" s="3"/>
      <c r="F20" s="3"/>
      <c r="G20" s="3"/>
      <c r="H20" s="3"/>
    </row>
    <row r="21" spans="1:8" ht="32">
      <c r="A21" s="3" t="s">
        <v>126</v>
      </c>
      <c r="B21" s="6" t="s">
        <v>127</v>
      </c>
      <c r="C21" s="3"/>
      <c r="D21" s="3"/>
      <c r="E21" s="3"/>
      <c r="F21" s="3"/>
      <c r="G21" s="3"/>
      <c r="H21" s="3"/>
    </row>
    <row r="22" spans="1:8">
      <c r="A22" s="3"/>
      <c r="B22" s="3"/>
      <c r="C22" s="3"/>
      <c r="D22" s="3"/>
      <c r="E22" s="3"/>
      <c r="F22" s="3"/>
      <c r="G22" s="3"/>
      <c r="H22" s="3"/>
    </row>
    <row r="23" spans="1:8">
      <c r="A23" s="3"/>
      <c r="B23" s="3"/>
      <c r="C23" s="3"/>
      <c r="D23" s="3"/>
      <c r="E23" s="3"/>
      <c r="F23" s="3"/>
      <c r="G23" s="3"/>
      <c r="H23" s="3"/>
    </row>
    <row r="24" spans="1:8">
      <c r="A24" s="33" t="s">
        <v>128</v>
      </c>
      <c r="B24" s="33"/>
      <c r="C24" s="33"/>
      <c r="D24" s="33"/>
      <c r="E24" s="33" t="s">
        <v>129</v>
      </c>
      <c r="F24" s="33"/>
      <c r="G24" s="33"/>
      <c r="H24" s="33"/>
    </row>
    <row r="25" spans="1:8" ht="16">
      <c r="A25" s="3" t="s">
        <v>130</v>
      </c>
      <c r="B25" s="18">
        <v>0</v>
      </c>
      <c r="C25" s="3"/>
      <c r="D25" s="3"/>
      <c r="E25" s="3" t="s">
        <v>131</v>
      </c>
      <c r="F25" s="18">
        <v>5</v>
      </c>
      <c r="G25" s="3"/>
      <c r="H25" s="3"/>
    </row>
    <row r="26" spans="1:8" ht="16">
      <c r="A26" s="3" t="s">
        <v>132</v>
      </c>
      <c r="B26" s="10">
        <v>10</v>
      </c>
      <c r="C26" s="3"/>
      <c r="D26" s="3"/>
      <c r="E26" s="3" t="s">
        <v>133</v>
      </c>
      <c r="F26" s="10">
        <v>0.3</v>
      </c>
      <c r="G26" s="3"/>
      <c r="H26" s="3"/>
    </row>
    <row r="27" spans="1:8" ht="16">
      <c r="A27" s="3" t="s">
        <v>134</v>
      </c>
      <c r="B27" s="10">
        <v>5</v>
      </c>
      <c r="C27" s="3"/>
      <c r="D27" s="3"/>
      <c r="E27" s="3" t="s">
        <v>135</v>
      </c>
      <c r="F27" s="10">
        <v>0.5</v>
      </c>
      <c r="G27" s="3"/>
      <c r="H27" s="3"/>
    </row>
    <row r="28" spans="1:8" ht="16">
      <c r="A28" s="3" t="s">
        <v>136</v>
      </c>
      <c r="B28" s="12">
        <v>7</v>
      </c>
      <c r="C28" s="3"/>
      <c r="D28" s="3"/>
      <c r="E28" s="3" t="s">
        <v>137</v>
      </c>
      <c r="F28" s="21">
        <v>0.8</v>
      </c>
      <c r="G28" s="3"/>
      <c r="H28" s="3"/>
    </row>
    <row r="29" spans="1:8">
      <c r="A29" s="3"/>
      <c r="B29" s="3"/>
      <c r="C29" s="3"/>
      <c r="D29" s="3"/>
      <c r="E29" s="3"/>
      <c r="F29" s="3"/>
      <c r="G29" s="3"/>
      <c r="H29" s="3"/>
    </row>
    <row r="30" spans="1:8" ht="16">
      <c r="A30" s="3" t="s">
        <v>138</v>
      </c>
      <c r="B30" s="13">
        <f>(B25+B26)/2</f>
        <v>5</v>
      </c>
      <c r="C30" s="3"/>
      <c r="D30" s="3"/>
      <c r="E30" s="3" t="s">
        <v>138</v>
      </c>
      <c r="F30" s="13">
        <f>1/F25</f>
        <v>0.2</v>
      </c>
      <c r="G30" s="3"/>
      <c r="H30" s="3"/>
    </row>
    <row r="31" spans="1:8" ht="16">
      <c r="A31" s="3" t="s">
        <v>139</v>
      </c>
      <c r="B31" s="11">
        <f>(B26-B25)/SQRT(12)</f>
        <v>2.8867513459481291</v>
      </c>
      <c r="C31" s="3"/>
      <c r="D31" s="3"/>
      <c r="E31" s="3" t="s">
        <v>139</v>
      </c>
      <c r="F31" s="11">
        <f>1/F25</f>
        <v>0.2</v>
      </c>
      <c r="G31" s="3"/>
      <c r="H31" s="3"/>
    </row>
    <row r="32" spans="1:8" ht="16">
      <c r="A32" s="3" t="s">
        <v>140</v>
      </c>
      <c r="B32" s="11">
        <f>IF(AND(B27&gt;=B25,B28&lt;=B26,B28&gt;B27),(B28-B27)/(B26-B25),"CHECK BOUNDS")</f>
        <v>0.2</v>
      </c>
      <c r="C32" s="3"/>
      <c r="D32" s="3"/>
      <c r="E32" s="3" t="s">
        <v>141</v>
      </c>
      <c r="F32" s="11">
        <f>1-EXP(-F25*F26)</f>
        <v>0.77686983985157021</v>
      </c>
      <c r="G32" s="3"/>
      <c r="H32" s="3"/>
    </row>
    <row r="33" spans="1:8" ht="16">
      <c r="A33" s="3" t="s">
        <v>142</v>
      </c>
      <c r="B33" s="6" t="s">
        <v>143</v>
      </c>
      <c r="C33" s="3"/>
      <c r="D33" s="3"/>
      <c r="E33" s="3" t="s">
        <v>144</v>
      </c>
      <c r="F33" s="11">
        <f>EXP(-F25*F26)</f>
        <v>0.22313016014842982</v>
      </c>
      <c r="G33" s="3"/>
      <c r="H33" s="3"/>
    </row>
    <row r="34" spans="1:8" ht="16">
      <c r="A34" s="3"/>
      <c r="B34" s="3"/>
      <c r="C34" s="3"/>
      <c r="D34" s="3"/>
      <c r="E34" s="3" t="s">
        <v>145</v>
      </c>
      <c r="F34" s="11">
        <f>EXP(-F25*F26)-EXP(-F25*F27)</f>
        <v>0.141045161524531</v>
      </c>
      <c r="G34" s="3"/>
      <c r="H34" s="3"/>
    </row>
    <row r="35" spans="1:8" ht="16">
      <c r="A35" s="3"/>
      <c r="B35" s="3"/>
      <c r="C35" s="3"/>
      <c r="D35" s="3"/>
      <c r="E35" s="3" t="s">
        <v>122</v>
      </c>
      <c r="F35" s="11">
        <f>-LN(1-F28)/F25</f>
        <v>0.32188758248682009</v>
      </c>
      <c r="G35" s="3"/>
      <c r="H35" s="3"/>
    </row>
    <row r="36" spans="1:8" ht="16">
      <c r="A36" s="3"/>
      <c r="B36" s="3"/>
      <c r="C36" s="3"/>
      <c r="D36" s="3"/>
      <c r="E36" s="3" t="s">
        <v>146</v>
      </c>
      <c r="F36" s="6" t="s">
        <v>147</v>
      </c>
      <c r="G36" s="3"/>
      <c r="H36" s="3"/>
    </row>
    <row r="37" spans="1:8">
      <c r="A37" s="3"/>
      <c r="B37" s="3"/>
      <c r="C37" s="3"/>
      <c r="D37" s="3"/>
      <c r="E37" s="3"/>
      <c r="F37" s="3"/>
      <c r="G37" s="3"/>
      <c r="H37" s="3"/>
    </row>
    <row r="38" spans="1:8">
      <c r="A38" s="3"/>
      <c r="B38" s="3"/>
      <c r="C38" s="3"/>
      <c r="D38" s="3"/>
      <c r="E38" s="3"/>
      <c r="F38" s="3"/>
      <c r="G38" s="3"/>
      <c r="H38" s="3"/>
    </row>
    <row r="39" spans="1:8">
      <c r="A39" s="3"/>
      <c r="B39" s="3"/>
      <c r="C39" s="3"/>
      <c r="D39" s="3"/>
      <c r="E39" s="3"/>
      <c r="F39" s="3"/>
      <c r="G39" s="3"/>
      <c r="H39" s="3"/>
    </row>
    <row r="40" spans="1:8">
      <c r="A40" s="3"/>
      <c r="B40" s="3"/>
      <c r="C40" s="3"/>
      <c r="D40" s="3"/>
      <c r="E40" s="3"/>
      <c r="F40" s="3"/>
      <c r="G40" s="3"/>
      <c r="H40" s="3"/>
    </row>
    <row r="41" spans="1:8">
      <c r="A41" s="3"/>
      <c r="B41" s="3"/>
      <c r="C41" s="3"/>
      <c r="D41" s="3"/>
      <c r="E41" s="3"/>
      <c r="F41" s="3"/>
      <c r="G41" s="3"/>
      <c r="H41" s="3"/>
    </row>
    <row r="42" spans="1:8">
      <c r="A42" s="3"/>
      <c r="B42" s="3"/>
      <c r="C42" s="3"/>
      <c r="D42" s="3"/>
      <c r="E42" s="3"/>
      <c r="F42" s="3"/>
      <c r="G42" s="3"/>
      <c r="H42" s="3"/>
    </row>
    <row r="43" spans="1:8">
      <c r="A43" s="3"/>
      <c r="B43" s="3"/>
      <c r="C43" s="3"/>
      <c r="D43" s="3"/>
      <c r="E43" s="3"/>
      <c r="F43" s="3"/>
      <c r="G43" s="3"/>
      <c r="H43" s="3"/>
    </row>
    <row r="44" spans="1:8">
      <c r="A44" s="3"/>
      <c r="B44" s="3"/>
      <c r="C44" s="3"/>
      <c r="D44" s="3"/>
      <c r="E44" s="3"/>
      <c r="F44" s="3"/>
      <c r="G44" s="3"/>
      <c r="H44" s="3"/>
    </row>
    <row r="45" spans="1:8">
      <c r="A45" s="3"/>
      <c r="B45" s="3"/>
      <c r="C45" s="3"/>
      <c r="D45" s="3"/>
      <c r="E45" s="3"/>
      <c r="F45" s="3"/>
      <c r="G45" s="3"/>
      <c r="H45" s="3"/>
    </row>
  </sheetData>
  <mergeCells count="5">
    <mergeCell ref="A1:H2"/>
    <mergeCell ref="A4:D4"/>
    <mergeCell ref="E4:H4"/>
    <mergeCell ref="A24:D24"/>
    <mergeCell ref="E24:H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42"/>
  <sheetViews>
    <sheetView workbookViewId="0"/>
  </sheetViews>
  <sheetFormatPr baseColWidth="10" defaultColWidth="8.83203125" defaultRowHeight="15"/>
  <cols>
    <col min="1" max="1" width="30" customWidth="1"/>
    <col min="2" max="2" width="22" customWidth="1"/>
    <col min="3" max="3" width="5" customWidth="1"/>
    <col min="4" max="4" width="25" customWidth="1"/>
    <col min="5" max="5" width="20" customWidth="1"/>
    <col min="6" max="6" width="5" customWidth="1"/>
    <col min="7" max="7" width="25" customWidth="1"/>
    <col min="8" max="8" width="36" customWidth="1"/>
  </cols>
  <sheetData>
    <row r="1" spans="1:8" ht="37.25" customHeight="1">
      <c r="A1" s="31" t="s">
        <v>148</v>
      </c>
      <c r="B1" s="31"/>
      <c r="C1" s="31"/>
      <c r="D1" s="31"/>
      <c r="E1" s="31"/>
      <c r="F1" s="31"/>
      <c r="G1" s="31"/>
      <c r="H1" s="31"/>
    </row>
    <row r="2" spans="1:8" ht="37.25" customHeight="1">
      <c r="A2" s="31"/>
      <c r="B2" s="31"/>
      <c r="C2" s="31"/>
      <c r="D2" s="31"/>
      <c r="E2" s="31"/>
      <c r="F2" s="31"/>
      <c r="G2" s="31"/>
      <c r="H2" s="31"/>
    </row>
    <row r="3" spans="1:8">
      <c r="A3" s="3"/>
      <c r="B3" s="3"/>
      <c r="C3" s="3"/>
      <c r="D3" s="3"/>
      <c r="E3" s="3"/>
      <c r="F3" s="3"/>
      <c r="G3" s="3"/>
      <c r="H3" s="3"/>
    </row>
    <row r="4" spans="1:8">
      <c r="A4" s="33" t="s">
        <v>149</v>
      </c>
      <c r="B4" s="33"/>
      <c r="C4" s="33"/>
      <c r="D4" s="33"/>
      <c r="E4" s="33" t="s">
        <v>150</v>
      </c>
      <c r="F4" s="33"/>
      <c r="G4" s="33"/>
      <c r="H4" s="33"/>
    </row>
    <row r="5" spans="1:8" ht="16">
      <c r="A5" s="3" t="s">
        <v>151</v>
      </c>
      <c r="B5" s="18">
        <v>100</v>
      </c>
      <c r="C5" s="3"/>
      <c r="D5" s="3"/>
      <c r="E5" s="3" t="s">
        <v>152</v>
      </c>
      <c r="F5" s="22">
        <v>0.7</v>
      </c>
      <c r="G5" s="3"/>
      <c r="H5" s="3"/>
    </row>
    <row r="6" spans="1:8" ht="16">
      <c r="A6" s="3" t="s">
        <v>153</v>
      </c>
      <c r="B6" s="10">
        <v>10</v>
      </c>
      <c r="C6" s="3"/>
      <c r="D6" s="3"/>
      <c r="E6" s="3" t="s">
        <v>154</v>
      </c>
      <c r="F6" s="23">
        <v>64</v>
      </c>
      <c r="G6" s="3"/>
      <c r="H6" s="3"/>
    </row>
    <row r="7" spans="1:8" ht="32">
      <c r="A7" s="3" t="s">
        <v>154</v>
      </c>
      <c r="B7" s="10">
        <v>25</v>
      </c>
      <c r="C7" s="3"/>
      <c r="D7" s="3"/>
      <c r="E7" s="3" t="s">
        <v>54</v>
      </c>
      <c r="F7" s="23"/>
      <c r="G7" s="3"/>
      <c r="H7" s="3"/>
    </row>
    <row r="8" spans="1:8" ht="16">
      <c r="A8" s="3" t="s">
        <v>54</v>
      </c>
      <c r="B8" s="10"/>
      <c r="C8" s="3"/>
      <c r="D8" s="3"/>
      <c r="E8" s="3" t="s">
        <v>52</v>
      </c>
      <c r="F8" s="23" t="s">
        <v>48</v>
      </c>
      <c r="G8" s="3"/>
      <c r="H8" s="3"/>
    </row>
    <row r="9" spans="1:8" ht="16">
      <c r="A9" s="3" t="s">
        <v>52</v>
      </c>
      <c r="B9" s="10" t="s">
        <v>48</v>
      </c>
      <c r="C9" s="3"/>
      <c r="D9" s="3"/>
      <c r="E9" s="3" t="s">
        <v>155</v>
      </c>
      <c r="F9" s="23">
        <v>0.6</v>
      </c>
      <c r="G9" s="3"/>
      <c r="H9" s="3"/>
    </row>
    <row r="10" spans="1:8" ht="16">
      <c r="A10" s="3" t="s">
        <v>156</v>
      </c>
      <c r="B10" s="10">
        <v>95</v>
      </c>
      <c r="C10" s="3"/>
      <c r="D10" s="3"/>
      <c r="E10" s="3" t="s">
        <v>157</v>
      </c>
      <c r="F10" s="23">
        <v>0.8</v>
      </c>
      <c r="G10" s="3"/>
      <c r="H10" s="3"/>
    </row>
    <row r="11" spans="1:8" ht="32">
      <c r="A11" s="3" t="s">
        <v>158</v>
      </c>
      <c r="B11" s="10">
        <v>102.2</v>
      </c>
      <c r="C11" s="3"/>
      <c r="D11" s="3"/>
      <c r="E11" s="3" t="s">
        <v>159</v>
      </c>
      <c r="F11" s="24">
        <v>48</v>
      </c>
      <c r="G11" s="3"/>
      <c r="H11" s="3"/>
    </row>
    <row r="12" spans="1:8" ht="16">
      <c r="A12" s="3" t="s">
        <v>137</v>
      </c>
      <c r="B12" s="21">
        <v>0.35</v>
      </c>
      <c r="C12" s="3"/>
      <c r="D12" s="3"/>
      <c r="E12" s="3" t="s">
        <v>160</v>
      </c>
      <c r="F12" s="25">
        <f>F11/F6</f>
        <v>0.75</v>
      </c>
      <c r="G12" s="3"/>
      <c r="H12" s="3"/>
    </row>
    <row r="13" spans="1:8">
      <c r="A13" s="3"/>
      <c r="B13" s="3"/>
      <c r="C13" s="3"/>
      <c r="D13" s="3"/>
      <c r="E13" s="3"/>
      <c r="F13" s="3"/>
      <c r="G13" s="3"/>
      <c r="H13" s="3"/>
    </row>
    <row r="14" spans="1:8" ht="16">
      <c r="A14" s="3" t="s">
        <v>161</v>
      </c>
      <c r="B14" s="13">
        <f>B5</f>
        <v>100</v>
      </c>
      <c r="C14" s="3"/>
      <c r="D14" s="3"/>
      <c r="E14" s="3" t="s">
        <v>162</v>
      </c>
      <c r="F14" s="13">
        <f>F5</f>
        <v>0.7</v>
      </c>
      <c r="G14" s="3"/>
      <c r="H14" s="3"/>
    </row>
    <row r="15" spans="1:8" ht="16">
      <c r="A15" s="3" t="s">
        <v>55</v>
      </c>
      <c r="B15" s="11">
        <f>IF(B9&lt;&gt;"Yes",1,IF(B8="",1,IF(B8&lt;=B7,1,IF(B7/B8&gt;0.05,SQRT((B8-B7)/(B8-1)),1))))</f>
        <v>1</v>
      </c>
      <c r="C15" s="3"/>
      <c r="D15" s="3"/>
      <c r="E15" s="3" t="s">
        <v>163</v>
      </c>
      <c r="F15" s="11">
        <f>F6*F5</f>
        <v>44.8</v>
      </c>
      <c r="G15" s="3"/>
      <c r="H15" s="3"/>
    </row>
    <row r="16" spans="1:8" ht="16">
      <c r="A16" s="3" t="s">
        <v>164</v>
      </c>
      <c r="B16" s="11">
        <f>B6/SQRT(B7)*B15</f>
        <v>2</v>
      </c>
      <c r="C16" s="3"/>
      <c r="D16" s="3"/>
      <c r="E16" s="3" t="s">
        <v>165</v>
      </c>
      <c r="F16" s="11">
        <f>F6*(1-F5)</f>
        <v>19.200000000000003</v>
      </c>
      <c r="G16" s="3"/>
      <c r="H16" s="3"/>
    </row>
    <row r="17" spans="1:8" ht="32">
      <c r="A17" s="3" t="s">
        <v>117</v>
      </c>
      <c r="B17" s="11">
        <f>(B10-B14)/B16</f>
        <v>-2.5</v>
      </c>
      <c r="C17" s="3"/>
      <c r="D17" s="3"/>
      <c r="E17" s="3" t="s">
        <v>166</v>
      </c>
      <c r="F17" s="11" t="str">
        <f>IF(AND(F15&gt;=5,F16&gt;=5),"PASS","CHECK CONDITIONS")</f>
        <v>PASS</v>
      </c>
      <c r="G17" s="3"/>
      <c r="H17" s="3"/>
    </row>
    <row r="18" spans="1:8" ht="16">
      <c r="A18" s="3" t="s">
        <v>118</v>
      </c>
      <c r="B18" s="11">
        <f>(B11-B14)/B16</f>
        <v>1.1000000000000014</v>
      </c>
      <c r="C18" s="3"/>
      <c r="D18" s="3"/>
      <c r="E18" s="3" t="s">
        <v>55</v>
      </c>
      <c r="F18" s="11">
        <f>IF(F8&lt;&gt;"Yes",1,IF(F7="",1,IF(F7&lt;=F6,1,IF(F6/F7&gt;0.05,SQRT((F7-F6)/(F7-1)),1))))</f>
        <v>1</v>
      </c>
      <c r="G18" s="3"/>
      <c r="H18" s="3"/>
    </row>
    <row r="19" spans="1:8" ht="16">
      <c r="A19" s="3" t="s">
        <v>167</v>
      </c>
      <c r="B19" s="11" t="e">
        <f ca="1">_xludf.NORM.DIST(B11,B14,B16,TRUE)</f>
        <v>#NAME?</v>
      </c>
      <c r="C19" s="3"/>
      <c r="D19" s="3"/>
      <c r="E19" s="3" t="s">
        <v>168</v>
      </c>
      <c r="F19" s="11">
        <f>SQRT(F5*(1-F5)/F6)*F18</f>
        <v>5.7282196186948006E-2</v>
      </c>
      <c r="G19" s="3"/>
      <c r="H19" s="3"/>
    </row>
    <row r="20" spans="1:8" ht="16">
      <c r="A20" s="3" t="s">
        <v>169</v>
      </c>
      <c r="B20" s="11" t="e">
        <f ca="1">1-_xludf.NORM.DIST(B10,B14,B16,TRUE)</f>
        <v>#NAME?</v>
      </c>
      <c r="C20" s="3"/>
      <c r="D20" s="3"/>
      <c r="E20" s="3" t="s">
        <v>170</v>
      </c>
      <c r="F20" s="11" t="e">
        <f ca="1">_xludf.NORM.DIST(F10,F14,F19,TRUE)</f>
        <v>#NAME?</v>
      </c>
      <c r="G20" s="3"/>
      <c r="H20" s="3"/>
    </row>
    <row r="21" spans="1:8" ht="16">
      <c r="A21" s="3" t="s">
        <v>171</v>
      </c>
      <c r="B21" s="11" t="e">
        <f ca="1">_xludf.NORM.DIST(B11,B14,B16,TRUE)-_xludf.NORM.DIST(B10,B14,B16,TRUE)</f>
        <v>#NAME?</v>
      </c>
      <c r="C21" s="3"/>
      <c r="D21" s="3"/>
      <c r="E21" s="3" t="s">
        <v>172</v>
      </c>
      <c r="F21" s="11" t="e">
        <f ca="1">1-_xludf.NORM.DIST(F9,F14,F19,TRUE)</f>
        <v>#NAME?</v>
      </c>
      <c r="G21" s="3"/>
      <c r="H21" s="3"/>
    </row>
    <row r="22" spans="1:8" ht="16">
      <c r="A22" s="3" t="s">
        <v>173</v>
      </c>
      <c r="B22" s="11" t="e">
        <f ca="1">_xludf.NORM.INV(B12,B14,B16)</f>
        <v>#NAME?</v>
      </c>
      <c r="C22" s="3"/>
      <c r="D22" s="3"/>
      <c r="E22" s="3" t="s">
        <v>174</v>
      </c>
      <c r="F22" s="11" t="e">
        <f ca="1">_xludf.NORM.DIST(F10,F14,F19,TRUE)-_xludf.NORM.DIST(F9,F14,F19,TRUE)</f>
        <v>#NAME?</v>
      </c>
      <c r="G22" s="3"/>
      <c r="H22" s="3"/>
    </row>
    <row r="23" spans="1:8" ht="48">
      <c r="A23" s="3" t="s">
        <v>175</v>
      </c>
      <c r="B23" s="6" t="s">
        <v>176</v>
      </c>
      <c r="C23" s="3"/>
      <c r="D23" s="3"/>
      <c r="E23" s="3" t="s">
        <v>177</v>
      </c>
      <c r="F23" s="17">
        <f>SQRT(F12*(1-F12)/F6)</f>
        <v>5.4126587736527412E-2</v>
      </c>
      <c r="G23" s="3"/>
      <c r="H23" s="3"/>
    </row>
    <row r="24" spans="1:8">
      <c r="A24" s="3"/>
      <c r="B24" s="3"/>
      <c r="C24" s="3"/>
      <c r="D24" s="3"/>
      <c r="E24" s="3"/>
      <c r="F24" s="3"/>
      <c r="G24" s="3"/>
      <c r="H24" s="3"/>
    </row>
    <row r="25" spans="1:8">
      <c r="A25" s="3"/>
      <c r="B25" s="3"/>
      <c r="C25" s="3"/>
      <c r="D25" s="3"/>
      <c r="E25" s="3"/>
      <c r="F25" s="3"/>
      <c r="G25" s="3"/>
      <c r="H25" s="3"/>
    </row>
    <row r="26" spans="1:8">
      <c r="A26" s="33" t="s">
        <v>178</v>
      </c>
      <c r="B26" s="33"/>
      <c r="C26" s="33"/>
      <c r="D26" s="33"/>
      <c r="E26" s="33"/>
      <c r="F26" s="33"/>
      <c r="G26" s="33"/>
      <c r="H26" s="33"/>
    </row>
    <row r="27" spans="1:8" ht="16">
      <c r="A27" s="3" t="s">
        <v>179</v>
      </c>
      <c r="B27" s="18">
        <v>50</v>
      </c>
      <c r="C27" s="3"/>
      <c r="D27" s="3" t="s">
        <v>180</v>
      </c>
      <c r="E27" s="19">
        <v>4</v>
      </c>
      <c r="F27" s="3"/>
      <c r="G27" s="3" t="s">
        <v>108</v>
      </c>
      <c r="H27" s="13">
        <f>(E27-E28)/E29</f>
        <v>0.61679395474396115</v>
      </c>
    </row>
    <row r="28" spans="1:8" ht="16">
      <c r="A28" s="3" t="s">
        <v>181</v>
      </c>
      <c r="B28" s="10">
        <v>8</v>
      </c>
      <c r="C28" s="3"/>
      <c r="D28" s="3" t="s">
        <v>182</v>
      </c>
      <c r="E28" s="13">
        <f>B27-B30</f>
        <v>3</v>
      </c>
      <c r="F28" s="3"/>
      <c r="G28" s="3" t="s">
        <v>183</v>
      </c>
      <c r="H28" s="11" t="e">
        <f ca="1">_xludf.NORM.S.DIST(H27,TRUE)</f>
        <v>#NAME?</v>
      </c>
    </row>
    <row r="29" spans="1:8" ht="16">
      <c r="A29" s="3" t="s">
        <v>184</v>
      </c>
      <c r="B29" s="10">
        <v>40</v>
      </c>
      <c r="C29" s="3"/>
      <c r="D29" s="3" t="s">
        <v>185</v>
      </c>
      <c r="E29" s="17">
        <f>SQRT(B28^2/B29+B31^2/B32)</f>
        <v>1.6212869667555552</v>
      </c>
      <c r="F29" s="3"/>
      <c r="G29" s="3" t="s">
        <v>186</v>
      </c>
      <c r="H29" s="11" t="e">
        <f ca="1">1-_xludf.NORM.S.DIST(H27,TRUE)</f>
        <v>#NAME?</v>
      </c>
    </row>
    <row r="30" spans="1:8" ht="32">
      <c r="A30" s="3" t="s">
        <v>187</v>
      </c>
      <c r="B30" s="10">
        <v>47</v>
      </c>
      <c r="C30" s="3"/>
      <c r="D30" s="3"/>
      <c r="E30" s="3"/>
      <c r="F30" s="3"/>
      <c r="G30" s="3" t="s">
        <v>188</v>
      </c>
      <c r="H30" s="6" t="s">
        <v>189</v>
      </c>
    </row>
    <row r="31" spans="1:8" ht="16">
      <c r="A31" s="3" t="s">
        <v>190</v>
      </c>
      <c r="B31" s="10">
        <v>6</v>
      </c>
      <c r="C31" s="3"/>
      <c r="D31" s="3"/>
      <c r="E31" s="3"/>
      <c r="F31" s="3"/>
      <c r="G31" s="3"/>
      <c r="H31" s="3"/>
    </row>
    <row r="32" spans="1:8" ht="16">
      <c r="A32" s="3" t="s">
        <v>191</v>
      </c>
      <c r="B32" s="12">
        <v>35</v>
      </c>
      <c r="C32" s="3"/>
      <c r="D32" s="3"/>
      <c r="E32" s="3"/>
      <c r="F32" s="3"/>
      <c r="G32" s="3"/>
      <c r="H32" s="3"/>
    </row>
    <row r="33" spans="1:8">
      <c r="A33" s="3"/>
      <c r="B33" s="3"/>
      <c r="C33" s="3"/>
      <c r="D33" s="3"/>
      <c r="E33" s="3"/>
      <c r="F33" s="3"/>
      <c r="G33" s="3"/>
      <c r="H33" s="3"/>
    </row>
    <row r="34" spans="1:8">
      <c r="A34" s="3"/>
      <c r="B34" s="3"/>
      <c r="C34" s="3"/>
      <c r="D34" s="3"/>
      <c r="E34" s="3"/>
      <c r="F34" s="3"/>
      <c r="G34" s="3"/>
      <c r="H34" s="3"/>
    </row>
    <row r="35" spans="1:8">
      <c r="A35" s="3"/>
      <c r="B35" s="3"/>
      <c r="C35" s="3"/>
      <c r="D35" s="3"/>
      <c r="E35" s="3"/>
      <c r="F35" s="3"/>
      <c r="G35" s="3"/>
      <c r="H35" s="3"/>
    </row>
    <row r="36" spans="1:8">
      <c r="A36" s="3"/>
      <c r="B36" s="3"/>
      <c r="C36" s="3"/>
      <c r="D36" s="3"/>
      <c r="E36" s="3"/>
      <c r="F36" s="3"/>
      <c r="G36" s="3"/>
      <c r="H36" s="3"/>
    </row>
    <row r="37" spans="1:8">
      <c r="A37" s="3"/>
      <c r="B37" s="3"/>
      <c r="C37" s="3"/>
      <c r="D37" s="3"/>
      <c r="E37" s="3"/>
      <c r="F37" s="3"/>
      <c r="G37" s="3"/>
      <c r="H37" s="3"/>
    </row>
    <row r="38" spans="1:8">
      <c r="A38" s="3"/>
      <c r="B38" s="3"/>
      <c r="C38" s="3"/>
      <c r="D38" s="3"/>
      <c r="E38" s="3"/>
      <c r="F38" s="3"/>
      <c r="G38" s="3"/>
      <c r="H38" s="3"/>
    </row>
    <row r="39" spans="1:8">
      <c r="A39" s="3"/>
      <c r="B39" s="3"/>
      <c r="C39" s="3"/>
      <c r="D39" s="3"/>
      <c r="E39" s="3"/>
      <c r="F39" s="3"/>
      <c r="G39" s="3"/>
      <c r="H39" s="3"/>
    </row>
    <row r="40" spans="1:8">
      <c r="A40" s="3"/>
      <c r="B40" s="3"/>
      <c r="C40" s="3"/>
      <c r="D40" s="3"/>
      <c r="E40" s="3"/>
      <c r="F40" s="3"/>
      <c r="G40" s="3"/>
      <c r="H40" s="3"/>
    </row>
    <row r="41" spans="1:8">
      <c r="A41" s="3"/>
      <c r="B41" s="3"/>
      <c r="C41" s="3"/>
      <c r="D41" s="3"/>
      <c r="E41" s="3"/>
      <c r="F41" s="3"/>
      <c r="G41" s="3"/>
      <c r="H41" s="3"/>
    </row>
    <row r="42" spans="1:8">
      <c r="A42" s="3"/>
      <c r="B42" s="3"/>
      <c r="C42" s="3"/>
      <c r="D42" s="3"/>
      <c r="E42" s="3"/>
      <c r="F42" s="3"/>
      <c r="G42" s="3"/>
      <c r="H42" s="3"/>
    </row>
  </sheetData>
  <mergeCells count="4">
    <mergeCell ref="A1:H2"/>
    <mergeCell ref="A4:D4"/>
    <mergeCell ref="E4:H4"/>
    <mergeCell ref="A26:H26"/>
  </mergeCells>
  <dataValidations count="1">
    <dataValidation type="list" sqref="B9 F8" xr:uid="{00000000-0002-0000-0400-000000000000}">
      <formula1>"No,Yes"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H44"/>
  <sheetViews>
    <sheetView workbookViewId="0"/>
  </sheetViews>
  <sheetFormatPr baseColWidth="10" defaultColWidth="8.83203125" defaultRowHeight="15"/>
  <cols>
    <col min="1" max="1" width="27" customWidth="1"/>
    <col min="2" max="2" width="25" customWidth="1"/>
    <col min="3" max="4" width="5" customWidth="1"/>
    <col min="5" max="5" width="28" customWidth="1"/>
    <col min="6" max="6" width="32" customWidth="1"/>
    <col min="7" max="8" width="5" customWidth="1"/>
  </cols>
  <sheetData>
    <row r="1" spans="1:8" ht="37.25" customHeight="1">
      <c r="A1" s="31" t="s">
        <v>192</v>
      </c>
      <c r="B1" s="31"/>
      <c r="C1" s="31"/>
      <c r="D1" s="31"/>
      <c r="E1" s="31"/>
      <c r="F1" s="31"/>
      <c r="G1" s="31"/>
      <c r="H1" s="31"/>
    </row>
    <row r="2" spans="1:8" ht="37.25" customHeight="1">
      <c r="A2" s="31"/>
      <c r="B2" s="31"/>
      <c r="C2" s="31"/>
      <c r="D2" s="31"/>
      <c r="E2" s="31"/>
      <c r="F2" s="31"/>
      <c r="G2" s="31"/>
      <c r="H2" s="31"/>
    </row>
    <row r="3" spans="1:8">
      <c r="A3" s="3"/>
      <c r="B3" s="3"/>
      <c r="C3" s="3"/>
      <c r="D3" s="3"/>
      <c r="E3" s="3"/>
      <c r="F3" s="3"/>
      <c r="G3" s="3"/>
      <c r="H3" s="3"/>
    </row>
    <row r="4" spans="1:8">
      <c r="A4" s="33" t="s">
        <v>193</v>
      </c>
      <c r="B4" s="33"/>
      <c r="C4" s="33"/>
      <c r="D4" s="33"/>
      <c r="E4" s="33" t="s">
        <v>194</v>
      </c>
      <c r="F4" s="33"/>
      <c r="G4" s="33"/>
      <c r="H4" s="33"/>
    </row>
    <row r="5" spans="1:8" ht="16">
      <c r="A5" s="3" t="s">
        <v>195</v>
      </c>
      <c r="B5" s="18">
        <v>85</v>
      </c>
      <c r="C5" s="3"/>
      <c r="D5" s="3"/>
      <c r="E5" s="3" t="s">
        <v>195</v>
      </c>
      <c r="F5" s="18">
        <v>141.30000000000001</v>
      </c>
      <c r="G5" s="3"/>
      <c r="H5" s="3"/>
    </row>
    <row r="6" spans="1:8" ht="16">
      <c r="A6" s="3" t="s">
        <v>196</v>
      </c>
      <c r="B6" s="10">
        <v>8</v>
      </c>
      <c r="C6" s="3"/>
      <c r="D6" s="3"/>
      <c r="E6" s="3" t="s">
        <v>197</v>
      </c>
      <c r="F6" s="10">
        <v>19.100000000000001</v>
      </c>
      <c r="G6" s="3"/>
      <c r="H6" s="3"/>
    </row>
    <row r="7" spans="1:8" ht="16">
      <c r="A7" s="3" t="s">
        <v>63</v>
      </c>
      <c r="B7" s="10">
        <v>64</v>
      </c>
      <c r="C7" s="3"/>
      <c r="D7" s="3"/>
      <c r="E7" s="3" t="s">
        <v>63</v>
      </c>
      <c r="F7" s="10">
        <v>24</v>
      </c>
      <c r="G7" s="3"/>
      <c r="H7" s="3"/>
    </row>
    <row r="8" spans="1:8" ht="16">
      <c r="A8" s="3" t="s">
        <v>45</v>
      </c>
      <c r="B8" s="26">
        <v>0.95</v>
      </c>
      <c r="C8" s="3"/>
      <c r="D8" s="3"/>
      <c r="E8" s="3" t="s">
        <v>45</v>
      </c>
      <c r="F8" s="27">
        <v>0.9</v>
      </c>
      <c r="G8" s="3"/>
      <c r="H8" s="3"/>
    </row>
    <row r="9" spans="1:8" ht="16">
      <c r="A9" s="3" t="s">
        <v>198</v>
      </c>
      <c r="B9" s="10"/>
      <c r="C9" s="3"/>
      <c r="D9" s="3"/>
      <c r="E9" s="3" t="s">
        <v>199</v>
      </c>
      <c r="F9" s="3" t="s">
        <v>200</v>
      </c>
      <c r="G9" s="3"/>
      <c r="H9" s="3"/>
    </row>
    <row r="10" spans="1:8" ht="16">
      <c r="A10" s="3" t="s">
        <v>52</v>
      </c>
      <c r="B10" s="12" t="s">
        <v>48</v>
      </c>
      <c r="C10" s="3"/>
      <c r="D10" s="3"/>
      <c r="E10" s="3"/>
      <c r="F10" s="3"/>
      <c r="G10" s="3"/>
      <c r="H10" s="3"/>
    </row>
    <row r="11" spans="1:8" ht="16">
      <c r="A11" s="3"/>
      <c r="B11" s="3"/>
      <c r="C11" s="3"/>
      <c r="D11" s="3"/>
      <c r="E11" s="3" t="s">
        <v>49</v>
      </c>
      <c r="F11" s="13">
        <f>1-F8</f>
        <v>9.9999999999999978E-2</v>
      </c>
      <c r="G11" s="3"/>
      <c r="H11" s="3"/>
    </row>
    <row r="12" spans="1:8" ht="16">
      <c r="A12" s="3" t="s">
        <v>49</v>
      </c>
      <c r="B12" s="13">
        <f>1-B8</f>
        <v>5.0000000000000044E-2</v>
      </c>
      <c r="C12" s="3"/>
      <c r="D12" s="3"/>
      <c r="E12" s="3" t="s">
        <v>51</v>
      </c>
      <c r="F12" s="11">
        <f>F7-1</f>
        <v>23</v>
      </c>
      <c r="G12" s="3"/>
      <c r="H12" s="3"/>
    </row>
    <row r="13" spans="1:8" ht="16">
      <c r="A13" s="3" t="s">
        <v>55</v>
      </c>
      <c r="B13" s="11">
        <f>IF(B10&lt;&gt;"Yes",1,IF(B9="",1,IF(B9&lt;=B7,1,IF(B7/B9&gt;0.05,SQRT((B9-B7)/(B9-1)),1))))</f>
        <v>1</v>
      </c>
      <c r="C13" s="3"/>
      <c r="D13" s="3"/>
      <c r="E13" s="3" t="s">
        <v>185</v>
      </c>
      <c r="F13" s="11">
        <f>F6/SQRT(F7)</f>
        <v>3.8987711739298923</v>
      </c>
      <c r="G13" s="3"/>
      <c r="H13" s="3"/>
    </row>
    <row r="14" spans="1:8" ht="16">
      <c r="A14" s="3" t="s">
        <v>185</v>
      </c>
      <c r="B14" s="11">
        <f>B6/SQRT(B7)*B13</f>
        <v>1</v>
      </c>
      <c r="C14" s="3"/>
      <c r="D14" s="3"/>
      <c r="E14" s="3" t="s">
        <v>201</v>
      </c>
      <c r="F14" s="11" t="e">
        <f ca="1">ABS(_xludf.T.INV(F11/2,F12))</f>
        <v>#NAME?</v>
      </c>
      <c r="G14" s="3"/>
      <c r="H14" s="3"/>
    </row>
    <row r="15" spans="1:8" ht="16">
      <c r="A15" s="3" t="s">
        <v>202</v>
      </c>
      <c r="B15" s="11" t="e">
        <f ca="1">_xludf.NORM.S.INV(1-B12/2)</f>
        <v>#NAME?</v>
      </c>
      <c r="C15" s="3"/>
      <c r="D15" s="3"/>
      <c r="E15" s="3" t="s">
        <v>203</v>
      </c>
      <c r="F15" s="11" t="e">
        <f ca="1">F13*F14</f>
        <v>#NAME?</v>
      </c>
      <c r="G15" s="3"/>
      <c r="H15" s="3"/>
    </row>
    <row r="16" spans="1:8" ht="16">
      <c r="A16" s="3" t="s">
        <v>203</v>
      </c>
      <c r="B16" s="11" t="e">
        <f ca="1">B14*B15</f>
        <v>#NAME?</v>
      </c>
      <c r="C16" s="3"/>
      <c r="D16" s="3"/>
      <c r="E16" s="3" t="s">
        <v>204</v>
      </c>
      <c r="F16" s="11" t="e">
        <f ca="1">F5-F15</f>
        <v>#NAME?</v>
      </c>
      <c r="G16" s="3"/>
      <c r="H16" s="3"/>
    </row>
    <row r="17" spans="1:8" ht="16">
      <c r="A17" s="3" t="s">
        <v>204</v>
      </c>
      <c r="B17" s="11" t="e">
        <f ca="1">B5-B16</f>
        <v>#NAME?</v>
      </c>
      <c r="C17" s="3"/>
      <c r="D17" s="3"/>
      <c r="E17" s="3" t="s">
        <v>205</v>
      </c>
      <c r="F17" s="11" t="e">
        <f ca="1">F5+F15</f>
        <v>#NAME?</v>
      </c>
      <c r="G17" s="3"/>
      <c r="H17" s="3"/>
    </row>
    <row r="18" spans="1:8" ht="32">
      <c r="A18" s="3" t="s">
        <v>205</v>
      </c>
      <c r="B18" s="17" t="e">
        <f ca="1">B5+B16</f>
        <v>#NAME?</v>
      </c>
      <c r="C18" s="3"/>
      <c r="D18" s="3"/>
      <c r="E18" s="3" t="s">
        <v>206</v>
      </c>
      <c r="F18" s="6" t="s">
        <v>207</v>
      </c>
      <c r="G18" s="3"/>
      <c r="H18" s="3"/>
    </row>
    <row r="19" spans="1:8">
      <c r="A19" s="3"/>
      <c r="B19" s="3"/>
      <c r="C19" s="3"/>
      <c r="D19" s="3"/>
      <c r="E19" s="3"/>
      <c r="F19" s="3"/>
      <c r="G19" s="3"/>
      <c r="H19" s="3"/>
    </row>
    <row r="20" spans="1:8">
      <c r="A20" s="3"/>
      <c r="B20" s="3"/>
      <c r="C20" s="3"/>
      <c r="D20" s="3"/>
      <c r="E20" s="3"/>
      <c r="F20" s="3"/>
      <c r="G20" s="3"/>
      <c r="H20" s="3"/>
    </row>
    <row r="21" spans="1:8">
      <c r="A21" s="33" t="s">
        <v>208</v>
      </c>
      <c r="B21" s="33"/>
      <c r="C21" s="33"/>
      <c r="D21" s="33"/>
      <c r="E21" s="33" t="s">
        <v>209</v>
      </c>
      <c r="F21" s="33"/>
      <c r="G21" s="33"/>
      <c r="H21" s="33"/>
    </row>
    <row r="22" spans="1:8" ht="16">
      <c r="A22" s="3" t="s">
        <v>210</v>
      </c>
      <c r="B22" s="18">
        <v>303</v>
      </c>
      <c r="C22" s="3"/>
      <c r="D22" s="3"/>
      <c r="E22" s="3" t="s">
        <v>45</v>
      </c>
      <c r="F22" s="8">
        <v>0.95</v>
      </c>
      <c r="G22" s="3"/>
      <c r="H22" s="3"/>
    </row>
    <row r="23" spans="1:8" ht="16">
      <c r="A23" s="3" t="s">
        <v>63</v>
      </c>
      <c r="B23" s="10">
        <v>326</v>
      </c>
      <c r="C23" s="3"/>
      <c r="D23" s="3"/>
      <c r="E23" s="3" t="s">
        <v>211</v>
      </c>
      <c r="F23" s="10">
        <v>5</v>
      </c>
      <c r="G23" s="3"/>
      <c r="H23" s="3"/>
    </row>
    <row r="24" spans="1:8" ht="16">
      <c r="A24" s="3" t="s">
        <v>45</v>
      </c>
      <c r="B24" s="26">
        <v>0.95</v>
      </c>
      <c r="C24" s="3"/>
      <c r="D24" s="3"/>
      <c r="E24" s="3" t="s">
        <v>212</v>
      </c>
      <c r="F24" s="10">
        <v>15</v>
      </c>
      <c r="G24" s="3"/>
      <c r="H24" s="3"/>
    </row>
    <row r="25" spans="1:8" ht="16">
      <c r="A25" s="3" t="s">
        <v>198</v>
      </c>
      <c r="B25" s="10"/>
      <c r="C25" s="3"/>
      <c r="D25" s="3"/>
      <c r="E25" s="3" t="s">
        <v>213</v>
      </c>
      <c r="F25" s="10"/>
      <c r="G25" s="3"/>
      <c r="H25" s="3"/>
    </row>
    <row r="26" spans="1:8" ht="16">
      <c r="A26" s="3" t="s">
        <v>52</v>
      </c>
      <c r="B26" s="12" t="s">
        <v>48</v>
      </c>
      <c r="C26" s="3"/>
      <c r="D26" s="3"/>
      <c r="E26" s="3" t="s">
        <v>214</v>
      </c>
      <c r="F26" s="10">
        <v>0.04</v>
      </c>
      <c r="G26" s="3"/>
      <c r="H26" s="3"/>
    </row>
    <row r="27" spans="1:8" ht="16">
      <c r="A27" s="3" t="s">
        <v>215</v>
      </c>
      <c r="B27" s="13">
        <f>B22/B23</f>
        <v>0.92944785276073616</v>
      </c>
      <c r="C27" s="3"/>
      <c r="D27" s="3"/>
      <c r="E27" s="3" t="s">
        <v>54</v>
      </c>
      <c r="F27" s="12"/>
      <c r="G27" s="3"/>
      <c r="H27" s="3"/>
    </row>
    <row r="28" spans="1:8" ht="16">
      <c r="A28" s="3"/>
      <c r="B28" s="11"/>
      <c r="C28" s="3"/>
      <c r="D28" s="3"/>
      <c r="E28" s="3" t="s">
        <v>216</v>
      </c>
      <c r="F28" s="28" t="e">
        <f ca="1">ROUNDUP((_xludf.NORM.S.INV(1-(1-F22)/2)*F24/F23)^2,0)</f>
        <v>#NAME?</v>
      </c>
      <c r="G28" s="3"/>
      <c r="H28" s="3"/>
    </row>
    <row r="29" spans="1:8" ht="16">
      <c r="A29" s="3" t="s">
        <v>49</v>
      </c>
      <c r="B29" s="11">
        <f>1-B24</f>
        <v>5.0000000000000044E-2</v>
      </c>
      <c r="C29" s="3"/>
      <c r="D29" s="3"/>
      <c r="E29" s="3" t="s">
        <v>217</v>
      </c>
      <c r="F29" s="29" t="e">
        <f ca="1">ROUNDUP(_xludf.NORM.S.INV(1-(1-F22)/2)^2*IF(F25="",0.5,F25)*(1-IF(F25="",0.5,F25))/F26^2,0)</f>
        <v>#NAME?</v>
      </c>
      <c r="G29" s="3"/>
      <c r="H29" s="3"/>
    </row>
    <row r="30" spans="1:8" ht="16">
      <c r="A30" s="3" t="s">
        <v>55</v>
      </c>
      <c r="B30" s="11">
        <f>IF(B26&lt;&gt;"Yes",1,IF(B25="",1,IF(B25&lt;=B23,1,IF(B23/B25&gt;0.05,SQRT((B25-B23)/(B25-1)),1))))</f>
        <v>1</v>
      </c>
      <c r="C30" s="3"/>
      <c r="D30" s="3"/>
      <c r="E30" s="3"/>
      <c r="F30" s="29"/>
      <c r="G30" s="3"/>
      <c r="H30" s="3"/>
    </row>
    <row r="31" spans="1:8" ht="16">
      <c r="A31" s="3" t="s">
        <v>185</v>
      </c>
      <c r="B31" s="11">
        <f>SQRT(B27*(1-B27)/B23)*B30</f>
        <v>1.418269724353655E-2</v>
      </c>
      <c r="C31" s="3"/>
      <c r="D31" s="3"/>
      <c r="E31" s="3" t="s">
        <v>218</v>
      </c>
      <c r="F31" s="29" t="e">
        <f ca="1">IF(F27="",F28,ROUNDUP(F28*F27/(F28+F27-1),0))</f>
        <v>#NAME?</v>
      </c>
      <c r="G31" s="3"/>
      <c r="H31" s="3"/>
    </row>
    <row r="32" spans="1:8" ht="16">
      <c r="A32" s="3" t="s">
        <v>202</v>
      </c>
      <c r="B32" s="11" t="e">
        <f ca="1">_xludf.NORM.S.INV(1-B29/2)</f>
        <v>#NAME?</v>
      </c>
      <c r="C32" s="3"/>
      <c r="D32" s="3"/>
      <c r="E32" s="3" t="s">
        <v>219</v>
      </c>
      <c r="F32" s="29" t="e">
        <f ca="1">IF(F27="",F29,ROUNDUP(F29*F27/(F29+F27-1),0))</f>
        <v>#NAME?</v>
      </c>
      <c r="G32" s="3"/>
      <c r="H32" s="3"/>
    </row>
    <row r="33" spans="1:8" ht="16">
      <c r="A33" s="3" t="s">
        <v>203</v>
      </c>
      <c r="B33" s="11" t="e">
        <f ca="1">B31*B32</f>
        <v>#NAME?</v>
      </c>
      <c r="C33" s="3"/>
      <c r="D33" s="3"/>
      <c r="E33" s="3" t="s">
        <v>188</v>
      </c>
      <c r="F33" s="7" t="s">
        <v>220</v>
      </c>
      <c r="G33" s="3"/>
      <c r="H33" s="3"/>
    </row>
    <row r="34" spans="1:8" ht="16">
      <c r="A34" s="3" t="s">
        <v>204</v>
      </c>
      <c r="B34" s="11" t="e">
        <f ca="1">B27-B33</f>
        <v>#NAME?</v>
      </c>
      <c r="C34" s="3"/>
      <c r="D34" s="3"/>
      <c r="E34" s="3" t="s">
        <v>221</v>
      </c>
      <c r="F34" s="6" t="s">
        <v>222</v>
      </c>
      <c r="G34" s="3"/>
      <c r="H34" s="3"/>
    </row>
    <row r="35" spans="1:8" ht="16">
      <c r="A35" s="3" t="s">
        <v>205</v>
      </c>
      <c r="B35" s="11" t="e">
        <f ca="1">B27+B33</f>
        <v>#NAME?</v>
      </c>
      <c r="C35" s="3"/>
      <c r="D35" s="3"/>
      <c r="E35" s="3"/>
      <c r="F35" s="3"/>
      <c r="G35" s="3"/>
      <c r="H35" s="3"/>
    </row>
    <row r="36" spans="1:8" ht="16">
      <c r="A36" s="3" t="s">
        <v>223</v>
      </c>
      <c r="B36" s="6" t="str">
        <f>IF(AND(B23*B27&gt;=5,B23*(1-B27)&gt;=5),"PASS","CHECK")</f>
        <v>PASS</v>
      </c>
      <c r="C36" s="3"/>
      <c r="D36" s="3"/>
      <c r="E36" s="3"/>
      <c r="F36" s="3"/>
      <c r="G36" s="3"/>
      <c r="H36" s="3"/>
    </row>
    <row r="37" spans="1:8">
      <c r="A37" s="3"/>
      <c r="B37" s="3"/>
      <c r="C37" s="3"/>
      <c r="D37" s="3"/>
      <c r="E37" s="3"/>
      <c r="F37" s="3"/>
      <c r="G37" s="3"/>
      <c r="H37" s="3"/>
    </row>
    <row r="38" spans="1:8">
      <c r="A38" s="3"/>
      <c r="B38" s="3"/>
      <c r="C38" s="3"/>
      <c r="D38" s="3"/>
      <c r="E38" s="3"/>
      <c r="F38" s="3"/>
      <c r="G38" s="3"/>
      <c r="H38" s="3"/>
    </row>
    <row r="39" spans="1:8">
      <c r="A39" s="3"/>
      <c r="B39" s="3"/>
      <c r="C39" s="3"/>
      <c r="D39" s="3"/>
      <c r="E39" s="3"/>
      <c r="F39" s="3"/>
      <c r="G39" s="3"/>
      <c r="H39" s="3"/>
    </row>
    <row r="40" spans="1:8">
      <c r="A40" s="3"/>
      <c r="B40" s="3"/>
      <c r="C40" s="3"/>
      <c r="D40" s="3"/>
      <c r="E40" s="3"/>
      <c r="F40" s="3"/>
      <c r="G40" s="3"/>
      <c r="H40" s="3"/>
    </row>
    <row r="41" spans="1:8">
      <c r="A41" s="3"/>
      <c r="B41" s="3"/>
      <c r="C41" s="3"/>
      <c r="D41" s="3"/>
      <c r="E41" s="3"/>
      <c r="F41" s="3"/>
      <c r="G41" s="3"/>
      <c r="H41" s="3"/>
    </row>
    <row r="42" spans="1:8">
      <c r="A42" s="3"/>
      <c r="B42" s="3"/>
      <c r="C42" s="3"/>
      <c r="D42" s="3"/>
      <c r="E42" s="3"/>
      <c r="F42" s="3"/>
      <c r="G42" s="3"/>
      <c r="H42" s="3"/>
    </row>
    <row r="43" spans="1:8">
      <c r="A43" s="3"/>
      <c r="B43" s="3"/>
      <c r="C43" s="3"/>
      <c r="D43" s="3"/>
      <c r="E43" s="3"/>
      <c r="F43" s="3"/>
      <c r="G43" s="3"/>
      <c r="H43" s="3"/>
    </row>
    <row r="44" spans="1:8">
      <c r="A44" s="3"/>
      <c r="B44" s="3"/>
      <c r="C44" s="3"/>
      <c r="D44" s="3"/>
      <c r="E44" s="3"/>
      <c r="F44" s="3"/>
      <c r="G44" s="3"/>
      <c r="H44" s="3"/>
    </row>
  </sheetData>
  <mergeCells count="5">
    <mergeCell ref="A1:H2"/>
    <mergeCell ref="A4:D4"/>
    <mergeCell ref="E4:H4"/>
    <mergeCell ref="A21:D21"/>
    <mergeCell ref="E21:H21"/>
  </mergeCells>
  <dataValidations count="1">
    <dataValidation type="list" sqref="B10 B26" xr:uid="{00000000-0002-0000-0500-000000000000}">
      <formula1>"No,Yes"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38"/>
  <sheetViews>
    <sheetView workbookViewId="0"/>
  </sheetViews>
  <sheetFormatPr baseColWidth="10" defaultColWidth="8.83203125" defaultRowHeight="15"/>
  <cols>
    <col min="1" max="2" width="25" customWidth="1"/>
    <col min="3" max="3" width="28" customWidth="1"/>
    <col min="4" max="4" width="25" customWidth="1"/>
    <col min="5" max="5" width="22" customWidth="1"/>
    <col min="6" max="6" width="35" customWidth="1"/>
  </cols>
  <sheetData>
    <row r="1" spans="1:6" ht="37.25" customHeight="1">
      <c r="A1" s="31" t="s">
        <v>224</v>
      </c>
      <c r="B1" s="31"/>
      <c r="C1" s="31"/>
      <c r="D1" s="31"/>
      <c r="E1" s="31"/>
      <c r="F1" s="31"/>
    </row>
    <row r="2" spans="1:6" ht="37.25" customHeight="1">
      <c r="A2" s="31"/>
      <c r="B2" s="31"/>
      <c r="C2" s="31"/>
      <c r="D2" s="31"/>
      <c r="E2" s="31"/>
      <c r="F2" s="31"/>
    </row>
    <row r="3" spans="1:6">
      <c r="A3" s="3"/>
      <c r="B3" s="3"/>
      <c r="C3" s="3"/>
      <c r="D3" s="3"/>
      <c r="E3" s="3"/>
      <c r="F3" s="3"/>
    </row>
    <row r="4" spans="1:6">
      <c r="A4" s="33" t="s">
        <v>43</v>
      </c>
      <c r="B4" s="33"/>
      <c r="C4" s="3"/>
      <c r="D4" s="33" t="s">
        <v>225</v>
      </c>
      <c r="E4" s="33"/>
      <c r="F4" s="33"/>
    </row>
    <row r="5" spans="1:6" ht="16">
      <c r="A5" s="3" t="s">
        <v>226</v>
      </c>
      <c r="B5" s="18">
        <v>30</v>
      </c>
      <c r="C5" s="3"/>
      <c r="D5" s="3" t="s">
        <v>46</v>
      </c>
      <c r="E5" s="3"/>
      <c r="F5" s="9" t="str">
        <f>IF(B7="Yes","Z","t")</f>
        <v>Z</v>
      </c>
    </row>
    <row r="6" spans="1:6" ht="16">
      <c r="A6" s="3" t="s">
        <v>227</v>
      </c>
      <c r="B6" s="10">
        <v>29.84</v>
      </c>
      <c r="C6" s="3"/>
      <c r="D6" s="3" t="s">
        <v>51</v>
      </c>
      <c r="E6" s="3"/>
      <c r="F6" s="11">
        <f>B10-1</f>
        <v>99</v>
      </c>
    </row>
    <row r="7" spans="1:6" ht="16">
      <c r="A7" s="3" t="s">
        <v>47</v>
      </c>
      <c r="B7" s="10" t="s">
        <v>228</v>
      </c>
      <c r="C7" s="3"/>
      <c r="D7" s="3" t="s">
        <v>185</v>
      </c>
      <c r="E7" s="3"/>
      <c r="F7" s="11">
        <f>IF(B7="Yes",B8/SQRT(B10),B9/SQRT(B10))</f>
        <v>0.08</v>
      </c>
    </row>
    <row r="8" spans="1:6" ht="16">
      <c r="A8" s="3" t="s">
        <v>50</v>
      </c>
      <c r="B8" s="10">
        <v>0.8</v>
      </c>
      <c r="C8" s="3"/>
      <c r="D8" s="3" t="s">
        <v>93</v>
      </c>
      <c r="E8" s="3"/>
      <c r="F8" s="11">
        <f>(B6-B5)/F7</f>
        <v>-2.0000000000000018</v>
      </c>
    </row>
    <row r="9" spans="1:6" ht="16">
      <c r="A9" s="3" t="s">
        <v>229</v>
      </c>
      <c r="B9" s="10"/>
      <c r="C9" s="3"/>
      <c r="D9" s="3" t="s">
        <v>95</v>
      </c>
      <c r="E9" s="3"/>
      <c r="F9" s="11" t="e">
        <f ca="1">IF(B12="Upper","",IF(B7="Yes",_xludf.NORM.S.INV(IF(B12="Two",B11/2,B11)),_xludf.T.INV(IF(B12="Two",B11/2,B11),F6)))</f>
        <v>#NAME?</v>
      </c>
    </row>
    <row r="10" spans="1:6" ht="16">
      <c r="A10" s="3" t="s">
        <v>154</v>
      </c>
      <c r="B10" s="10">
        <v>100</v>
      </c>
      <c r="C10" s="3"/>
      <c r="D10" s="3" t="s">
        <v>97</v>
      </c>
      <c r="E10" s="3"/>
      <c r="F10" s="11" t="e">
        <f ca="1">IF(B12="Lower","",IF(B7="Yes",_xludf.NORM.S.INV(IF(B12="Two",1-B11/2,1-B11)),_xludf.T.INV(IF(B12="Two",1-B11/2,1-B11),F6)))</f>
        <v>#NAME?</v>
      </c>
    </row>
    <row r="11" spans="1:6" ht="16">
      <c r="A11" s="3" t="s">
        <v>230</v>
      </c>
      <c r="B11" s="20">
        <v>0.05</v>
      </c>
      <c r="C11" s="3"/>
      <c r="D11" s="3" t="s">
        <v>99</v>
      </c>
      <c r="E11" s="3"/>
      <c r="F11" s="11" t="e">
        <f ca="1">IF(B7="Yes",IF(B12="Two",(1-_xludf.NORM.S.DIST(ABS(F8),TRUE))*2,IF(B12="Lower",_xludf.NORM.S.DIST(F8,TRUE),1-_xludf.NORM.S.DIST(F8,TRUE))),IF(B12="Two",_xludf.T.DIST.2T(ABS(F8),F6),IF(B12="Lower",_xludf.T.DIST(F8,F6,TRUE),1-_xludf.T.DIST(F8,F6,TRUE))))</f>
        <v>#NAME?</v>
      </c>
    </row>
    <row r="12" spans="1:6" ht="16">
      <c r="A12" s="3" t="s">
        <v>231</v>
      </c>
      <c r="B12" s="12" t="s">
        <v>59</v>
      </c>
      <c r="C12" s="3"/>
      <c r="D12" s="3" t="s">
        <v>101</v>
      </c>
      <c r="E12" s="3"/>
      <c r="F12" s="7" t="e">
        <f ca="1">IF(F11&lt;B11,"REJECT H0","DO NOT REJECT H0")</f>
        <v>#NAME?</v>
      </c>
    </row>
    <row r="13" spans="1:6" ht="16">
      <c r="A13" s="3"/>
      <c r="B13" s="3"/>
      <c r="C13" s="3"/>
      <c r="D13" s="3" t="s">
        <v>232</v>
      </c>
      <c r="E13" s="3"/>
      <c r="F13" s="7" t="e">
        <f ca="1">IF(B12="Two",IF(OR(F8&lt;F9,F8&gt;F10),"Reject region","Non-reject region"),IF(B12="Lower",IF(F8&lt;F9,"Reject region","Non-reject region"),IF(F8&gt;F10,"Reject region","Non-reject region")))</f>
        <v>#NAME?</v>
      </c>
    </row>
    <row r="14" spans="1:6" ht="16">
      <c r="A14" s="3"/>
      <c r="B14" s="3"/>
      <c r="C14" s="3"/>
      <c r="D14" s="3" t="s">
        <v>233</v>
      </c>
      <c r="E14" s="3"/>
      <c r="F14" s="7" t="e">
        <f ca="1">IF(B12&lt;&gt;"Two","",B6-IF(B7="Yes",_xludf.NORM.S.INV(1-B11/2),ABS(_xludf.T.INV(B11/2,F6)))*F7)</f>
        <v>#NAME?</v>
      </c>
    </row>
    <row r="15" spans="1:6" ht="16">
      <c r="A15" s="33" t="s">
        <v>234</v>
      </c>
      <c r="B15" s="33"/>
      <c r="C15" s="33"/>
      <c r="D15" s="3" t="s">
        <v>235</v>
      </c>
      <c r="E15" s="3"/>
      <c r="F15" s="7" t="e">
        <f ca="1">IF(B12&lt;&gt;"Two","",B6+IF(B7="Yes",_xludf.NORM.S.INV(1-B11/2),ABS(_xludf.T.INV(B11/2,F6)))*F7)</f>
        <v>#NAME?</v>
      </c>
    </row>
    <row r="16" spans="1:6" ht="16">
      <c r="A16" s="4" t="s">
        <v>236</v>
      </c>
      <c r="B16" s="3" t="s">
        <v>237</v>
      </c>
      <c r="C16" s="3" t="s">
        <v>238</v>
      </c>
      <c r="D16" s="3" t="s">
        <v>239</v>
      </c>
      <c r="E16" s="3"/>
      <c r="F16" s="6" t="e">
        <f ca="1">IF(B12&lt;&gt;"Two","",IF(AND(B5&gt;=F14,B5&lt;=F15),"μ0 inside CI → do not reject","μ0 outside CI → reject"))</f>
        <v>#NAME?</v>
      </c>
    </row>
    <row r="17" spans="1:6" ht="16">
      <c r="A17" s="4" t="s">
        <v>240</v>
      </c>
      <c r="B17" s="3" t="s">
        <v>241</v>
      </c>
      <c r="C17" s="3"/>
      <c r="D17" s="3"/>
      <c r="E17" s="3"/>
      <c r="F17" s="3"/>
    </row>
    <row r="18" spans="1:6" ht="48">
      <c r="A18" s="4" t="s">
        <v>242</v>
      </c>
      <c r="B18" s="3" t="s">
        <v>243</v>
      </c>
      <c r="C18" s="3"/>
      <c r="D18" s="3"/>
      <c r="E18" s="3"/>
      <c r="F18" s="3"/>
    </row>
    <row r="19" spans="1:6" ht="16">
      <c r="A19" s="4" t="s">
        <v>244</v>
      </c>
      <c r="B19" s="3" t="s">
        <v>245</v>
      </c>
      <c r="C19" s="3"/>
      <c r="D19" s="3"/>
      <c r="E19" s="3"/>
      <c r="F19" s="3"/>
    </row>
    <row r="20" spans="1:6" ht="16">
      <c r="A20" s="4" t="s">
        <v>246</v>
      </c>
      <c r="B20" s="3" t="s">
        <v>247</v>
      </c>
      <c r="C20" s="3"/>
      <c r="D20" s="3"/>
      <c r="E20" s="3"/>
      <c r="F20" s="3"/>
    </row>
    <row r="21" spans="1:6" ht="16">
      <c r="A21" s="4" t="s">
        <v>248</v>
      </c>
      <c r="B21" s="3" t="s">
        <v>249</v>
      </c>
      <c r="C21" s="3" t="s">
        <v>250</v>
      </c>
      <c r="D21" s="3"/>
      <c r="E21" s="3"/>
      <c r="F21" s="3"/>
    </row>
    <row r="22" spans="1:6" ht="16">
      <c r="A22" s="4" t="s">
        <v>251</v>
      </c>
      <c r="B22" s="3" t="s">
        <v>252</v>
      </c>
      <c r="C22" s="3"/>
      <c r="D22" s="3"/>
      <c r="E22" s="3"/>
      <c r="F22" s="3"/>
    </row>
    <row r="23" spans="1:6" ht="16">
      <c r="A23" s="4" t="s">
        <v>253</v>
      </c>
      <c r="B23" s="3" t="s">
        <v>254</v>
      </c>
      <c r="C23" s="3"/>
      <c r="D23" s="3"/>
      <c r="E23" s="3"/>
      <c r="F23" s="3"/>
    </row>
    <row r="24" spans="1:6" ht="16">
      <c r="A24" s="4" t="s">
        <v>255</v>
      </c>
      <c r="B24" s="3" t="s">
        <v>256</v>
      </c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7" t="s">
        <v>257</v>
      </c>
      <c r="B27" s="37"/>
      <c r="C27" s="37"/>
      <c r="D27" s="37"/>
      <c r="E27" s="37"/>
      <c r="F27" s="37"/>
    </row>
    <row r="28" spans="1:6">
      <c r="A28" s="37"/>
      <c r="B28" s="37"/>
      <c r="C28" s="37"/>
      <c r="D28" s="37"/>
      <c r="E28" s="37"/>
      <c r="F28" s="37"/>
    </row>
    <row r="29" spans="1:6">
      <c r="A29" s="37"/>
      <c r="B29" s="37"/>
      <c r="C29" s="37"/>
      <c r="D29" s="37"/>
      <c r="E29" s="37"/>
      <c r="F29" s="37"/>
    </row>
    <row r="30" spans="1:6">
      <c r="A30" s="37"/>
      <c r="B30" s="37"/>
      <c r="C30" s="37"/>
      <c r="D30" s="37"/>
      <c r="E30" s="37"/>
      <c r="F30" s="37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</sheetData>
  <mergeCells count="5">
    <mergeCell ref="A1:F2"/>
    <mergeCell ref="A4:B4"/>
    <mergeCell ref="D4:F4"/>
    <mergeCell ref="A15:C15"/>
    <mergeCell ref="A27:F30"/>
  </mergeCells>
  <dataValidations count="2">
    <dataValidation type="list" sqref="B7" xr:uid="{00000000-0002-0000-0600-000000000000}">
      <formula1>"Yes,No"</formula1>
    </dataValidation>
    <dataValidation type="list" sqref="B12" xr:uid="{00000000-0002-0000-0600-000001000000}">
      <formula1>"Two,Lower,Upper"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F17"/>
  <sheetViews>
    <sheetView workbookViewId="0"/>
  </sheetViews>
  <sheetFormatPr baseColWidth="10" defaultColWidth="8.83203125" defaultRowHeight="15"/>
  <cols>
    <col min="1" max="1" width="10" customWidth="1"/>
    <col min="2" max="2" width="30" customWidth="1"/>
    <col min="3" max="3" width="34" customWidth="1"/>
    <col min="4" max="4" width="30" customWidth="1"/>
    <col min="5" max="5" width="45" customWidth="1"/>
    <col min="6" max="6" width="34" customWidth="1"/>
  </cols>
  <sheetData>
    <row r="1" spans="1:6" ht="37.25" customHeight="1">
      <c r="A1" s="34" t="s">
        <v>258</v>
      </c>
      <c r="B1" s="34"/>
      <c r="C1" s="34"/>
      <c r="D1" s="34"/>
      <c r="E1" s="34"/>
      <c r="F1" s="34"/>
    </row>
    <row r="2" spans="1:6" ht="37.25" customHeight="1">
      <c r="A2" s="34"/>
      <c r="B2" s="34"/>
      <c r="C2" s="34"/>
      <c r="D2" s="34"/>
      <c r="E2" s="34"/>
      <c r="F2" s="34"/>
    </row>
    <row r="4" spans="1:6" ht="16">
      <c r="A4" s="30" t="s">
        <v>259</v>
      </c>
      <c r="B4" s="30" t="s">
        <v>260</v>
      </c>
      <c r="C4" s="30" t="s">
        <v>261</v>
      </c>
      <c r="D4" s="30" t="s">
        <v>262</v>
      </c>
      <c r="E4" s="30" t="s">
        <v>263</v>
      </c>
      <c r="F4" s="30" t="s">
        <v>264</v>
      </c>
    </row>
    <row r="5" spans="1:6" ht="32">
      <c r="A5" s="3" t="s">
        <v>33</v>
      </c>
      <c r="B5" s="3" t="s">
        <v>265</v>
      </c>
      <c r="C5" s="3" t="s">
        <v>266</v>
      </c>
      <c r="D5" s="3" t="s">
        <v>267</v>
      </c>
      <c r="E5" s="3" t="s">
        <v>268</v>
      </c>
      <c r="F5" s="3" t="s">
        <v>269</v>
      </c>
    </row>
    <row r="6" spans="1:6" ht="16">
      <c r="A6" s="3" t="s">
        <v>33</v>
      </c>
      <c r="B6" s="3" t="s">
        <v>270</v>
      </c>
      <c r="C6" s="3" t="s">
        <v>266</v>
      </c>
      <c r="D6" s="3" t="s">
        <v>271</v>
      </c>
      <c r="E6" s="3" t="s">
        <v>272</v>
      </c>
      <c r="F6" s="3" t="s">
        <v>273</v>
      </c>
    </row>
    <row r="7" spans="1:6" ht="16">
      <c r="A7" s="3" t="s">
        <v>33</v>
      </c>
      <c r="B7" s="3" t="s">
        <v>274</v>
      </c>
      <c r="C7" s="3" t="s">
        <v>275</v>
      </c>
      <c r="D7" s="3" t="s">
        <v>276</v>
      </c>
      <c r="E7" s="3" t="s">
        <v>277</v>
      </c>
      <c r="F7" s="3" t="s">
        <v>269</v>
      </c>
    </row>
    <row r="8" spans="1:6" ht="16">
      <c r="A8" s="3" t="s">
        <v>278</v>
      </c>
      <c r="B8" s="3" t="s">
        <v>279</v>
      </c>
      <c r="C8" s="3" t="s">
        <v>280</v>
      </c>
      <c r="D8" s="3" t="s">
        <v>281</v>
      </c>
      <c r="E8" s="3" t="s">
        <v>282</v>
      </c>
      <c r="F8" s="3" t="s">
        <v>283</v>
      </c>
    </row>
    <row r="9" spans="1:6" ht="16">
      <c r="A9" s="3" t="s">
        <v>278</v>
      </c>
      <c r="B9" s="3" t="s">
        <v>284</v>
      </c>
      <c r="C9" s="3" t="s">
        <v>280</v>
      </c>
      <c r="D9" s="3" t="s">
        <v>285</v>
      </c>
      <c r="E9" s="3" t="s">
        <v>286</v>
      </c>
      <c r="F9" s="3" t="s">
        <v>283</v>
      </c>
    </row>
    <row r="10" spans="1:6" ht="16">
      <c r="A10" s="3" t="s">
        <v>278</v>
      </c>
      <c r="B10" s="3" t="s">
        <v>287</v>
      </c>
      <c r="C10" s="3" t="s">
        <v>280</v>
      </c>
      <c r="D10" s="3" t="s">
        <v>288</v>
      </c>
      <c r="E10" s="3" t="s">
        <v>289</v>
      </c>
      <c r="F10" s="3" t="s">
        <v>290</v>
      </c>
    </row>
    <row r="11" spans="1:6" ht="16">
      <c r="A11" s="3" t="s">
        <v>291</v>
      </c>
      <c r="B11" s="3" t="s">
        <v>292</v>
      </c>
      <c r="C11" s="3" t="s">
        <v>293</v>
      </c>
      <c r="D11" s="3" t="s">
        <v>294</v>
      </c>
      <c r="E11" s="3" t="s">
        <v>295</v>
      </c>
      <c r="F11" s="3" t="s">
        <v>296</v>
      </c>
    </row>
    <row r="12" spans="1:6" ht="16">
      <c r="A12" s="3" t="s">
        <v>291</v>
      </c>
      <c r="B12" s="3" t="s">
        <v>297</v>
      </c>
      <c r="C12" s="3" t="s">
        <v>293</v>
      </c>
      <c r="D12" s="3" t="s">
        <v>298</v>
      </c>
      <c r="E12" s="3" t="s">
        <v>299</v>
      </c>
      <c r="F12" s="3" t="s">
        <v>296</v>
      </c>
    </row>
    <row r="13" spans="1:6" ht="16">
      <c r="A13" s="3" t="s">
        <v>291</v>
      </c>
      <c r="B13" s="3" t="s">
        <v>300</v>
      </c>
      <c r="C13" s="3" t="s">
        <v>293</v>
      </c>
      <c r="D13" s="3" t="s">
        <v>301</v>
      </c>
      <c r="E13" s="3" t="s">
        <v>302</v>
      </c>
      <c r="F13" s="3" t="s">
        <v>303</v>
      </c>
    </row>
    <row r="14" spans="1:6" ht="16">
      <c r="A14" s="3" t="s">
        <v>291</v>
      </c>
      <c r="B14" s="3" t="s">
        <v>304</v>
      </c>
      <c r="C14" s="3" t="s">
        <v>305</v>
      </c>
      <c r="D14" s="3" t="s">
        <v>306</v>
      </c>
      <c r="E14" s="3" t="s">
        <v>307</v>
      </c>
      <c r="F14" s="3" t="s">
        <v>303</v>
      </c>
    </row>
    <row r="15" spans="1:6" ht="16">
      <c r="A15" s="3" t="s">
        <v>308</v>
      </c>
      <c r="B15" s="3" t="s">
        <v>309</v>
      </c>
      <c r="C15" s="3" t="s">
        <v>310</v>
      </c>
      <c r="D15" s="3" t="s">
        <v>311</v>
      </c>
      <c r="E15" s="3" t="s">
        <v>312</v>
      </c>
      <c r="F15" s="3" t="s">
        <v>313</v>
      </c>
    </row>
    <row r="16" spans="1:6" ht="16">
      <c r="A16" s="3" t="s">
        <v>308</v>
      </c>
      <c r="B16" s="3" t="s">
        <v>314</v>
      </c>
      <c r="C16" s="3" t="s">
        <v>310</v>
      </c>
      <c r="D16" s="3" t="s">
        <v>315</v>
      </c>
      <c r="E16" s="3" t="s">
        <v>316</v>
      </c>
      <c r="F16" s="3" t="s">
        <v>313</v>
      </c>
    </row>
    <row r="17" spans="1:6" ht="32">
      <c r="A17" s="3" t="s">
        <v>308</v>
      </c>
      <c r="B17" s="3" t="s">
        <v>317</v>
      </c>
      <c r="C17" s="3" t="s">
        <v>318</v>
      </c>
      <c r="D17" s="3" t="s">
        <v>319</v>
      </c>
      <c r="E17" s="3" t="s">
        <v>320</v>
      </c>
      <c r="F17" s="3" t="s">
        <v>321</v>
      </c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START_HERE</vt:lpstr>
      <vt:lpstr>DATA</vt:lpstr>
      <vt:lpstr>AUTO_ANALYSIS</vt:lpstr>
      <vt:lpstr>DISTRIBUTIONS</vt:lpstr>
      <vt:lpstr>SAMPLING</vt:lpstr>
      <vt:lpstr>CI_SAMPLE_SIZE</vt:lpstr>
      <vt:lpstr>HYPOTHESIS_TEST</vt:lpstr>
      <vt:lpstr>SOURCE_MAP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Apsey, N, Ms [30514967@sun.ac.za]</cp:lastModifiedBy>
  <dcterms:modified xsi:type="dcterms:W3CDTF">2026-08-28T19:04:43Z</dcterms:modified>
</cp:coreProperties>
</file>